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EDE\CCOP\CONTROLE OPERACIONAL\4. FRETE CARRADAS\FRETE CARRADA 2026\"/>
    </mc:Choice>
  </mc:AlternateContent>
  <xr:revisionPtr revIDLastSave="0" documentId="13_ncr:1_{032A7548-1923-495A-A200-8D95884292FC}" xr6:coauthVersionLast="47" xr6:coauthVersionMax="47" xr10:uidLastSave="{00000000-0000-0000-0000-000000000000}"/>
  <bookViews>
    <workbookView xWindow="-120" yWindow="-120" windowWidth="20730" windowHeight="11160" tabRatio="769" firstSheet="13" activeTab="16" xr2:uid="{A211A926-D3A7-4C14-8C0E-EB0FDE3F91D1}"/>
  </bookViews>
  <sheets>
    <sheet name="Dicionário" sheetId="4" state="hidden" r:id="rId1"/>
    <sheet name="Dicionario" sheetId="8" state="hidden" r:id="rId2"/>
    <sheet name="FRETE CARRADAS JAN-26" sheetId="2" r:id="rId3"/>
    <sheet name="UA DISTRITO" sheetId="10" state="hidden" r:id="rId4"/>
    <sheet name="PINHEIRO SET-25" sheetId="6" state="hidden" r:id="rId5"/>
    <sheet name="UA DISTRITO SET-25" sheetId="7" state="hidden" r:id="rId6"/>
    <sheet name="RESUMO JAN-26" sheetId="3" r:id="rId7"/>
    <sheet name="FRETE CARRADAS FEV-26" sheetId="14" r:id="rId8"/>
    <sheet name="RESUMO FEV-26" sheetId="12" r:id="rId9"/>
    <sheet name="FRETE CARRADAS MAR-26" sheetId="15" r:id="rId10"/>
    <sheet name="RESUMO MAR-26" sheetId="16" r:id="rId11"/>
    <sheet name="FRETE CARRADAS ABR-26 " sheetId="17" r:id="rId12"/>
    <sheet name="RESUMO ABR-26" sheetId="18" r:id="rId13"/>
    <sheet name="FRETE CARRADAS JUN-26" sheetId="19" r:id="rId14"/>
    <sheet name="FRETE CARRADAS JUL-26 " sheetId="21" r:id="rId15"/>
    <sheet name="RESUMO JUN-26" sheetId="20" r:id="rId16"/>
    <sheet name="FRETE CARRADAS JUL-26" sheetId="22" r:id="rId17"/>
    <sheet name="RESUMO JUL-26" sheetId="23" r:id="rId18"/>
  </sheets>
  <externalReferences>
    <externalReference r:id="rId19"/>
  </externalReferences>
  <definedNames>
    <definedName name="_xlnm._FilterDatabase" localSheetId="11" hidden="1">'FRETE CARRADAS ABR-26 '!$B$3:$N$852</definedName>
    <definedName name="_xlnm._FilterDatabase" localSheetId="9" hidden="1">'FRETE CARRADAS MAR-26'!$B$3:$N$947</definedName>
    <definedName name="_xlnm._FilterDatabase" localSheetId="12" hidden="1">'RESUMO ABR-26'!$E$26:$E$35</definedName>
    <definedName name="_xlnm._FilterDatabase" localSheetId="10" hidden="1">'RESUMO MAR-26'!$Q$5:$Q$17</definedName>
    <definedName name="_xlnm._FilterDatabase" localSheetId="3" hidden="1">'UA DISTRITO'!$B$3:$L$647</definedName>
    <definedName name="_xlnm._FilterDatabase" localSheetId="5" hidden="1">'UA DISTRITO SET-25'!$B$2:$L$408</definedName>
    <definedName name="DadosExternos_1" localSheetId="2" hidden="1">'FRETE CARRADAS JAN-26'!$B$3:$M$715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2" i="17" l="1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4" i="17"/>
  <c r="E7" i="16"/>
  <c r="E18" i="16" s="1"/>
  <c r="K947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692" i="15"/>
  <c r="M693" i="15"/>
  <c r="M694" i="15"/>
  <c r="M695" i="15"/>
  <c r="M696" i="15"/>
  <c r="M697" i="15"/>
  <c r="M698" i="15"/>
  <c r="M699" i="15"/>
  <c r="M700" i="15"/>
  <c r="M701" i="15"/>
  <c r="M702" i="15"/>
  <c r="M703" i="15"/>
  <c r="M704" i="15"/>
  <c r="M705" i="15"/>
  <c r="M706" i="15"/>
  <c r="M707" i="15"/>
  <c r="M708" i="15"/>
  <c r="M709" i="15"/>
  <c r="M710" i="15"/>
  <c r="M711" i="15"/>
  <c r="M712" i="15"/>
  <c r="M713" i="15"/>
  <c r="M714" i="15"/>
  <c r="M715" i="15"/>
  <c r="M716" i="15"/>
  <c r="M717" i="15"/>
  <c r="M718" i="15"/>
  <c r="M719" i="15"/>
  <c r="M720" i="15"/>
  <c r="M721" i="15"/>
  <c r="M722" i="15"/>
  <c r="M723" i="15"/>
  <c r="M724" i="15"/>
  <c r="M725" i="15"/>
  <c r="M726" i="15"/>
  <c r="M727" i="15"/>
  <c r="M728" i="15"/>
  <c r="M729" i="15"/>
  <c r="M730" i="15"/>
  <c r="M731" i="15"/>
  <c r="M732" i="15"/>
  <c r="M733" i="15"/>
  <c r="M734" i="15"/>
  <c r="M735" i="15"/>
  <c r="M736" i="15"/>
  <c r="M737" i="15"/>
  <c r="M738" i="15"/>
  <c r="M739" i="15"/>
  <c r="M740" i="15"/>
  <c r="M741" i="15"/>
  <c r="M742" i="15"/>
  <c r="M743" i="15"/>
  <c r="M744" i="15"/>
  <c r="M745" i="15"/>
  <c r="M746" i="15"/>
  <c r="M747" i="15"/>
  <c r="M748" i="15"/>
  <c r="M749" i="15"/>
  <c r="M750" i="15"/>
  <c r="M751" i="15"/>
  <c r="M752" i="15"/>
  <c r="M753" i="15"/>
  <c r="M754" i="15"/>
  <c r="M755" i="15"/>
  <c r="M756" i="15"/>
  <c r="M757" i="15"/>
  <c r="M758" i="15"/>
  <c r="M759" i="15"/>
  <c r="M760" i="15"/>
  <c r="M761" i="15"/>
  <c r="M762" i="15"/>
  <c r="M763" i="15"/>
  <c r="M764" i="15"/>
  <c r="M765" i="15"/>
  <c r="M766" i="15"/>
  <c r="M767" i="15"/>
  <c r="M768" i="15"/>
  <c r="M769" i="15"/>
  <c r="M770" i="15"/>
  <c r="M771" i="15"/>
  <c r="M772" i="15"/>
  <c r="M773" i="15"/>
  <c r="M774" i="15"/>
  <c r="M775" i="15"/>
  <c r="M776" i="15"/>
  <c r="M777" i="15"/>
  <c r="M778" i="15"/>
  <c r="M779" i="15"/>
  <c r="M780" i="15"/>
  <c r="M781" i="15"/>
  <c r="M782" i="15"/>
  <c r="M783" i="15"/>
  <c r="M784" i="15"/>
  <c r="M785" i="15"/>
  <c r="M786" i="15"/>
  <c r="M787" i="15"/>
  <c r="M788" i="15"/>
  <c r="M789" i="15"/>
  <c r="M790" i="15"/>
  <c r="M791" i="15"/>
  <c r="M792" i="15"/>
  <c r="M793" i="15"/>
  <c r="M794" i="15"/>
  <c r="M795" i="15"/>
  <c r="M796" i="15"/>
  <c r="M797" i="15"/>
  <c r="M798" i="15"/>
  <c r="M799" i="15"/>
  <c r="M800" i="15"/>
  <c r="M801" i="15"/>
  <c r="M802" i="15"/>
  <c r="M803" i="15"/>
  <c r="M804" i="15"/>
  <c r="M805" i="15"/>
  <c r="M806" i="15"/>
  <c r="M807" i="15"/>
  <c r="M808" i="15"/>
  <c r="M809" i="15"/>
  <c r="M810" i="15"/>
  <c r="M811" i="15"/>
  <c r="M812" i="15"/>
  <c r="M813" i="15"/>
  <c r="M814" i="15"/>
  <c r="M815" i="15"/>
  <c r="M816" i="15"/>
  <c r="M817" i="15"/>
  <c r="M818" i="15"/>
  <c r="M819" i="15"/>
  <c r="M820" i="15"/>
  <c r="M821" i="15"/>
  <c r="M822" i="15"/>
  <c r="M823" i="15"/>
  <c r="M824" i="15"/>
  <c r="M825" i="15"/>
  <c r="M826" i="15"/>
  <c r="M827" i="15"/>
  <c r="M828" i="15"/>
  <c r="M829" i="15"/>
  <c r="M830" i="15"/>
  <c r="M831" i="15"/>
  <c r="M832" i="15"/>
  <c r="M833" i="15"/>
  <c r="M834" i="15"/>
  <c r="M835" i="15"/>
  <c r="M836" i="15"/>
  <c r="M837" i="15"/>
  <c r="M838" i="15"/>
  <c r="M839" i="15"/>
  <c r="M840" i="15"/>
  <c r="M841" i="15"/>
  <c r="M842" i="15"/>
  <c r="M843" i="15"/>
  <c r="M844" i="15"/>
  <c r="M845" i="15"/>
  <c r="M846" i="15"/>
  <c r="M847" i="15"/>
  <c r="M848" i="15"/>
  <c r="M849" i="15"/>
  <c r="M850" i="15"/>
  <c r="M851" i="15"/>
  <c r="M852" i="15"/>
  <c r="M853" i="15"/>
  <c r="M854" i="15"/>
  <c r="M855" i="15"/>
  <c r="M856" i="15"/>
  <c r="M857" i="15"/>
  <c r="M858" i="15"/>
  <c r="M859" i="15"/>
  <c r="M860" i="15"/>
  <c r="M861" i="15"/>
  <c r="M862" i="15"/>
  <c r="M863" i="15"/>
  <c r="M864" i="15"/>
  <c r="M865" i="15"/>
  <c r="M866" i="15"/>
  <c r="M867" i="15"/>
  <c r="M868" i="15"/>
  <c r="M869" i="15"/>
  <c r="M870" i="15"/>
  <c r="M871" i="15"/>
  <c r="M872" i="15"/>
  <c r="M873" i="15"/>
  <c r="M874" i="15"/>
  <c r="M875" i="15"/>
  <c r="M876" i="15"/>
  <c r="M877" i="15"/>
  <c r="M878" i="15"/>
  <c r="M879" i="15"/>
  <c r="M880" i="15"/>
  <c r="M881" i="15"/>
  <c r="M882" i="15"/>
  <c r="M883" i="15"/>
  <c r="M884" i="15"/>
  <c r="M885" i="15"/>
  <c r="M886" i="15"/>
  <c r="M887" i="15"/>
  <c r="M888" i="15"/>
  <c r="M889" i="15"/>
  <c r="M890" i="15"/>
  <c r="M891" i="15"/>
  <c r="M892" i="15"/>
  <c r="M893" i="15"/>
  <c r="M894" i="15"/>
  <c r="M895" i="15"/>
  <c r="M896" i="15"/>
  <c r="M897" i="15"/>
  <c r="M898" i="15"/>
  <c r="M899" i="15"/>
  <c r="M900" i="15"/>
  <c r="M901" i="15"/>
  <c r="M902" i="15"/>
  <c r="M903" i="15"/>
  <c r="M904" i="15"/>
  <c r="M905" i="15"/>
  <c r="M906" i="15"/>
  <c r="M907" i="15"/>
  <c r="M908" i="15"/>
  <c r="M909" i="15"/>
  <c r="M910" i="15"/>
  <c r="M911" i="15"/>
  <c r="M912" i="15"/>
  <c r="M913" i="15"/>
  <c r="M914" i="15"/>
  <c r="M915" i="15"/>
  <c r="M916" i="15"/>
  <c r="M917" i="15"/>
  <c r="M918" i="15"/>
  <c r="M919" i="15"/>
  <c r="M920" i="15"/>
  <c r="M921" i="15"/>
  <c r="M922" i="15"/>
  <c r="M923" i="15"/>
  <c r="M924" i="15"/>
  <c r="M925" i="15"/>
  <c r="M926" i="15"/>
  <c r="M927" i="15"/>
  <c r="M928" i="15"/>
  <c r="M929" i="15"/>
  <c r="M930" i="15"/>
  <c r="M931" i="15"/>
  <c r="M932" i="15"/>
  <c r="M933" i="15"/>
  <c r="M934" i="15"/>
  <c r="M935" i="15"/>
  <c r="M936" i="15"/>
  <c r="M937" i="15"/>
  <c r="M938" i="15"/>
  <c r="M939" i="15"/>
  <c r="M940" i="15"/>
  <c r="M941" i="15"/>
  <c r="M942" i="15"/>
  <c r="M943" i="15"/>
  <c r="M944" i="15"/>
  <c r="M945" i="15"/>
  <c r="M946" i="15"/>
  <c r="M4" i="15"/>
  <c r="K762" i="14"/>
  <c r="M761" i="14"/>
  <c r="M760" i="14"/>
  <c r="M759" i="14"/>
  <c r="M758" i="14"/>
  <c r="M757" i="14"/>
  <c r="M756" i="14"/>
  <c r="M755" i="14"/>
  <c r="M754" i="14"/>
  <c r="M753" i="14"/>
  <c r="M752" i="14"/>
  <c r="M751" i="14"/>
  <c r="M750" i="14"/>
  <c r="M749" i="14"/>
  <c r="M748" i="14"/>
  <c r="M747" i="14"/>
  <c r="M746" i="14"/>
  <c r="M745" i="14"/>
  <c r="M744" i="14"/>
  <c r="M743" i="14"/>
  <c r="M742" i="14"/>
  <c r="M741" i="14"/>
  <c r="M740" i="14"/>
  <c r="M739" i="14"/>
  <c r="M738" i="14"/>
  <c r="M737" i="14"/>
  <c r="M736" i="14"/>
  <c r="M735" i="14"/>
  <c r="M734" i="14"/>
  <c r="M733" i="14"/>
  <c r="M732" i="14"/>
  <c r="M731" i="14"/>
  <c r="M730" i="14"/>
  <c r="M729" i="14"/>
  <c r="M728" i="14"/>
  <c r="M727" i="14"/>
  <c r="M726" i="14"/>
  <c r="M725" i="14"/>
  <c r="M724" i="14"/>
  <c r="M723" i="14"/>
  <c r="M722" i="14"/>
  <c r="M721" i="14"/>
  <c r="M720" i="14"/>
  <c r="M719" i="14"/>
  <c r="M718" i="14"/>
  <c r="M717" i="14"/>
  <c r="M716" i="14"/>
  <c r="M715" i="14"/>
  <c r="M714" i="14"/>
  <c r="M713" i="14"/>
  <c r="M712" i="14"/>
  <c r="M711" i="14"/>
  <c r="M710" i="14"/>
  <c r="M709" i="14"/>
  <c r="M708" i="14"/>
  <c r="M707" i="14"/>
  <c r="M706" i="14"/>
  <c r="M705" i="14"/>
  <c r="M704" i="14"/>
  <c r="M703" i="14"/>
  <c r="M702" i="14"/>
  <c r="M701" i="14"/>
  <c r="M700" i="14"/>
  <c r="M699" i="14"/>
  <c r="M698" i="14"/>
  <c r="M697" i="14"/>
  <c r="M696" i="14"/>
  <c r="M695" i="14"/>
  <c r="M694" i="14"/>
  <c r="M693" i="14"/>
  <c r="M692" i="14"/>
  <c r="M691" i="14"/>
  <c r="M690" i="14"/>
  <c r="M689" i="14"/>
  <c r="M688" i="14"/>
  <c r="M687" i="14"/>
  <c r="M686" i="14"/>
  <c r="M685" i="14"/>
  <c r="M684" i="14"/>
  <c r="M683" i="14"/>
  <c r="M682" i="14"/>
  <c r="M681" i="14"/>
  <c r="M680" i="14"/>
  <c r="M679" i="14"/>
  <c r="M678" i="14"/>
  <c r="M677" i="14"/>
  <c r="M676" i="14"/>
  <c r="M675" i="14"/>
  <c r="M674" i="14"/>
  <c r="M673" i="14"/>
  <c r="M672" i="14"/>
  <c r="M671" i="14"/>
  <c r="M670" i="14"/>
  <c r="M669" i="14"/>
  <c r="M668" i="14"/>
  <c r="M667" i="14"/>
  <c r="M666" i="14"/>
  <c r="M665" i="14"/>
  <c r="M664" i="14"/>
  <c r="M663" i="14"/>
  <c r="M662" i="14"/>
  <c r="M661" i="14"/>
  <c r="M660" i="14"/>
  <c r="M659" i="14"/>
  <c r="M658" i="14"/>
  <c r="M657" i="14"/>
  <c r="M656" i="14"/>
  <c r="M655" i="14"/>
  <c r="M654" i="14"/>
  <c r="M653" i="14"/>
  <c r="M652" i="14"/>
  <c r="M651" i="14"/>
  <c r="M650" i="14"/>
  <c r="M649" i="14"/>
  <c r="M648" i="14"/>
  <c r="M647" i="14"/>
  <c r="M646" i="14"/>
  <c r="M645" i="14"/>
  <c r="M644" i="14"/>
  <c r="M643" i="14"/>
  <c r="M642" i="14"/>
  <c r="M641" i="14"/>
  <c r="M640" i="14"/>
  <c r="M639" i="14"/>
  <c r="M638" i="14"/>
  <c r="M637" i="14"/>
  <c r="M636" i="14"/>
  <c r="M635" i="14"/>
  <c r="M634" i="14"/>
  <c r="M633" i="14"/>
  <c r="M632" i="14"/>
  <c r="M631" i="14"/>
  <c r="M630" i="14"/>
  <c r="M629" i="14"/>
  <c r="M628" i="14"/>
  <c r="M627" i="14"/>
  <c r="M626" i="14"/>
  <c r="M625" i="14"/>
  <c r="M624" i="14"/>
  <c r="M623" i="14"/>
  <c r="M622" i="14"/>
  <c r="M621" i="14"/>
  <c r="M620" i="14"/>
  <c r="M619" i="14"/>
  <c r="M618" i="14"/>
  <c r="M617" i="14"/>
  <c r="M616" i="14"/>
  <c r="M615" i="14"/>
  <c r="M614" i="14"/>
  <c r="M613" i="14"/>
  <c r="M612" i="14"/>
  <c r="M611" i="14"/>
  <c r="M610" i="14"/>
  <c r="M609" i="14"/>
  <c r="M608" i="14"/>
  <c r="M607" i="14"/>
  <c r="M606" i="14"/>
  <c r="M605" i="14"/>
  <c r="M604" i="14"/>
  <c r="M603" i="14"/>
  <c r="M602" i="14"/>
  <c r="M601" i="14"/>
  <c r="M600" i="14"/>
  <c r="M599" i="14"/>
  <c r="M598" i="14"/>
  <c r="M597" i="14"/>
  <c r="M596" i="14"/>
  <c r="M595" i="14"/>
  <c r="M594" i="14"/>
  <c r="M593" i="14"/>
  <c r="M592" i="14"/>
  <c r="M591" i="14"/>
  <c r="M590" i="14"/>
  <c r="M589" i="14"/>
  <c r="M588" i="14"/>
  <c r="M587" i="14"/>
  <c r="M586" i="14"/>
  <c r="M585" i="14"/>
  <c r="M584" i="14"/>
  <c r="M583" i="14"/>
  <c r="M582" i="14"/>
  <c r="M581" i="14"/>
  <c r="M580" i="14"/>
  <c r="M579" i="14"/>
  <c r="M578" i="14"/>
  <c r="M577" i="14"/>
  <c r="M576" i="14"/>
  <c r="M575" i="14"/>
  <c r="M574" i="14"/>
  <c r="M573" i="14"/>
  <c r="M572" i="14"/>
  <c r="M571" i="14"/>
  <c r="M570" i="14"/>
  <c r="M569" i="14"/>
  <c r="M568" i="14"/>
  <c r="M567" i="14"/>
  <c r="M566" i="14"/>
  <c r="M565" i="14"/>
  <c r="M564" i="14"/>
  <c r="M563" i="14"/>
  <c r="M562" i="14"/>
  <c r="M561" i="14"/>
  <c r="M560" i="14"/>
  <c r="M559" i="14"/>
  <c r="M558" i="14"/>
  <c r="M557" i="14"/>
  <c r="M556" i="14"/>
  <c r="M555" i="14"/>
  <c r="M554" i="14"/>
  <c r="M553" i="14"/>
  <c r="M552" i="14"/>
  <c r="M551" i="14"/>
  <c r="M550" i="14"/>
  <c r="M549" i="14"/>
  <c r="M548" i="14"/>
  <c r="M547" i="14"/>
  <c r="M546" i="14"/>
  <c r="M545" i="14"/>
  <c r="M544" i="14"/>
  <c r="M543" i="14"/>
  <c r="M542" i="14"/>
  <c r="M541" i="14"/>
  <c r="M540" i="14"/>
  <c r="M539" i="14"/>
  <c r="M538" i="14"/>
  <c r="M537" i="14"/>
  <c r="M536" i="14"/>
  <c r="M535" i="14"/>
  <c r="M534" i="14"/>
  <c r="M533" i="14"/>
  <c r="M532" i="14"/>
  <c r="M531" i="14"/>
  <c r="M530" i="14"/>
  <c r="M529" i="14"/>
  <c r="M528" i="14"/>
  <c r="M527" i="14"/>
  <c r="M526" i="14"/>
  <c r="M525" i="14"/>
  <c r="M524" i="14"/>
  <c r="M523" i="14"/>
  <c r="M522" i="14"/>
  <c r="M521" i="14"/>
  <c r="M520" i="14"/>
  <c r="M519" i="14"/>
  <c r="M518" i="14"/>
  <c r="M517" i="14"/>
  <c r="M516" i="14"/>
  <c r="M515" i="14"/>
  <c r="M514" i="14"/>
  <c r="M513" i="14"/>
  <c r="M512" i="14"/>
  <c r="M511" i="14"/>
  <c r="M510" i="14"/>
  <c r="M509" i="14"/>
  <c r="M508" i="14"/>
  <c r="M507" i="14"/>
  <c r="M506" i="14"/>
  <c r="M505" i="14"/>
  <c r="M504" i="14"/>
  <c r="M503" i="14"/>
  <c r="M502" i="14"/>
  <c r="M501" i="14"/>
  <c r="M500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87" i="14"/>
  <c r="M486" i="14"/>
  <c r="M485" i="14"/>
  <c r="M484" i="14"/>
  <c r="M483" i="14"/>
  <c r="M482" i="14"/>
  <c r="M481" i="14"/>
  <c r="M480" i="14"/>
  <c r="M479" i="14"/>
  <c r="M478" i="14"/>
  <c r="M477" i="14"/>
  <c r="M476" i="14"/>
  <c r="M475" i="14"/>
  <c r="M474" i="14"/>
  <c r="M473" i="14"/>
  <c r="M472" i="14"/>
  <c r="M471" i="14"/>
  <c r="M470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57" i="14"/>
  <c r="M456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43" i="14"/>
  <c r="M442" i="14"/>
  <c r="M441" i="14"/>
  <c r="M440" i="14"/>
  <c r="M439" i="14"/>
  <c r="M438" i="14"/>
  <c r="M437" i="14"/>
  <c r="M436" i="14"/>
  <c r="M435" i="14"/>
  <c r="M434" i="14"/>
  <c r="M433" i="14"/>
  <c r="M432" i="14"/>
  <c r="M431" i="14"/>
  <c r="M430" i="14"/>
  <c r="M429" i="14"/>
  <c r="M428" i="14"/>
  <c r="M427" i="14"/>
  <c r="M426" i="14"/>
  <c r="M425" i="14"/>
  <c r="M424" i="14"/>
  <c r="M423" i="14"/>
  <c r="M422" i="14"/>
  <c r="M421" i="14"/>
  <c r="M420" i="14"/>
  <c r="M419" i="14"/>
  <c r="M418" i="14"/>
  <c r="M417" i="14"/>
  <c r="M416" i="14"/>
  <c r="M415" i="14"/>
  <c r="M414" i="14"/>
  <c r="M413" i="14"/>
  <c r="M412" i="14"/>
  <c r="M411" i="14"/>
  <c r="M410" i="14"/>
  <c r="M409" i="14"/>
  <c r="M408" i="14"/>
  <c r="M407" i="14"/>
  <c r="M406" i="14"/>
  <c r="M405" i="14"/>
  <c r="M404" i="14"/>
  <c r="M403" i="14"/>
  <c r="M402" i="14"/>
  <c r="M401" i="14"/>
  <c r="M400" i="14"/>
  <c r="M399" i="14"/>
  <c r="M398" i="14"/>
  <c r="M397" i="14"/>
  <c r="M396" i="14"/>
  <c r="M395" i="14"/>
  <c r="M394" i="14"/>
  <c r="M393" i="14"/>
  <c r="M392" i="14"/>
  <c r="M391" i="14"/>
  <c r="M390" i="14"/>
  <c r="M389" i="14"/>
  <c r="M388" i="14"/>
  <c r="M387" i="14"/>
  <c r="M386" i="14"/>
  <c r="M385" i="14"/>
  <c r="M384" i="14"/>
  <c r="M383" i="14"/>
  <c r="M382" i="14"/>
  <c r="M381" i="14"/>
  <c r="M380" i="14"/>
  <c r="M379" i="14"/>
  <c r="M378" i="14"/>
  <c r="M377" i="14"/>
  <c r="M376" i="14"/>
  <c r="M375" i="14"/>
  <c r="M374" i="14"/>
  <c r="M373" i="14"/>
  <c r="M372" i="14"/>
  <c r="M371" i="14"/>
  <c r="M370" i="14"/>
  <c r="M369" i="14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M316" i="14"/>
  <c r="M315" i="14"/>
  <c r="M314" i="14"/>
  <c r="M313" i="14"/>
  <c r="M312" i="14"/>
  <c r="M311" i="14"/>
  <c r="M310" i="14"/>
  <c r="M309" i="14"/>
  <c r="M308" i="14"/>
  <c r="M307" i="14"/>
  <c r="M306" i="14"/>
  <c r="M305" i="14"/>
  <c r="M304" i="14"/>
  <c r="M303" i="14"/>
  <c r="M302" i="14"/>
  <c r="M301" i="14"/>
  <c r="M300" i="14"/>
  <c r="M299" i="14"/>
  <c r="M298" i="14"/>
  <c r="M297" i="14"/>
  <c r="M296" i="14"/>
  <c r="M295" i="14"/>
  <c r="M294" i="14"/>
  <c r="M293" i="14"/>
  <c r="M292" i="14"/>
  <c r="M291" i="14"/>
  <c r="M290" i="14"/>
  <c r="M289" i="14"/>
  <c r="M288" i="14"/>
  <c r="M287" i="14"/>
  <c r="M286" i="14"/>
  <c r="M285" i="14"/>
  <c r="M284" i="14"/>
  <c r="M283" i="14"/>
  <c r="M282" i="14"/>
  <c r="M281" i="14"/>
  <c r="M280" i="14"/>
  <c r="M279" i="14"/>
  <c r="M278" i="14"/>
  <c r="M277" i="14"/>
  <c r="M276" i="14"/>
  <c r="M275" i="14"/>
  <c r="M274" i="14"/>
  <c r="M273" i="14"/>
  <c r="M272" i="14"/>
  <c r="M271" i="14"/>
  <c r="M270" i="14"/>
  <c r="M269" i="14"/>
  <c r="M268" i="14"/>
  <c r="M267" i="14"/>
  <c r="M266" i="14"/>
  <c r="M265" i="14"/>
  <c r="M264" i="14"/>
  <c r="M263" i="14"/>
  <c r="M262" i="14"/>
  <c r="M261" i="14"/>
  <c r="M260" i="14"/>
  <c r="M259" i="14"/>
  <c r="M258" i="14"/>
  <c r="M257" i="14"/>
  <c r="M256" i="14"/>
  <c r="M255" i="14"/>
  <c r="M254" i="14"/>
  <c r="M253" i="14"/>
  <c r="M252" i="14"/>
  <c r="M251" i="14"/>
  <c r="M250" i="14"/>
  <c r="M249" i="14"/>
  <c r="M248" i="14"/>
  <c r="M247" i="14"/>
  <c r="M246" i="14"/>
  <c r="M245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M226" i="14"/>
  <c r="M225" i="14"/>
  <c r="M224" i="14"/>
  <c r="M223" i="14"/>
  <c r="M222" i="14"/>
  <c r="M221" i="14"/>
  <c r="M220" i="14"/>
  <c r="M219" i="14"/>
  <c r="M218" i="14"/>
  <c r="M217" i="14"/>
  <c r="M216" i="14"/>
  <c r="M215" i="14"/>
  <c r="M214" i="14"/>
  <c r="M213" i="14"/>
  <c r="M212" i="14"/>
  <c r="M211" i="14"/>
  <c r="M210" i="14"/>
  <c r="M209" i="14"/>
  <c r="M208" i="14"/>
  <c r="M207" i="14"/>
  <c r="M206" i="14"/>
  <c r="M205" i="14"/>
  <c r="M204" i="14"/>
  <c r="M203" i="14"/>
  <c r="M202" i="14"/>
  <c r="M201" i="14"/>
  <c r="M200" i="14"/>
  <c r="M199" i="14"/>
  <c r="M198" i="14"/>
  <c r="M197" i="14"/>
  <c r="M196" i="14"/>
  <c r="M195" i="14"/>
  <c r="M194" i="14"/>
  <c r="M193" i="14"/>
  <c r="M192" i="14"/>
  <c r="M191" i="14"/>
  <c r="M190" i="14"/>
  <c r="M189" i="14"/>
  <c r="M188" i="14"/>
  <c r="M187" i="14"/>
  <c r="M186" i="14"/>
  <c r="M185" i="14"/>
  <c r="M184" i="14"/>
  <c r="M183" i="14"/>
  <c r="M182" i="14"/>
  <c r="M181" i="14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K716" i="2"/>
  <c r="N711" i="2"/>
  <c r="N712" i="2"/>
  <c r="N713" i="2"/>
  <c r="N714" i="2"/>
  <c r="N715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65" i="2"/>
  <c r="N36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E16" i="12"/>
  <c r="K518" i="10"/>
  <c r="K43" i="6"/>
  <c r="A9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D8412-E113-4038-BD17-DDAC94E6E58B}" keepAlive="1" name="Consulta - queryCARRADAS-20250905-83647" description="Conexão com a consulta 'queryCARRADAS-20250905-83647' na pasta de trabalho." type="5" refreshedVersion="8" background="1" saveData="1">
    <dbPr connection="Provider=Microsoft.Mashup.OleDb.1;Data Source=$Workbook$;Location=queryCARRADAS-20250905-83647;Extended Properties=&quot;&quot;" command="SELECT * FROM [queryCARRADAS-20250905-83647]"/>
  </connection>
  <connection id="2" xr16:uid="{942F3936-7472-4233-AB70-ABF0CD8E3CCC}" keepAlive="1" name="Consulta - queryCARRADAS-20250905-83647 (2)" description="Conexão com a consulta 'queryCARRADAS-20250905-83647 (2)' na pasta de trabalho." type="5" refreshedVersion="8" background="1" saveData="1">
    <dbPr connection="Provider=Microsoft.Mashup.OleDb.1;Data Source=$Workbook$;Location=&quot;queryCARRADAS-20250905-83647 (2)&quot;;Extended Properties=&quot;&quot;" command="SELECT * FROM [queryCARRADAS-20250905-83647 (2)]"/>
  </connection>
  <connection id="3" xr16:uid="{FE3336E4-4305-48B2-B513-941F6835FC69}" keepAlive="1" name="Consulta - queryCARRADAS-20250905-83647 (3)" description="Conexão com a consulta 'queryCARRADAS-20250905-83647 (3)' na pasta de trabalho." type="5" refreshedVersion="8" background="1" saveData="1">
    <dbPr connection="Provider=Microsoft.Mashup.OleDb.1;Data Source=$Workbook$;Location=&quot;queryCARRADAS-20250905-83647 (3)&quot;;Extended Properties=&quot;&quot;" command="SELECT * FROM [queryCARRADAS-20250905-83647 (3)]"/>
  </connection>
</connections>
</file>

<file path=xl/sharedStrings.xml><?xml version="1.0" encoding="utf-8"?>
<sst xmlns="http://schemas.openxmlformats.org/spreadsheetml/2006/main" count="38783" uniqueCount="4580">
  <si>
    <t>DATA</t>
  </si>
  <si>
    <t>TRANSPORTADOR</t>
  </si>
  <si>
    <t>VEÍCULO</t>
  </si>
  <si>
    <t>MOTORISTA</t>
  </si>
  <si>
    <t>ORIGEM</t>
  </si>
  <si>
    <t>DESTINO</t>
  </si>
  <si>
    <t>DISTÂNCIA</t>
  </si>
  <si>
    <t>MATERIAL</t>
  </si>
  <si>
    <t>QUANTIDADE</t>
  </si>
  <si>
    <t>FRETE</t>
  </si>
  <si>
    <t>NOTA FISCAL</t>
  </si>
  <si>
    <t>METROPOLITANA</t>
  </si>
  <si>
    <t xml:space="preserve">MATERIAL </t>
  </si>
  <si>
    <t>CR</t>
  </si>
  <si>
    <t xml:space="preserve">MIRADOR-MA </t>
  </si>
  <si>
    <t xml:space="preserve">MINERADORA PF </t>
  </si>
  <si>
    <t xml:space="preserve">VALOR </t>
  </si>
  <si>
    <t xml:space="preserve">TOTAL </t>
  </si>
  <si>
    <t>GRANORTEEXPOEMABICA CORRIDA</t>
  </si>
  <si>
    <t>SERVENGOLINDA NOVA - MAPÓ DE BRITA</t>
  </si>
  <si>
    <t>BRASIL MINERACAOUA SAO LUISRACHÃOZINHO</t>
  </si>
  <si>
    <t>BRASIL MINERACAOUA SAO LUISBRITA 0</t>
  </si>
  <si>
    <t>SERVENGUSINA PINHEIROPÓ DE BRITA</t>
  </si>
  <si>
    <t>MINERADORA PORTO FRANCOVALE NOVA VIDABGS</t>
  </si>
  <si>
    <t>MINERADORA PORTO FRANCOCONCRENORTEPÓ DE BRITA</t>
  </si>
  <si>
    <t>BRASIL MINERACAOUA SAO LUISPULMÃOZINHO</t>
  </si>
  <si>
    <t>MINERACAO OURO PRETO - COLINAS/MAMIRADOR- MABRITA 0</t>
  </si>
  <si>
    <t>GRANORTEUA SAO LUISPÓ DE BRITA</t>
  </si>
  <si>
    <t>GRANORTEEXPOEMABRITA 3</t>
  </si>
  <si>
    <t>GRANORTEUA PINHEIRO - MAPÓ DE BRITA</t>
  </si>
  <si>
    <t>SERVENGUSINA SAO LUISPÓ DE BRITA</t>
  </si>
  <si>
    <t>BRASIL MINERACAOUA SAO LUISPÓ DE BRITA</t>
  </si>
  <si>
    <t>MINERACAO OURO PRETO - COLINAS/MAMIRADOR- MAPÓ DE BRITA</t>
  </si>
  <si>
    <t>JGA MINERADORA - PASTOS BONS/MAMIRADORBRITA 1</t>
  </si>
  <si>
    <t>GRANORTEEXPOEMARACHÃOZINHO</t>
  </si>
  <si>
    <t>GRANORTEEXPOEMAPULMÃOZINHO</t>
  </si>
  <si>
    <t>GRANORTEOLINDA NOVA - MAPÓ DE BRITA</t>
  </si>
  <si>
    <t>GRANORTEOLINDA NOVA - MABGS</t>
  </si>
  <si>
    <t>GRANORTEARACAGY - SAO LUISRACHÃOZINHO</t>
  </si>
  <si>
    <t>GRANORTEARACAGY - SAO LUISBRITA 3</t>
  </si>
  <si>
    <t>MINERADORA PORTO FRANCOSENADOR LA ROQUERACHÃO</t>
  </si>
  <si>
    <t>MINERADORA PORTO FRANCOSENADOR LA ROQUEMATACO</t>
  </si>
  <si>
    <t>GRANORTEOLINDA NOVA - MABICA CORRIDA</t>
  </si>
  <si>
    <t>POLIMIX -BACABEIRAUA SAO LUISPÓ DE BRITA</t>
  </si>
  <si>
    <t>GRANORTEUA SAO LUISBICA CORRIDA</t>
  </si>
  <si>
    <t>GRANORTEMETROPOLITANABICA CORRIDA</t>
  </si>
  <si>
    <t>SERVENGUSINA SANTA RITABICA CORRIDA</t>
  </si>
  <si>
    <t>GRANORTEMETROPOLITANAPULMÃOZINHO</t>
  </si>
  <si>
    <t>GRANORTESANTA RITA - MAPULMÃOZINHO</t>
  </si>
  <si>
    <t>GRANORTEDEPOSITO DISTRITOBICA CORRIDA</t>
  </si>
  <si>
    <t>GRANORTESANTA RITA - MABRITA 3</t>
  </si>
  <si>
    <t>GRANORTEUA SAO LUISBRITA 3</t>
  </si>
  <si>
    <t>MINERADORA PORTO FRANCOIMPERATRIZ OBRA BURITIMATACO</t>
  </si>
  <si>
    <t>GRANORTEARACAGY - SAO LUISBICA CORRIDA</t>
  </si>
  <si>
    <t>GRANORTEREGIONAL SAO LUIS (DEPOSITO DISTRITO)RACHÃOZINHO</t>
  </si>
  <si>
    <t>MINERADORA PORTO FRANCOLUCENA ACAILANDIABGS</t>
  </si>
  <si>
    <t>GRANORTEDEPOSITO DISTRITORACHÃOZINHO</t>
  </si>
  <si>
    <t>GRANORTEUA SAO LUISPULMÃOZINHO</t>
  </si>
  <si>
    <t>GRANORTEDEPOSITO DISTRITOPULMÃOZINHO</t>
  </si>
  <si>
    <t>POLIMIX -BACABEIRAUA SAO LUISAREIA</t>
  </si>
  <si>
    <t>GRANORTEVETORPÓ DE BRITA</t>
  </si>
  <si>
    <t>MINERACAO OURO PRETO - COLINAS/MAMIRADOR- MABRITA 1</t>
  </si>
  <si>
    <t>GRANORTEUA SAO LUISRACHÃOZINHO</t>
  </si>
  <si>
    <t>OLINDA NOVA - MAPINHEIRO - MAPÓ DE BRITA</t>
  </si>
  <si>
    <t>MINERADORA PORTO FRANCOVALE NOVA VIDABRITA 0</t>
  </si>
  <si>
    <t>MINERADORA PORTO FRANCOINPASA AGROINDUSTRIALBGS</t>
  </si>
  <si>
    <t>MINERADORA PORTO FRANCOVALE NOVA VIDABICA CORRIDA</t>
  </si>
  <si>
    <t>MINERADORA PORTO FRANCOVALE NOVA VIDABRITA 1</t>
  </si>
  <si>
    <t>NOVO JARDIM -TOTAIPAS - TOBRITA 0</t>
  </si>
  <si>
    <t>NOVO JARDIM -TOTAIPAS - TOBRITA 1</t>
  </si>
  <si>
    <t>MINERADORA PORTO FRANCOIMPERATRIZ OBRA BURITIRACHÃO</t>
  </si>
  <si>
    <t>MINERADORA PORTO FRANCOIMPERAMAQPÓ DE BRITA</t>
  </si>
  <si>
    <t>MINERADORA PORTO FRANCO - MALUCENA (VALE - ACAILANDIA - MA)BGS</t>
  </si>
  <si>
    <t>Granorte S/AUA-06 -PinheiroPó de Brita</t>
  </si>
  <si>
    <t>Granorte S/AUA-03-Olinda novaPó de Brita</t>
  </si>
  <si>
    <t>Granorte S/AUA-03-Olinda novaBica Corrida</t>
  </si>
  <si>
    <t>GRANORTE S/AUA-11 DistritoPó de Brita</t>
  </si>
  <si>
    <t>BRASIL MINERAÇÃOUA-11 DistritoRachãozinho</t>
  </si>
  <si>
    <t>BRASIL MINERAÇÃOUA-11 DistritoPó de Brita</t>
  </si>
  <si>
    <t>GRANORTE S/AUA-11 DistritoBica Corrida</t>
  </si>
  <si>
    <t>BRASIL MINERAÇÃOUA-11 DistritoBrita 0</t>
  </si>
  <si>
    <t>GRANORTE S/AUA-11 DistritoPulmaozinho</t>
  </si>
  <si>
    <t>MIRADOR-MA</t>
  </si>
  <si>
    <t>TAIPAS-TO</t>
  </si>
  <si>
    <t>UA-PINHEIRO</t>
  </si>
  <si>
    <t>UA-DISTRITO</t>
  </si>
  <si>
    <t>GRANORTEUA SAO LUISBRITA 0</t>
  </si>
  <si>
    <t>MINERADORA PORTO FRANCO - MAIMPACTO CONSTRUCAO - IMPERATRIZBGS</t>
  </si>
  <si>
    <t>USINA PINHEIROOLINDA NOVA - MAPÓ DE BRITA</t>
  </si>
  <si>
    <t>JGA MINERADORA - PASTOS BONS/MAMIRADORPÓ DE BRITA</t>
  </si>
  <si>
    <t>MINAS BRITA COLINAS-MAUA03 MIRADOR-MAPÓ DE BRITA</t>
  </si>
  <si>
    <t>GRANORTEUA SAO LUISBRITA 1</t>
  </si>
  <si>
    <t>MINERADORA PORTO FRANCO - MAVLI - PEQUIAMATACO</t>
  </si>
  <si>
    <t>MINAS BRITA COLINAS-MAUA03 MIRADOR-MABRITA 0</t>
  </si>
  <si>
    <t>GRANORTERAPOSAPULMÃOZINHO</t>
  </si>
  <si>
    <t>MINERADORA PORTO FRANCOPRAXIS OBRA JKRACHÃO</t>
  </si>
  <si>
    <t>JGA MINERADORA - PASTOS BONS/MAMIRADORBRITA 0</t>
  </si>
  <si>
    <t>GRANORTERAPOSABRITA 3</t>
  </si>
  <si>
    <t>GRANORTEREGIONAL SAO LUIS (DEPOSITO DISTRITO)PÓ DE BRITA</t>
  </si>
  <si>
    <t>MINERADORA PORTO FRANCOINPASA AGROINDUSTRIALBICA CORRIDA</t>
  </si>
  <si>
    <t>MINERADORA PORTO FRANCOSENADOR LA ROQUEBRITA 1</t>
  </si>
  <si>
    <t>MINERADORA PORTO FRANCOINPASA AGROINDUSTRIALPÓ DE BRITA</t>
  </si>
  <si>
    <t>MINERADORA PORTO FRANCO - MAACAILANDIA - VALERACHÃO</t>
  </si>
  <si>
    <t>MINERADORA PORTO FRANCOUSINA DA NSABRITA 0</t>
  </si>
  <si>
    <t>MINERADORA PORTO FRANCOUSINA DA ETHOSBRITA 1</t>
  </si>
  <si>
    <t>MINERAX XAMBIOAPORTO FRANCO - MACALCÁRIO</t>
  </si>
  <si>
    <t>MINERADORA PORTO FRANCOVALE ACAILANDIA KM522RACHÃO</t>
  </si>
  <si>
    <t>MINERADORA PORTO FRANCOVALE ACAILANDIA KM522RACHÃOZINHO</t>
  </si>
  <si>
    <t xml:space="preserve">METROPOLITANA </t>
  </si>
  <si>
    <t>GRANORTE S/AUSINA PINHEIROPó de Brita</t>
  </si>
  <si>
    <t>DATA DE RECEBIMENTO</t>
  </si>
  <si>
    <t>BEIRA RIO</t>
  </si>
  <si>
    <t>VILA QUIXABA-TODUERE-TOPÓ DE BRITA</t>
  </si>
  <si>
    <t xml:space="preserve">GRANJA PASSO REALFAZENDA FREZADORAESTEGO DE GALINHA </t>
  </si>
  <si>
    <t>MINERADORA PORTO FRANCOVALE ACAILANDIA KM522MATACO</t>
  </si>
  <si>
    <t>GRANORTEBEIRA RIOBRITA 3</t>
  </si>
  <si>
    <t>GRANORTEBEIRA RIOPULMÃOZINHO</t>
  </si>
  <si>
    <t>GRANORTEBEIRA RIOBICA CORRIDA</t>
  </si>
  <si>
    <t>MINERADORA PORTO FRANCOUSINA DA ETHOSPÓ DE BRITA</t>
  </si>
  <si>
    <t>MINERADORA PORTO FRANCOUSINA DA ETHOSBRITA 0</t>
  </si>
  <si>
    <t>MINERADORA PORTO FRANCOPRAXIS OBRA JKBRITA 1</t>
  </si>
  <si>
    <t>METROPOLITANARETORNO DA UEMABICA CORRIDA</t>
  </si>
  <si>
    <t>AV. METROPOLITANARETORNO DA UEMABICA CORRIDA</t>
  </si>
  <si>
    <t>GRANORTEBEIRA RIORACHÃOZINHO</t>
  </si>
  <si>
    <t>MINAS BRITA COLINAS-MAUA03 MIRADOR-MABRITA 1</t>
  </si>
  <si>
    <t>MINERADORA PORTO FRANCOPONTE DO ESTREITO-MARACHÃO</t>
  </si>
  <si>
    <t>MINERADORA PORTO FRANCOPONTE DO ESTREITO-MARACHÃOZINHO</t>
  </si>
  <si>
    <t>MINERADORA PORTO FRANCOITINGA PA (JUMBO)RACHÃO</t>
  </si>
  <si>
    <t>MINERADORA PORTO FRANCOITINGA PA (JUMBO)MATACO</t>
  </si>
  <si>
    <t>AV. METROPOLITANARETORNO DA UEMABRITA 2</t>
  </si>
  <si>
    <t>AV. METROPOLITANARETORNO DA UEMABRITA 3</t>
  </si>
  <si>
    <t>MINERADORA PORTO FRANCO - MAVLI PORTO FRANCOBGS</t>
  </si>
  <si>
    <t>METROPOLITANARETORNO DA UEMABRITA 3</t>
  </si>
  <si>
    <t>METROPOLITANARETORNO DA UEMARACHÃOZINHO</t>
  </si>
  <si>
    <t>AV. METROPOLITANARETORNO DA UEMAPULMÃOZINHO</t>
  </si>
  <si>
    <t>METROPOLITANARETORNO DA UEMAPULMÃOZINHO</t>
  </si>
  <si>
    <t>MINERADORA PORTO FRANCOITINGA PA (JUMBO)RACHÃOZINHO</t>
  </si>
  <si>
    <t>BRASIL MINERACAOUA SAO LUISBRITA 1</t>
  </si>
  <si>
    <t>AV. METROPOLITANARETORNO DA UEMARACHÃOZINHO</t>
  </si>
  <si>
    <t>MINERACAO OURO PRETOPOV.SAO JOAO -MIRADORBRITA 0</t>
  </si>
  <si>
    <t>BRASIL MINERACAOUA SAO LUISBICA CORRIDA</t>
  </si>
  <si>
    <t>MINERADORA PORTO FRANCOITINGA PA (JUMBO)MATERIAL</t>
  </si>
  <si>
    <t>MINERADORA PORTO FRANCOVALE NOVA VIDARACHÃO</t>
  </si>
  <si>
    <t>GRANORTEUA SAO LUISPEDRA PULMÃO</t>
  </si>
  <si>
    <t>MINERACAO OURO PRETOPOV.SAO JOAO -MIRADORPÓ DE BRITA</t>
  </si>
  <si>
    <t>MINERADORA PORTO FRANCOVALE NOVA VIDAMATERIAL</t>
  </si>
  <si>
    <t>GRANORTECUJUPEBRITA 0</t>
  </si>
  <si>
    <t>MINERADORA PORTO FRANCOARAME - MABRITA 1</t>
  </si>
  <si>
    <t>VILA QUIXABA-TODUERE-TOBRITA 0</t>
  </si>
  <si>
    <t>MINERADORA PORTO FRANCOVALE ACAILANDIA KM522BRITA 0</t>
  </si>
  <si>
    <t>MINERADORA PORTO FRANCOAGUIARNOPOLISRACHÃOZINHO</t>
  </si>
  <si>
    <t>MINERADORA PORTO FRANCO - MAVLI - PEQUIARACHÃO</t>
  </si>
  <si>
    <t>VILA QUIXABA-TODUERE-TOBRITA 1</t>
  </si>
  <si>
    <t>MINERADORA PORTO FRANCOLUCENA, RETA KM490RACHÃO</t>
  </si>
  <si>
    <t>MINERADORA PF</t>
  </si>
  <si>
    <t xml:space="preserve">BEIRA RIO </t>
  </si>
  <si>
    <t xml:space="preserve">GURUPI </t>
  </si>
  <si>
    <t>AGRO</t>
  </si>
  <si>
    <t>MINERADORA PORTO FRANCOBOA SORTE ARAGUAINA TOBRITA 1</t>
  </si>
  <si>
    <t xml:space="preserve">INPASA BALSASARAS FALCARFARELO </t>
  </si>
  <si>
    <t>MINERADORA PORTO FRANCONOVO BACABALBRITA 1</t>
  </si>
  <si>
    <t>UA PINHEIRO</t>
  </si>
  <si>
    <t>CM05</t>
  </si>
  <si>
    <t>BRASIL MINERACAO</t>
  </si>
  <si>
    <t>UA SAO LUIS</t>
  </si>
  <si>
    <t>PÓ DE BRITA</t>
  </si>
  <si>
    <t>GRANORTE</t>
  </si>
  <si>
    <t>CM06</t>
  </si>
  <si>
    <t>LUIS CARLOS P SILVA</t>
  </si>
  <si>
    <t>PULMÃOZINHO</t>
  </si>
  <si>
    <t>CM07</t>
  </si>
  <si>
    <t>NAKELISON SILVA OLIVEIRA</t>
  </si>
  <si>
    <t>BICA CORRIDA</t>
  </si>
  <si>
    <t>CM31</t>
  </si>
  <si>
    <t>ISRAEL LIMA PEREIRA</t>
  </si>
  <si>
    <t>BRITA 0</t>
  </si>
  <si>
    <t>CM75</t>
  </si>
  <si>
    <t>PATRICK LENNON CORREIA DA SILVA</t>
  </si>
  <si>
    <t>WELLINGTON MARCIO MARQUES</t>
  </si>
  <si>
    <t>CM23</t>
  </si>
  <si>
    <t>CLEBER SOARES</t>
  </si>
  <si>
    <t>CM33</t>
  </si>
  <si>
    <t>HAVILA BELFORT BARROS</t>
  </si>
  <si>
    <t>CM60</t>
  </si>
  <si>
    <t>RONILSON MUNIZ SOUZA</t>
  </si>
  <si>
    <t>RACHÃOZINHO</t>
  </si>
  <si>
    <t>CM68</t>
  </si>
  <si>
    <t>JAIME ALENCAR DE MELO</t>
  </si>
  <si>
    <t>CMVI04</t>
  </si>
  <si>
    <t>FRANCISCO MARCULINO</t>
  </si>
  <si>
    <t>SERVENG</t>
  </si>
  <si>
    <t>OLINDA NOVA - MA</t>
  </si>
  <si>
    <t>CM63</t>
  </si>
  <si>
    <t>CM43</t>
  </si>
  <si>
    <t>LUCENILDO SILVA</t>
  </si>
  <si>
    <t>BRITA 1</t>
  </si>
  <si>
    <t>CMVI02</t>
  </si>
  <si>
    <t>VICENTE FERNANDES DE F. JUNIOR</t>
  </si>
  <si>
    <t>USINA SAO LUIS</t>
  </si>
  <si>
    <t>CM18</t>
  </si>
  <si>
    <t>CM73</t>
  </si>
  <si>
    <t>RUI CORDEIRO</t>
  </si>
  <si>
    <t>CMVI03</t>
  </si>
  <si>
    <t>CM65</t>
  </si>
  <si>
    <t>EDNILSON RAMOS COSTA</t>
  </si>
  <si>
    <t>CM79</t>
  </si>
  <si>
    <t>ANTONIO BISPO SENA</t>
  </si>
  <si>
    <t>RACHÃO</t>
  </si>
  <si>
    <t>CM69</t>
  </si>
  <si>
    <t>JOSE JOAQUIM B. SOUSA</t>
  </si>
  <si>
    <t>CM62</t>
  </si>
  <si>
    <t>ANTONIO JOSE MONTEIRO SANTANA</t>
  </si>
  <si>
    <t>USINA PINHEIRO</t>
  </si>
  <si>
    <t>CMVI01</t>
  </si>
  <si>
    <t>GLAUDSON MOREIRA DUARTE</t>
  </si>
  <si>
    <t>ANTONIO MAMEDE DOS SANTOS</t>
  </si>
  <si>
    <t>BRITA 3</t>
  </si>
  <si>
    <t>RODRIGO ARAUJO DE OLIVEIRA</t>
  </si>
  <si>
    <t>EXPOEMA</t>
  </si>
  <si>
    <t>CM64</t>
  </si>
  <si>
    <t>WELLINGTON C  ROCHA</t>
  </si>
  <si>
    <t>BGS</t>
  </si>
  <si>
    <t xml:space="preserve">PINHEIRO </t>
  </si>
  <si>
    <t>UA PINHEIRO - MA</t>
  </si>
  <si>
    <t xml:space="preserve">UA DISTRITO </t>
  </si>
  <si>
    <t xml:space="preserve">MIRADOR </t>
  </si>
  <si>
    <t xml:space="preserve">UA PINHEIRO </t>
  </si>
  <si>
    <t>DUERE</t>
  </si>
  <si>
    <t>BRASIL MINERACAOUA SAO LUIS</t>
  </si>
  <si>
    <t>GRANORTEUA SAO LUIS</t>
  </si>
  <si>
    <t>SERVENGUSINA PINHEIRO</t>
  </si>
  <si>
    <t>MINERADORA PORTO FRANCOCANCELA PRETA (VALE KM556)</t>
  </si>
  <si>
    <t>MINERACAO OURO PRETO - COLINAS/MAMIRADOR- MA</t>
  </si>
  <si>
    <t>SERVENGUSINA SAO LUIS</t>
  </si>
  <si>
    <t>BRASIL MINERACAOEXPOEMA</t>
  </si>
  <si>
    <t>GRANORTE3 CANTEIRO</t>
  </si>
  <si>
    <t>AV. METROPOLITANARETORNO DA UEMA</t>
  </si>
  <si>
    <t>GRANORTE4 CARTEIRO</t>
  </si>
  <si>
    <t>METROPOLITANARETORNO DA UEMA</t>
  </si>
  <si>
    <t>MINERADORA PORTO FRANCOAGUIARNOPOLIS</t>
  </si>
  <si>
    <t>BRASIL MINERACAO1 CANTEIRO</t>
  </si>
  <si>
    <t>GRANORTEMETROPOLITANA</t>
  </si>
  <si>
    <t>JGA MINERADORA - PASTOS BONS/MAMIRADOR</t>
  </si>
  <si>
    <t>MINERADORA PORTO FRANCOVALE NOVA VIDA KM356</t>
  </si>
  <si>
    <t>MINERADORA PORTO FRANCOLADEIRA DO MANSUETO (VALE)</t>
  </si>
  <si>
    <t>GRANORTE1 CANTEIRO</t>
  </si>
  <si>
    <t>GRANORTECRUZAMENTO MA 201/202 (METROPOLITANA)</t>
  </si>
  <si>
    <t>MINERADORA PORTO FRANCOCONCRENORTE</t>
  </si>
  <si>
    <t>MINERADORA PORTO FRANCO - MAVALE - PONTE DO 40 ACAILANDIA</t>
  </si>
  <si>
    <t>MINERADORA PORTO FRANCOLUCENA, RETA KM490</t>
  </si>
  <si>
    <t>GRANORTEDEPOSITO DISTRITO</t>
  </si>
  <si>
    <t>BRASIL MINERACAO4 CANTEIRO</t>
  </si>
  <si>
    <t>BRASIL MINERACAO5 CANTEIRO</t>
  </si>
  <si>
    <t>MINERADORA PORTO FRANCOAUGUSTINOPOLIS TO (EDEC)</t>
  </si>
  <si>
    <t>BRASIL MINERACAOCONDOMINIO JOMAR MORAES</t>
  </si>
  <si>
    <t>GRANORTEBEIRA RIO</t>
  </si>
  <si>
    <t>MINERADORA PORTO FRANCOVALE KM 386</t>
  </si>
  <si>
    <t>GRANORTEUA PINHEIRO - MA</t>
  </si>
  <si>
    <t>MINERADORA PORTO FRANCO - MAVLI PORTO FRANCO</t>
  </si>
  <si>
    <t>MINERADORA PORTO FRANCOPONTE DO ESTREITO-MA</t>
  </si>
  <si>
    <t>SERVENGOLINDA NOVA - MA</t>
  </si>
  <si>
    <t>BRASIL MINERACAOUA PINHEIRO</t>
  </si>
  <si>
    <t>MINERADORA PORTO FRANCOARAME - MA</t>
  </si>
  <si>
    <t>MINERACAO PRIME (PORTO GRANDE)USINA SAO LUIS</t>
  </si>
  <si>
    <t>VILA QUIXABATUCUMA DUERE</t>
  </si>
  <si>
    <t>VILA QUIXABA-TODUERE-TO</t>
  </si>
  <si>
    <t>MINERADORA PORTO FRANCO - MAACAILANDIA - VALE</t>
  </si>
  <si>
    <t>MINERADORA PORTO FRANCO - MACD MATEUS - IMPERATRIZ</t>
  </si>
  <si>
    <t>MINERADORA PORTO FRANCO - MAITAIPAVA DO GRAJAU</t>
  </si>
  <si>
    <t>MINERADORA PORTO FRANCOVALE ACAILANDIA KM522</t>
  </si>
  <si>
    <t>CM71</t>
  </si>
  <si>
    <t>FRETE CARRADAS JAN/26</t>
  </si>
  <si>
    <t>FRETE CARRADAS DISTRITO JANEIRO/2026</t>
  </si>
  <si>
    <t xml:space="preserve">DATA </t>
  </si>
  <si>
    <t>FRETE CARRADAS JANEIRO 2026</t>
  </si>
  <si>
    <t>CM67</t>
  </si>
  <si>
    <t>MINERADORA PORTO FRANCO</t>
  </si>
  <si>
    <t>CONCRENORTE</t>
  </si>
  <si>
    <t>TUCUMA DUERE</t>
  </si>
  <si>
    <t>MATACO</t>
  </si>
  <si>
    <t>FAC</t>
  </si>
  <si>
    <t>TARKO SERRA SANTIAGO</t>
  </si>
  <si>
    <t>HERCULES THIAGO DOS SANTOS ROCHA</t>
  </si>
  <si>
    <t>CM56</t>
  </si>
  <si>
    <t>CM45</t>
  </si>
  <si>
    <t>JOATAN SOARES DA SILVA</t>
  </si>
  <si>
    <t>CM46</t>
  </si>
  <si>
    <t>JANILSON SERRA RIBEIRO</t>
  </si>
  <si>
    <t>JONHY ANDERSON SOARES LOPES</t>
  </si>
  <si>
    <t>CM34</t>
  </si>
  <si>
    <t>JOSE RIBAMAR SIRQUEIRA</t>
  </si>
  <si>
    <t>MINERADORA PORTO FRANCO - MA</t>
  </si>
  <si>
    <t>PEDRA PULMÃO</t>
  </si>
  <si>
    <t>NF:332330</t>
  </si>
  <si>
    <t>CM20</t>
  </si>
  <si>
    <t>LUIS DE ALMEIDA MACHADO</t>
  </si>
  <si>
    <t>CM32</t>
  </si>
  <si>
    <t>LEANDRO DA MOTA</t>
  </si>
  <si>
    <t>CM84</t>
  </si>
  <si>
    <t>EDER RODRIGUES</t>
  </si>
  <si>
    <t>CM85</t>
  </si>
  <si>
    <t>REGINALDO DIAS</t>
  </si>
  <si>
    <t>CM74</t>
  </si>
  <si>
    <t>IGOR CARLOS DE MEDEIROS</t>
  </si>
  <si>
    <t>VILA QUIXABA</t>
  </si>
  <si>
    <t>CM82</t>
  </si>
  <si>
    <t>MARCOS ARAUJO</t>
  </si>
  <si>
    <t>AUGUSTINOPOLIS TO (EDEC)</t>
  </si>
  <si>
    <t>CM72</t>
  </si>
  <si>
    <t>PAULO SERGIO GOMES FERREIRA</t>
  </si>
  <si>
    <t>CM40</t>
  </si>
  <si>
    <t>JOAO JOSE DAURTE NETO</t>
  </si>
  <si>
    <t>CM41</t>
  </si>
  <si>
    <t>MANOEL WANDERLEY DIAS DA SILVA</t>
  </si>
  <si>
    <t>GLAUDSON</t>
  </si>
  <si>
    <t>VICENTE</t>
  </si>
  <si>
    <t>NF:331584</t>
  </si>
  <si>
    <t>NF:324112</t>
  </si>
  <si>
    <t>NF:331812</t>
  </si>
  <si>
    <t>NF:331814</t>
  </si>
  <si>
    <t>NF:331832</t>
  </si>
  <si>
    <t>NF:324121</t>
  </si>
  <si>
    <t>NF:324128</t>
  </si>
  <si>
    <t>NF:331858</t>
  </si>
  <si>
    <t>NF:331820</t>
  </si>
  <si>
    <t>NF:331925</t>
  </si>
  <si>
    <t>NF:331903</t>
  </si>
  <si>
    <t>NF:331856</t>
  </si>
  <si>
    <t>NF:324106</t>
  </si>
  <si>
    <t>NF:324123</t>
  </si>
  <si>
    <t>NF:324145</t>
  </si>
  <si>
    <t>NF:324148</t>
  </si>
  <si>
    <t>NF:324139</t>
  </si>
  <si>
    <t>NF:331861</t>
  </si>
  <si>
    <t>NF:331941</t>
  </si>
  <si>
    <t>NF:331815</t>
  </si>
  <si>
    <t>NF:331957</t>
  </si>
  <si>
    <t>NF:0324138</t>
  </si>
  <si>
    <t>NF:331955</t>
  </si>
  <si>
    <t>NF:331862</t>
  </si>
  <si>
    <t>NF:324107</t>
  </si>
  <si>
    <t>NF:324122</t>
  </si>
  <si>
    <t>CM36</t>
  </si>
  <si>
    <t>FRANCISCO NEANDRO OLIVEIRA DE MOURA</t>
  </si>
  <si>
    <t>324135</t>
  </si>
  <si>
    <t>NF:324141</t>
  </si>
  <si>
    <t>NF:331912</t>
  </si>
  <si>
    <t>NF:03311920</t>
  </si>
  <si>
    <t>NF:324289</t>
  </si>
  <si>
    <t>NF:324176</t>
  </si>
  <si>
    <t>NF:324218</t>
  </si>
  <si>
    <t>NF:332022</t>
  </si>
  <si>
    <t>NF:324170</t>
  </si>
  <si>
    <t>NF:324172</t>
  </si>
  <si>
    <t>NF:324061</t>
  </si>
  <si>
    <t>NF:324207</t>
  </si>
  <si>
    <t>RAPOSA</t>
  </si>
  <si>
    <t>NF:324210</t>
  </si>
  <si>
    <t>NF:324117</t>
  </si>
  <si>
    <t>NF:332080</t>
  </si>
  <si>
    <t>NF:324162</t>
  </si>
  <si>
    <t>NF:324210, NF:324210</t>
  </si>
  <si>
    <t>NF:332050</t>
  </si>
  <si>
    <t>NF:324235</t>
  </si>
  <si>
    <t>ARACAGY - SAO LUIS</t>
  </si>
  <si>
    <t>NF:324185</t>
  </si>
  <si>
    <t>NF:324206</t>
  </si>
  <si>
    <t>NF:324251</t>
  </si>
  <si>
    <t>NF:324187</t>
  </si>
  <si>
    <t>NF:324230</t>
  </si>
  <si>
    <t>NF:324178</t>
  </si>
  <si>
    <t>NF:324216</t>
  </si>
  <si>
    <t>NF:0324194</t>
  </si>
  <si>
    <t>NF:0324249</t>
  </si>
  <si>
    <t>NF:324136</t>
  </si>
  <si>
    <t>NF:324188</t>
  </si>
  <si>
    <t>NF:324219</t>
  </si>
  <si>
    <t>NF:324147</t>
  </si>
  <si>
    <t>NF:324184</t>
  </si>
  <si>
    <t>NF:324224</t>
  </si>
  <si>
    <t>NF:324245</t>
  </si>
  <si>
    <t>NF:324243</t>
  </si>
  <si>
    <t>NF:324229</t>
  </si>
  <si>
    <t>NF:324262</t>
  </si>
  <si>
    <t>NF:324259</t>
  </si>
  <si>
    <t>NF:324266</t>
  </si>
  <si>
    <t>NF:324283</t>
  </si>
  <si>
    <t>NF:324276</t>
  </si>
  <si>
    <t>NF:324290</t>
  </si>
  <si>
    <t>NF:324269</t>
  </si>
  <si>
    <t>NF:324296</t>
  </si>
  <si>
    <t>NF:324291</t>
  </si>
  <si>
    <t>NF:332222</t>
  </si>
  <si>
    <t>NF:332184</t>
  </si>
  <si>
    <t>NF:332221</t>
  </si>
  <si>
    <t>NF:324209</t>
  </si>
  <si>
    <t>NF:331880</t>
  </si>
  <si>
    <t>NF:331714</t>
  </si>
  <si>
    <t>NF:331433</t>
  </si>
  <si>
    <t>NF:324292</t>
  </si>
  <si>
    <t>NF:324238</t>
  </si>
  <si>
    <t>NF:324307</t>
  </si>
  <si>
    <t>NF:3242993</t>
  </si>
  <si>
    <t>NF:324278</t>
  </si>
  <si>
    <t>NF:324312</t>
  </si>
  <si>
    <t>NF:324319</t>
  </si>
  <si>
    <t>NF:0324286</t>
  </si>
  <si>
    <t>NF:0324314</t>
  </si>
  <si>
    <t>NF:324304</t>
  </si>
  <si>
    <t>NF:234247</t>
  </si>
  <si>
    <t>NF:324275</t>
  </si>
  <si>
    <t>NF:324297</t>
  </si>
  <si>
    <t>NF:324330</t>
  </si>
  <si>
    <t>NF:324282</t>
  </si>
  <si>
    <t>NF:324335</t>
  </si>
  <si>
    <t>NF:324258</t>
  </si>
  <si>
    <t>NF:324321</t>
  </si>
  <si>
    <t>NF:324239</t>
  </si>
  <si>
    <t>NF:324311</t>
  </si>
  <si>
    <t>NF:324280</t>
  </si>
  <si>
    <t>NF:324317</t>
  </si>
  <si>
    <t>NF:332315</t>
  </si>
  <si>
    <t>NF:324331</t>
  </si>
  <si>
    <t>NF:324351</t>
  </si>
  <si>
    <t>NF:324345</t>
  </si>
  <si>
    <t>NF:324354</t>
  </si>
  <si>
    <t>NF:324353</t>
  </si>
  <si>
    <t>NF:324359</t>
  </si>
  <si>
    <t>NF:332358</t>
  </si>
  <si>
    <t>NF:324361</t>
  </si>
  <si>
    <t>NF:332357</t>
  </si>
  <si>
    <t>NF:0324367</t>
  </si>
  <si>
    <t>NF:324370</t>
  </si>
  <si>
    <t>NF:324378</t>
  </si>
  <si>
    <t>NF:324385</t>
  </si>
  <si>
    <t>NF:332384</t>
  </si>
  <si>
    <t>NF:332372</t>
  </si>
  <si>
    <t>NF:332385</t>
  </si>
  <si>
    <t>NF:0332413</t>
  </si>
  <si>
    <t>NF:324326</t>
  </si>
  <si>
    <t>NF:324352</t>
  </si>
  <si>
    <t>NF:324380</t>
  </si>
  <si>
    <t>NF:332412</t>
  </si>
  <si>
    <t>NF:332429</t>
  </si>
  <si>
    <t>NF:332434</t>
  </si>
  <si>
    <t>NF:332321</t>
  </si>
  <si>
    <t>NF:324373</t>
  </si>
  <si>
    <t>NF:324398</t>
  </si>
  <si>
    <t>NF:323707</t>
  </si>
  <si>
    <t>NF:323687</t>
  </si>
  <si>
    <t>NF:323723</t>
  </si>
  <si>
    <t>NF:323752</t>
  </si>
  <si>
    <t>NF:331094</t>
  </si>
  <si>
    <t>NF:323869</t>
  </si>
  <si>
    <t>NF:323936</t>
  </si>
  <si>
    <t>NF:331259</t>
  </si>
  <si>
    <t>NF:332345</t>
  </si>
  <si>
    <t>NF:332415</t>
  </si>
  <si>
    <t>DEPOSITO DISTRITO</t>
  </si>
  <si>
    <t>NF:332360</t>
  </si>
  <si>
    <t>NF:332406</t>
  </si>
  <si>
    <t>NF:0332459</t>
  </si>
  <si>
    <t>NF:332414</t>
  </si>
  <si>
    <t>NF:324387</t>
  </si>
  <si>
    <t>NF:324347</t>
  </si>
  <si>
    <t>NF:332350</t>
  </si>
  <si>
    <t>NF:324402</t>
  </si>
  <si>
    <t>NF:324379</t>
  </si>
  <si>
    <t>332369</t>
  </si>
  <si>
    <t>NF:332486</t>
  </si>
  <si>
    <t>NF:332497</t>
  </si>
  <si>
    <t>NF:332499</t>
  </si>
  <si>
    <t>NF:332504</t>
  </si>
  <si>
    <t>NF:332510</t>
  </si>
  <si>
    <t>NF:332511</t>
  </si>
  <si>
    <t>NF:332508</t>
  </si>
  <si>
    <t>NF:332527</t>
  </si>
  <si>
    <t>NF:332529</t>
  </si>
  <si>
    <t>NF:324462</t>
  </si>
  <si>
    <t>NF:322525</t>
  </si>
  <si>
    <t>NF:332558</t>
  </si>
  <si>
    <t>NF:332547</t>
  </si>
  <si>
    <t>NF:332538</t>
  </si>
  <si>
    <t>NF:324461</t>
  </si>
  <si>
    <t>NF:332530</t>
  </si>
  <si>
    <t>NF:332571</t>
  </si>
  <si>
    <t>NF:332509</t>
  </si>
  <si>
    <t>NF:332544</t>
  </si>
  <si>
    <t>NF:324473</t>
  </si>
  <si>
    <t>NF:332517</t>
  </si>
  <si>
    <t>NF:332573</t>
  </si>
  <si>
    <t>NF:324459</t>
  </si>
  <si>
    <t>NF:324431</t>
  </si>
  <si>
    <t>NF:324455</t>
  </si>
  <si>
    <t>NF:332502</t>
  </si>
  <si>
    <t>NF:332553</t>
  </si>
  <si>
    <t xml:space="preserve">IVECO TESTE </t>
  </si>
  <si>
    <t>AECIO SALOMAO</t>
  </si>
  <si>
    <t>NF:NF332574</t>
  </si>
  <si>
    <t>NF:332535</t>
  </si>
  <si>
    <t>NF:324480</t>
  </si>
  <si>
    <t>NF:324504</t>
  </si>
  <si>
    <t>NF:324493</t>
  </si>
  <si>
    <t>NF:324466</t>
  </si>
  <si>
    <t>NF:324471</t>
  </si>
  <si>
    <t>NF:324403</t>
  </si>
  <si>
    <t>LUCENILDO VIANA SILVA</t>
  </si>
  <si>
    <t>NF:332513</t>
  </si>
  <si>
    <t>NF:324495</t>
  </si>
  <si>
    <t>NF:0324477</t>
  </si>
  <si>
    <t>NF:324531</t>
  </si>
  <si>
    <t>NF:334534</t>
  </si>
  <si>
    <t>NF:324536</t>
  </si>
  <si>
    <t>NF:324358</t>
  </si>
  <si>
    <t>324557</t>
  </si>
  <si>
    <t>NF:324581</t>
  </si>
  <si>
    <t>NF:324580</t>
  </si>
  <si>
    <t>NF:324475</t>
  </si>
  <si>
    <t>NF:324603</t>
  </si>
  <si>
    <t>NF:324522</t>
  </si>
  <si>
    <t>NF:332516</t>
  </si>
  <si>
    <t>NF:324599</t>
  </si>
  <si>
    <t>NF:324594</t>
  </si>
  <si>
    <t>NF:332614</t>
  </si>
  <si>
    <t>NF:324612</t>
  </si>
  <si>
    <t>NF:332613</t>
  </si>
  <si>
    <t>NF:332618</t>
  </si>
  <si>
    <t>NF:324611</t>
  </si>
  <si>
    <t>NF:0324627</t>
  </si>
  <si>
    <t>NF:332671</t>
  </si>
  <si>
    <t>NF:332669</t>
  </si>
  <si>
    <t>NF:324636</t>
  </si>
  <si>
    <t>NF:324646</t>
  </si>
  <si>
    <t>NF:324629</t>
  </si>
  <si>
    <t>NF:0332694</t>
  </si>
  <si>
    <t>NF:324592</t>
  </si>
  <si>
    <t>NF:324628</t>
  </si>
  <si>
    <t>NF:324650</t>
  </si>
  <si>
    <t>NF:332703</t>
  </si>
  <si>
    <t>NF:324608</t>
  </si>
  <si>
    <t>NF:0324657</t>
  </si>
  <si>
    <t>NF:324626</t>
  </si>
  <si>
    <t>NF:324648</t>
  </si>
  <si>
    <t>NF:324593</t>
  </si>
  <si>
    <t>NF:332633</t>
  </si>
  <si>
    <t>324655</t>
  </si>
  <si>
    <t>NF:324653</t>
  </si>
  <si>
    <t>NF:332757</t>
  </si>
  <si>
    <t>NF:332713</t>
  </si>
  <si>
    <t>NF:324654</t>
  </si>
  <si>
    <t>NF:332689</t>
  </si>
  <si>
    <t>NF:332756</t>
  </si>
  <si>
    <t>NF:332793</t>
  </si>
  <si>
    <t>NF:332773</t>
  </si>
  <si>
    <t>NF:324668</t>
  </si>
  <si>
    <t>NF:324664</t>
  </si>
  <si>
    <t>NF:332696</t>
  </si>
  <si>
    <t>NF:339702</t>
  </si>
  <si>
    <t>NF:318570</t>
  </si>
  <si>
    <t>NF:332776</t>
  </si>
  <si>
    <t>NF:332806</t>
  </si>
  <si>
    <t>NF:332824</t>
  </si>
  <si>
    <t>NF:0332804</t>
  </si>
  <si>
    <t>NF:332826</t>
  </si>
  <si>
    <t>NF:332821</t>
  </si>
  <si>
    <t>NF:332790</t>
  </si>
  <si>
    <t>NF:332852</t>
  </si>
  <si>
    <t>NF:332851</t>
  </si>
  <si>
    <t>NF:332837</t>
  </si>
  <si>
    <t>NF:332858</t>
  </si>
  <si>
    <t>NF:332873</t>
  </si>
  <si>
    <t>NF:332870</t>
  </si>
  <si>
    <t>NF:332777</t>
  </si>
  <si>
    <t>NF:332875</t>
  </si>
  <si>
    <t>NF:0332877</t>
  </si>
  <si>
    <t>NF:332862</t>
  </si>
  <si>
    <t>NF:332897</t>
  </si>
  <si>
    <t>NF:332693</t>
  </si>
  <si>
    <t>NF:332836</t>
  </si>
  <si>
    <t>NF:332898</t>
  </si>
  <si>
    <t>NF:332678</t>
  </si>
  <si>
    <t>NF:324692</t>
  </si>
  <si>
    <t>NF:324676</t>
  </si>
  <si>
    <t>NF:324665</t>
  </si>
  <si>
    <t>NF:332889</t>
  </si>
  <si>
    <t>NF:332815</t>
  </si>
  <si>
    <t>NF:332681</t>
  </si>
  <si>
    <t>NF:332823</t>
  </si>
  <si>
    <t>NF:332789</t>
  </si>
  <si>
    <t>NF:322851</t>
  </si>
  <si>
    <t>NF:332801</t>
  </si>
  <si>
    <t>NF:324699</t>
  </si>
  <si>
    <t>NF:332895</t>
  </si>
  <si>
    <t>NF:332833</t>
  </si>
  <si>
    <t>NF:332786</t>
  </si>
  <si>
    <t>NF:332863</t>
  </si>
  <si>
    <t>NF:56163</t>
  </si>
  <si>
    <t>NF:56164</t>
  </si>
  <si>
    <t>NF:332893</t>
  </si>
  <si>
    <t>NF:332907</t>
  </si>
  <si>
    <t>NF:332962</t>
  </si>
  <si>
    <t>NF:332901</t>
  </si>
  <si>
    <t>NF:332963</t>
  </si>
  <si>
    <t>NF:332980</t>
  </si>
  <si>
    <t>NF:0332982</t>
  </si>
  <si>
    <t>NF:333006</t>
  </si>
  <si>
    <t>NF:333015</t>
  </si>
  <si>
    <t>NF:333019</t>
  </si>
  <si>
    <t>NF:333026</t>
  </si>
  <si>
    <t>NF:333022</t>
  </si>
  <si>
    <t>NF:333042</t>
  </si>
  <si>
    <t>NF:332965</t>
  </si>
  <si>
    <t>NF:333029</t>
  </si>
  <si>
    <t>NF:333016</t>
  </si>
  <si>
    <t>NF:333048</t>
  </si>
  <si>
    <t>NF:332948</t>
  </si>
  <si>
    <t>NF:333043</t>
  </si>
  <si>
    <t>NF:333070</t>
  </si>
  <si>
    <t>NF:333017</t>
  </si>
  <si>
    <t>NF:333062</t>
  </si>
  <si>
    <t>NF:332968</t>
  </si>
  <si>
    <t>NF:333035</t>
  </si>
  <si>
    <t>NF:332964</t>
  </si>
  <si>
    <t>NF:333038</t>
  </si>
  <si>
    <t>NF:324738</t>
  </si>
  <si>
    <t>NF:333037</t>
  </si>
  <si>
    <t>NF:332966</t>
  </si>
  <si>
    <t>NF:333036</t>
  </si>
  <si>
    <t>NF:332991</t>
  </si>
  <si>
    <t>NF:333067</t>
  </si>
  <si>
    <t>NF:332989</t>
  </si>
  <si>
    <t>NF:324731</t>
  </si>
  <si>
    <t>NF:333024</t>
  </si>
  <si>
    <t>NF:333018</t>
  </si>
  <si>
    <t>NF:333045</t>
  </si>
  <si>
    <t>NF:324707</t>
  </si>
  <si>
    <t>NF:324712</t>
  </si>
  <si>
    <t>NF:332872</t>
  </si>
  <si>
    <t>NF:333076</t>
  </si>
  <si>
    <t>NF:324743</t>
  </si>
  <si>
    <t>NF:333146</t>
  </si>
  <si>
    <t>NF:333147</t>
  </si>
  <si>
    <t>NF:333132</t>
  </si>
  <si>
    <t>NF:324741</t>
  </si>
  <si>
    <t>NF:333135</t>
  </si>
  <si>
    <t>NF:333163</t>
  </si>
  <si>
    <t>NF:333138</t>
  </si>
  <si>
    <t>NF:324767</t>
  </si>
  <si>
    <t>NF:324765</t>
  </si>
  <si>
    <t>NF:333171</t>
  </si>
  <si>
    <t>NF:333184</t>
  </si>
  <si>
    <t>NF:324784</t>
  </si>
  <si>
    <t>NF:333168</t>
  </si>
  <si>
    <t>NF:333200</t>
  </si>
  <si>
    <t>NF:333224</t>
  </si>
  <si>
    <t>NF:333226</t>
  </si>
  <si>
    <t>NF:333139</t>
  </si>
  <si>
    <t>NF:333227</t>
  </si>
  <si>
    <t>NF:324785</t>
  </si>
  <si>
    <t>NF:324790</t>
  </si>
  <si>
    <t>NF:333215</t>
  </si>
  <si>
    <t>NF:324807</t>
  </si>
  <si>
    <t>NF:324806</t>
  </si>
  <si>
    <t>NF:333141</t>
  </si>
  <si>
    <t>NF:333213</t>
  </si>
  <si>
    <t>NF:0333169</t>
  </si>
  <si>
    <t>NF:324820</t>
  </si>
  <si>
    <t>VF CONSTRUTORA KM52</t>
  </si>
  <si>
    <t>NF:153208</t>
  </si>
  <si>
    <t>NF:333256</t>
  </si>
  <si>
    <t>NF:333144</t>
  </si>
  <si>
    <t>NF:0324824</t>
  </si>
  <si>
    <t>NF:334576</t>
  </si>
  <si>
    <t>NF:53213</t>
  </si>
  <si>
    <t>NF:333140</t>
  </si>
  <si>
    <t>NF:324830</t>
  </si>
  <si>
    <t>NF:333149</t>
  </si>
  <si>
    <t>NF:324783</t>
  </si>
  <si>
    <t>333136</t>
  </si>
  <si>
    <t>NF:324848</t>
  </si>
  <si>
    <t>NF:324842</t>
  </si>
  <si>
    <t>NF:324789</t>
  </si>
  <si>
    <t>NF:324843</t>
  </si>
  <si>
    <t>NF:324840</t>
  </si>
  <si>
    <t>NF:324847</t>
  </si>
  <si>
    <t>NF:333309</t>
  </si>
  <si>
    <t>NF:324845</t>
  </si>
  <si>
    <t>NF:324857</t>
  </si>
  <si>
    <t>NF:324856</t>
  </si>
  <si>
    <t>NF:324870</t>
  </si>
  <si>
    <t>NF:333338</t>
  </si>
  <si>
    <t>NF:324872</t>
  </si>
  <si>
    <t>NF:333339</t>
  </si>
  <si>
    <t>NF:333330</t>
  </si>
  <si>
    <t>NF:324888</t>
  </si>
  <si>
    <t>NF:333311</t>
  </si>
  <si>
    <t>NF:324891</t>
  </si>
  <si>
    <t>NF:333230</t>
  </si>
  <si>
    <t>NF:324876</t>
  </si>
  <si>
    <t>NF:324898</t>
  </si>
  <si>
    <t>NF:324867</t>
  </si>
  <si>
    <t>NF:324886</t>
  </si>
  <si>
    <t>NF:324877</t>
  </si>
  <si>
    <t>NF:324809</t>
  </si>
  <si>
    <t>NF:324855</t>
  </si>
  <si>
    <t>NF:324869</t>
  </si>
  <si>
    <t>NF:333335</t>
  </si>
  <si>
    <t>324871</t>
  </si>
  <si>
    <t>324903</t>
  </si>
  <si>
    <t>NF:53238</t>
  </si>
  <si>
    <t>NF:324900</t>
  </si>
  <si>
    <t>NF:324881</t>
  </si>
  <si>
    <t>NF:324860</t>
  </si>
  <si>
    <t>NF:333535</t>
  </si>
  <si>
    <t>NF:324955</t>
  </si>
  <si>
    <t>NF:333571</t>
  </si>
  <si>
    <t>NF:333563</t>
  </si>
  <si>
    <t>NF:0333574</t>
  </si>
  <si>
    <t>NF:333602</t>
  </si>
  <si>
    <t>NF:324968</t>
  </si>
  <si>
    <t>NF:324976</t>
  </si>
  <si>
    <t>NF:333591</t>
  </si>
  <si>
    <t>NF:333618</t>
  </si>
  <si>
    <t>NF:333616</t>
  </si>
  <si>
    <t>NF:32498, NF:324981</t>
  </si>
  <si>
    <t>NF:324977</t>
  </si>
  <si>
    <t>NF:333590</t>
  </si>
  <si>
    <t>NF:333645</t>
  </si>
  <si>
    <t>NF:333672</t>
  </si>
  <si>
    <t>NF:0333670</t>
  </si>
  <si>
    <t>NF:333658</t>
  </si>
  <si>
    <t>NF:333621</t>
  </si>
  <si>
    <t>NF:3250003</t>
  </si>
  <si>
    <t>NF:333599</t>
  </si>
  <si>
    <t>NF:333568</t>
  </si>
  <si>
    <t>NF:333636</t>
  </si>
  <si>
    <t>NF:333766</t>
  </si>
  <si>
    <t>NF:333673</t>
  </si>
  <si>
    <t>NF:333583</t>
  </si>
  <si>
    <t>NF:333548</t>
  </si>
  <si>
    <t>NF:333661</t>
  </si>
  <si>
    <t>333588</t>
  </si>
  <si>
    <t>NF:333560</t>
  </si>
  <si>
    <t>NF:333684</t>
  </si>
  <si>
    <t>NF:325004</t>
  </si>
  <si>
    <t>NF:33745</t>
  </si>
  <si>
    <t>NF:325006</t>
  </si>
  <si>
    <t>GRAJAU IDAN TORRES</t>
  </si>
  <si>
    <t>NF:53250</t>
  </si>
  <si>
    <t>NF:325012</t>
  </si>
  <si>
    <t>NF:325011</t>
  </si>
  <si>
    <t>NF:333762</t>
  </si>
  <si>
    <t>NF:333758</t>
  </si>
  <si>
    <t>NF:333781</t>
  </si>
  <si>
    <t>NF:325026</t>
  </si>
  <si>
    <t>NF:333705</t>
  </si>
  <si>
    <t>NF:325023</t>
  </si>
  <si>
    <t>NF:325030</t>
  </si>
  <si>
    <t>NF:325036</t>
  </si>
  <si>
    <t>VF CONSTRUTORA KM39</t>
  </si>
  <si>
    <t>NF:53257</t>
  </si>
  <si>
    <t>NF:325028</t>
  </si>
  <si>
    <t>NF:333807</t>
  </si>
  <si>
    <t>NF:325039</t>
  </si>
  <si>
    <t>NF:325042</t>
  </si>
  <si>
    <t>NF:333826</t>
  </si>
  <si>
    <t>NF:0333779</t>
  </si>
  <si>
    <t>NF:0333827</t>
  </si>
  <si>
    <t>NF:325056</t>
  </si>
  <si>
    <t>NF:324987</t>
  </si>
  <si>
    <t>NF:333856</t>
  </si>
  <si>
    <t>NF:325037</t>
  </si>
  <si>
    <t>NF:333767</t>
  </si>
  <si>
    <t>NF:333837</t>
  </si>
  <si>
    <t>NF:325046, NF:325046</t>
  </si>
  <si>
    <t>NF:333576</t>
  </si>
  <si>
    <t>NF:324978</t>
  </si>
  <si>
    <t>NF:325017</t>
  </si>
  <si>
    <t>NF:325040</t>
  </si>
  <si>
    <t>NF:333594</t>
  </si>
  <si>
    <t>NF:325033</t>
  </si>
  <si>
    <t>NF:333751</t>
  </si>
  <si>
    <t>NF:333816</t>
  </si>
  <si>
    <t>VF CONSTRUTORA KM114</t>
  </si>
  <si>
    <t>NF:53274</t>
  </si>
  <si>
    <t>NF:333768</t>
  </si>
  <si>
    <t>NF:324986</t>
  </si>
  <si>
    <t>NF:325032</t>
  </si>
  <si>
    <t>NF:325045</t>
  </si>
  <si>
    <t>NF:333823</t>
  </si>
  <si>
    <t>NF:333900</t>
  </si>
  <si>
    <t>NF:325065</t>
  </si>
  <si>
    <t>NF:325052</t>
  </si>
  <si>
    <t>NF:333907</t>
  </si>
  <si>
    <t>NF:325072</t>
  </si>
  <si>
    <t>NF:0333881</t>
  </si>
  <si>
    <t>NF:325051</t>
  </si>
  <si>
    <t>NF:53279</t>
  </si>
  <si>
    <t>NF:325064</t>
  </si>
  <si>
    <t>NF:325071</t>
  </si>
  <si>
    <t>NF:324980</t>
  </si>
  <si>
    <t>NF:325069</t>
  </si>
  <si>
    <t>NF:333908</t>
  </si>
  <si>
    <t>NF:325090</t>
  </si>
  <si>
    <t>NF:333944</t>
  </si>
  <si>
    <t>NF:325009</t>
  </si>
  <si>
    <t>NF:335105</t>
  </si>
  <si>
    <t>NF:325081</t>
  </si>
  <si>
    <t>NF:325102</t>
  </si>
  <si>
    <t>NF:325114</t>
  </si>
  <si>
    <t>NF:325112</t>
  </si>
  <si>
    <t>NF:334035</t>
  </si>
  <si>
    <t>NF:334020</t>
  </si>
  <si>
    <t>NF:334019</t>
  </si>
  <si>
    <t>NF:325131</t>
  </si>
  <si>
    <t>NF:325126</t>
  </si>
  <si>
    <t>NF:325125</t>
  </si>
  <si>
    <t>NF:334076</t>
  </si>
  <si>
    <t>NF:334075</t>
  </si>
  <si>
    <t>NF:334074</t>
  </si>
  <si>
    <t>NF:325133</t>
  </si>
  <si>
    <t>NF:334081</t>
  </si>
  <si>
    <t>NF:334066</t>
  </si>
  <si>
    <t>NF:334082</t>
  </si>
  <si>
    <t>CRUZAMENTO MA 201/202 (METROPOLITANA)</t>
  </si>
  <si>
    <t>NF:333921</t>
  </si>
  <si>
    <t>NF:334029</t>
  </si>
  <si>
    <t>NF:325075</t>
  </si>
  <si>
    <t>NF:334047</t>
  </si>
  <si>
    <t>NF:53300</t>
  </si>
  <si>
    <t>NF:334072</t>
  </si>
  <si>
    <t>NF:334090</t>
  </si>
  <si>
    <t>NF:325113</t>
  </si>
  <si>
    <t>NF:334071</t>
  </si>
  <si>
    <t>NF:0334032</t>
  </si>
  <si>
    <t>NF:0334092</t>
  </si>
  <si>
    <t>NF:325106</t>
  </si>
  <si>
    <t>NF:325129</t>
  </si>
  <si>
    <t>NF:325155</t>
  </si>
  <si>
    <t>NF:325111</t>
  </si>
  <si>
    <t>NF:325168</t>
  </si>
  <si>
    <t>NF:325176</t>
  </si>
  <si>
    <t>NF:325173</t>
  </si>
  <si>
    <t>NF:325073</t>
  </si>
  <si>
    <t>NF:333791</t>
  </si>
  <si>
    <t>NF:334107</t>
  </si>
  <si>
    <t>NF:334179</t>
  </si>
  <si>
    <t>NF:334166</t>
  </si>
  <si>
    <t>NF:334188</t>
  </si>
  <si>
    <t>NF:334186</t>
  </si>
  <si>
    <t>TK:53297</t>
  </si>
  <si>
    <t>NF:334193</t>
  </si>
  <si>
    <t>NF:325183</t>
  </si>
  <si>
    <t>NF:334242</t>
  </si>
  <si>
    <t>NF:334261</t>
  </si>
  <si>
    <t>NF:334259</t>
  </si>
  <si>
    <t>NF:334260</t>
  </si>
  <si>
    <t>NF:334263</t>
  </si>
  <si>
    <t xml:space="preserve"> NF:325207</t>
  </si>
  <si>
    <t>NF:325181</t>
  </si>
  <si>
    <t>NF:325185</t>
  </si>
  <si>
    <t>NF:334108</t>
  </si>
  <si>
    <t>NF:334195</t>
  </si>
  <si>
    <t>NF:334311</t>
  </si>
  <si>
    <t>NF:334180</t>
  </si>
  <si>
    <t>NF:334233</t>
  </si>
  <si>
    <t>NF:334316</t>
  </si>
  <si>
    <t>NF:334256</t>
  </si>
  <si>
    <t>NF:334213</t>
  </si>
  <si>
    <t>NF:334184</t>
  </si>
  <si>
    <t>NF:334338</t>
  </si>
  <si>
    <t>NF:325211</t>
  </si>
  <si>
    <t>NF:334194</t>
  </si>
  <si>
    <t>NF:334258</t>
  </si>
  <si>
    <t>NF:0334212</t>
  </si>
  <si>
    <t>USINA SANTA RITA</t>
  </si>
  <si>
    <t>NF:0325238</t>
  </si>
  <si>
    <t>NF:334375</t>
  </si>
  <si>
    <t>NF:325193</t>
  </si>
  <si>
    <t>NF:325213</t>
  </si>
  <si>
    <t>NF:325250</t>
  </si>
  <si>
    <t>NF:334359</t>
  </si>
  <si>
    <t>NF:334369</t>
  </si>
  <si>
    <t>NF:325255</t>
  </si>
  <si>
    <t>NF:325254</t>
  </si>
  <si>
    <t>NF:334377</t>
  </si>
  <si>
    <t>NF:334397</t>
  </si>
  <si>
    <t>NF:325258</t>
  </si>
  <si>
    <t>NF:325261</t>
  </si>
  <si>
    <t>NF:334384</t>
  </si>
  <si>
    <t>NF:334405</t>
  </si>
  <si>
    <t>NF:325287</t>
  </si>
  <si>
    <t>NF:334442, NF:334441</t>
  </si>
  <si>
    <t>NF:334445</t>
  </si>
  <si>
    <t>NF:334431</t>
  </si>
  <si>
    <t>NF:325280</t>
  </si>
  <si>
    <t>NF:334443</t>
  </si>
  <si>
    <t>NF:334450</t>
  </si>
  <si>
    <t>NF:325279</t>
  </si>
  <si>
    <t>NF:53325</t>
  </si>
  <si>
    <t>NF:334475</t>
  </si>
  <si>
    <t>NF:334379</t>
  </si>
  <si>
    <t>NF:334446</t>
  </si>
  <si>
    <t>NF:334308</t>
  </si>
  <si>
    <t>NF:334417</t>
  </si>
  <si>
    <t>NF:334476</t>
  </si>
  <si>
    <t>NF:0334388</t>
  </si>
  <si>
    <t>NF:0325320</t>
  </si>
  <si>
    <t>NF:334414</t>
  </si>
  <si>
    <t>NF:334469</t>
  </si>
  <si>
    <t>CANTEIRO ARACAGY</t>
  </si>
  <si>
    <t>FRIGORIFICO HC AXIXA</t>
  </si>
  <si>
    <t>FRESA DE ASFALTO</t>
  </si>
  <si>
    <t>NF:35626</t>
  </si>
  <si>
    <t>NF:334573</t>
  </si>
  <si>
    <t>NF:325297</t>
  </si>
  <si>
    <t>NF:334411</t>
  </si>
  <si>
    <t>NF:334462</t>
  </si>
  <si>
    <t>NF:334289</t>
  </si>
  <si>
    <t>VALE NOVA VIDA KM356</t>
  </si>
  <si>
    <t>NF:53330, NF:53331</t>
  </si>
  <si>
    <t>NF:334511</t>
  </si>
  <si>
    <t>NF:334545</t>
  </si>
  <si>
    <t>NF:325318</t>
  </si>
  <si>
    <t>NF:334540</t>
  </si>
  <si>
    <t>NF:334535</t>
  </si>
  <si>
    <t>NF:334547</t>
  </si>
  <si>
    <t>NF:325328</t>
  </si>
  <si>
    <t>NF:334562</t>
  </si>
  <si>
    <t>NF:334554</t>
  </si>
  <si>
    <t>NF:0334451</t>
  </si>
  <si>
    <t>NF:336771</t>
  </si>
  <si>
    <t>NF:325341</t>
  </si>
  <si>
    <t>NF:334544</t>
  </si>
  <si>
    <t>NF:0325347</t>
  </si>
  <si>
    <t>NF:325201</t>
  </si>
  <si>
    <t>NF:334601</t>
  </si>
  <si>
    <t>NF:325311</t>
  </si>
  <si>
    <t>NF:325342</t>
  </si>
  <si>
    <t>NF:334612</t>
  </si>
  <si>
    <t>NF:334424</t>
  </si>
  <si>
    <t>NF:334460</t>
  </si>
  <si>
    <t>NF:325359</t>
  </si>
  <si>
    <t>NF:325360</t>
  </si>
  <si>
    <t>NF:325323</t>
  </si>
  <si>
    <t>NF:335348</t>
  </si>
  <si>
    <t>NF:325364</t>
  </si>
  <si>
    <t>NF:334657</t>
  </si>
  <si>
    <t>NF:334673</t>
  </si>
  <si>
    <t>NF:0325365</t>
  </si>
  <si>
    <t>NF:325371</t>
  </si>
  <si>
    <t>NF:35625</t>
  </si>
  <si>
    <t>NF:334571</t>
  </si>
  <si>
    <t>NF:334572</t>
  </si>
  <si>
    <t>NF:3562411</t>
  </si>
  <si>
    <t>NF:325366</t>
  </si>
  <si>
    <t>NF:334718</t>
  </si>
  <si>
    <t>NF:334734</t>
  </si>
  <si>
    <t>NF:334728</t>
  </si>
  <si>
    <t>NF:334694</t>
  </si>
  <si>
    <t>NF:334738</t>
  </si>
  <si>
    <t>NF:325389</t>
  </si>
  <si>
    <t>NF:325394</t>
  </si>
  <si>
    <t>NF:325393</t>
  </si>
  <si>
    <t>NF:334760</t>
  </si>
  <si>
    <t>NF:0325399</t>
  </si>
  <si>
    <t>NF:53346</t>
  </si>
  <si>
    <t>NF:325410</t>
  </si>
  <si>
    <t>NF:334785</t>
  </si>
  <si>
    <t>NF:334769</t>
  </si>
  <si>
    <t>NF:334804</t>
  </si>
  <si>
    <t>NF:325414</t>
  </si>
  <si>
    <t>NF:325413</t>
  </si>
  <si>
    <t>NF:334791</t>
  </si>
  <si>
    <t>NF:334800</t>
  </si>
  <si>
    <t>NF:334641</t>
  </si>
  <si>
    <t>NF:334763</t>
  </si>
  <si>
    <t>NF:325401</t>
  </si>
  <si>
    <t>NF:53357</t>
  </si>
  <si>
    <t>NF:334663</t>
  </si>
  <si>
    <t>NF:334778</t>
  </si>
  <si>
    <t>NF:334824</t>
  </si>
  <si>
    <t>NF:334650</t>
  </si>
  <si>
    <t>NF:334767</t>
  </si>
  <si>
    <t>NF:334794</t>
  </si>
  <si>
    <t>NF:334884</t>
  </si>
  <si>
    <t>NF:262400, NF:334796</t>
  </si>
  <si>
    <t>NF:325433</t>
  </si>
  <si>
    <t>NF:334891</t>
  </si>
  <si>
    <t>VF CONSTRUTORA KM156</t>
  </si>
  <si>
    <t>NF:53367</t>
  </si>
  <si>
    <t>NF:000966</t>
  </si>
  <si>
    <t>NF:053151</t>
  </si>
  <si>
    <t>NF:053157</t>
  </si>
  <si>
    <t>NF:053165</t>
  </si>
  <si>
    <t>NF:053181</t>
  </si>
  <si>
    <t>MINERADORA CBM GURUPI -TO</t>
  </si>
  <si>
    <t>TAIPAS - TO</t>
  </si>
  <si>
    <t>NF:000973</t>
  </si>
  <si>
    <t>NF:53210</t>
  </si>
  <si>
    <t>NF:53209</t>
  </si>
  <si>
    <t>NOVO JARDIM - TO</t>
  </si>
  <si>
    <t>NF:032219</t>
  </si>
  <si>
    <t>NF:53207</t>
  </si>
  <si>
    <t>NF:032229</t>
  </si>
  <si>
    <t>NF:032243</t>
  </si>
  <si>
    <t>NF:032251</t>
  </si>
  <si>
    <t>NF:032261</t>
  </si>
  <si>
    <t>NF:53232</t>
  </si>
  <si>
    <t>NF:032304</t>
  </si>
  <si>
    <t>NF:053267</t>
  </si>
  <si>
    <t>NF:53258</t>
  </si>
  <si>
    <t>NF:53231</t>
  </si>
  <si>
    <t>NF:053211</t>
  </si>
  <si>
    <t>NF:053212</t>
  </si>
  <si>
    <t>NF:032324</t>
  </si>
  <si>
    <t>NF:53264</t>
  </si>
  <si>
    <t>NF:053230</t>
  </si>
  <si>
    <t>NF:053277</t>
  </si>
  <si>
    <t>NF:053259</t>
  </si>
  <si>
    <t>NF:053239</t>
  </si>
  <si>
    <t>NF:53280</t>
  </si>
  <si>
    <t>NF:053284</t>
  </si>
  <si>
    <t>NF:053290</t>
  </si>
  <si>
    <t>NF:053249</t>
  </si>
  <si>
    <t>INPASA BALSAS</t>
  </si>
  <si>
    <t>ARAS FALCAR</t>
  </si>
  <si>
    <t xml:space="preserve">FARELO </t>
  </si>
  <si>
    <t>NF:25357</t>
  </si>
  <si>
    <t>NF:53236</t>
  </si>
  <si>
    <t>NF:053255</t>
  </si>
  <si>
    <t>NF:053273</t>
  </si>
  <si>
    <t>NF:053251</t>
  </si>
  <si>
    <t>NF:053281</t>
  </si>
  <si>
    <t>NF:053272</t>
  </si>
  <si>
    <t>NF:053265</t>
  </si>
  <si>
    <t>NF:053287</t>
  </si>
  <si>
    <t>NF:053296</t>
  </si>
  <si>
    <t>NF:53301</t>
  </si>
  <si>
    <t>NF:053303</t>
  </si>
  <si>
    <t>NF:053306</t>
  </si>
  <si>
    <t>NF:032347</t>
  </si>
  <si>
    <t>NF:53298, NF:53299</t>
  </si>
  <si>
    <t>NF:053317</t>
  </si>
  <si>
    <t>POVOADO VERONA - BURITICUPU</t>
  </si>
  <si>
    <t>NF:53285</t>
  </si>
  <si>
    <t>NF:053316</t>
  </si>
  <si>
    <t>NF:53324</t>
  </si>
  <si>
    <t>NF:053329</t>
  </si>
  <si>
    <t>NF:053327</t>
  </si>
  <si>
    <t>NF:032372</t>
  </si>
  <si>
    <t>NF:053292</t>
  </si>
  <si>
    <t>NF:053342</t>
  </si>
  <si>
    <t>NF:53334, NF:53335</t>
  </si>
  <si>
    <t>NF:53332, NF:53333</t>
  </si>
  <si>
    <t>VF CONSTRUTORA KM124</t>
  </si>
  <si>
    <t>NF:53345</t>
  </si>
  <si>
    <t>NF:032395</t>
  </si>
  <si>
    <t>NF:053328</t>
  </si>
  <si>
    <t>NF:053344</t>
  </si>
  <si>
    <t>NF:053343</t>
  </si>
  <si>
    <t>NF:27138</t>
  </si>
  <si>
    <t>NF:53368</t>
  </si>
  <si>
    <t>UA DISTRITO</t>
  </si>
  <si>
    <t>OLINDA NOVA-MA</t>
  </si>
  <si>
    <t>MINERADORA-PF</t>
  </si>
  <si>
    <t>DUERE-TO</t>
  </si>
  <si>
    <t>FRETE CARRADAS FEVEREIRO 2026</t>
  </si>
  <si>
    <t>TOTAL</t>
  </si>
  <si>
    <t>BRASIL MINERAÇÃO</t>
  </si>
  <si>
    <t>UA-11 Distrito</t>
  </si>
  <si>
    <t>JHONNY ANDERSON</t>
  </si>
  <si>
    <t>WELLIGTON C ROCHA</t>
  </si>
  <si>
    <t>NEANDRO</t>
  </si>
  <si>
    <t>NÃO INF.</t>
  </si>
  <si>
    <t>THIAGO</t>
  </si>
  <si>
    <t>RUI</t>
  </si>
  <si>
    <t>JHONY</t>
  </si>
  <si>
    <t>PATRICK</t>
  </si>
  <si>
    <t>WELLINGTON</t>
  </si>
  <si>
    <t>EDNILSON</t>
  </si>
  <si>
    <t>JANILSON</t>
  </si>
  <si>
    <t>NF:325398</t>
  </si>
  <si>
    <t>NF:325387</t>
  </si>
  <si>
    <t>NF:325420</t>
  </si>
  <si>
    <t>NF:325251</t>
  </si>
  <si>
    <t>NF:325352</t>
  </si>
  <si>
    <t>NF:325356</t>
  </si>
  <si>
    <t>NF:325358</t>
  </si>
  <si>
    <t>NF:325334</t>
  </si>
  <si>
    <t>NF:325348</t>
  </si>
  <si>
    <t>NF:324284</t>
  </si>
  <si>
    <t>NF:324189</t>
  </si>
  <si>
    <t>NF:324454</t>
  </si>
  <si>
    <t>NF:324598</t>
  </si>
  <si>
    <t>NF:324899</t>
  </si>
  <si>
    <t>NF:324901</t>
  </si>
  <si>
    <t>NF:324912</t>
  </si>
  <si>
    <t>NF:325024</t>
  </si>
  <si>
    <t>NF:325044</t>
  </si>
  <si>
    <t>NF:325031</t>
  </si>
  <si>
    <t>NF:325110</t>
  </si>
  <si>
    <t>NF:325134</t>
  </si>
  <si>
    <t>NF:325130</t>
  </si>
  <si>
    <t>NF:325105</t>
  </si>
  <si>
    <t>NF:325210</t>
  </si>
  <si>
    <t>NF:325188</t>
  </si>
  <si>
    <t>NF:325175</t>
  </si>
  <si>
    <t>NF:325242</t>
  </si>
  <si>
    <t>NF:325205</t>
  </si>
  <si>
    <t>NF:325180</t>
  </si>
  <si>
    <t>NF:325286</t>
  </si>
  <si>
    <t>NF:325292</t>
  </si>
  <si>
    <t>NF:325266</t>
  </si>
  <si>
    <t>NF:325256</t>
  </si>
  <si>
    <t>OBSERVAÇÃO</t>
  </si>
  <si>
    <t>NF:53211</t>
  </si>
  <si>
    <t/>
  </si>
  <si>
    <t>PINHEIRO - MA</t>
  </si>
  <si>
    <t>TK:21666</t>
  </si>
  <si>
    <t>ADAILTON BEZERRA</t>
  </si>
  <si>
    <t>NF:307948</t>
  </si>
  <si>
    <t>NF:21667</t>
  </si>
  <si>
    <t>NF:307834</t>
  </si>
  <si>
    <t>NF:307861</t>
  </si>
  <si>
    <t>NF:053236, NF:053237</t>
  </si>
  <si>
    <t>NF:307943</t>
  </si>
  <si>
    <t>CM28</t>
  </si>
  <si>
    <t>NF:307950</t>
  </si>
  <si>
    <t>CM22</t>
  </si>
  <si>
    <t>FABIANO CASTRO CARDOSO</t>
  </si>
  <si>
    <t>MINERACAO OURO PRETO - COLINAS/MA</t>
  </si>
  <si>
    <t>MIRADOR- MA</t>
  </si>
  <si>
    <t>TK:5346</t>
  </si>
  <si>
    <t>ELIANO DA SILVA LIMA</t>
  </si>
  <si>
    <t>NF:307977</t>
  </si>
  <si>
    <t>NF:307979</t>
  </si>
  <si>
    <t>NF:0307990</t>
  </si>
  <si>
    <t>NF:307955</t>
  </si>
  <si>
    <t>NF:307919</t>
  </si>
  <si>
    <t>NF:308016</t>
  </si>
  <si>
    <t>NF:0308042</t>
  </si>
  <si>
    <t>NF:308046</t>
  </si>
  <si>
    <t>NF:53184, NF:53185</t>
  </si>
  <si>
    <t>JANILTON SERRA RIBEIRO</t>
  </si>
  <si>
    <t>NF:307964</t>
  </si>
  <si>
    <t>JHONNY ANDERSON SOARES LOPES</t>
  </si>
  <si>
    <t>NF:308001</t>
  </si>
  <si>
    <t>cm71</t>
  </si>
  <si>
    <t>307980</t>
  </si>
  <si>
    <t>308015</t>
  </si>
  <si>
    <t>NF:307641</t>
  </si>
  <si>
    <t>NF:307635</t>
  </si>
  <si>
    <t>THIAGO OLIVEIRA SILVA</t>
  </si>
  <si>
    <t>NF:307665</t>
  </si>
  <si>
    <t>NF:0307605</t>
  </si>
  <si>
    <t>NF:307720</t>
  </si>
  <si>
    <t>NF:307666</t>
  </si>
  <si>
    <t>NF:307756</t>
  </si>
  <si>
    <t>NF:0307584</t>
  </si>
  <si>
    <t>NF:0307741</t>
  </si>
  <si>
    <t>NF:307721</t>
  </si>
  <si>
    <t>NF:307754</t>
  </si>
  <si>
    <t>NF:307757</t>
  </si>
  <si>
    <t>NF:307772</t>
  </si>
  <si>
    <t>NF:307810</t>
  </si>
  <si>
    <t>NF:0307796</t>
  </si>
  <si>
    <t>NF:307817</t>
  </si>
  <si>
    <t>NF:307807</t>
  </si>
  <si>
    <t>TK:5330</t>
  </si>
  <si>
    <t>NF:0307837</t>
  </si>
  <si>
    <t>NF:307597</t>
  </si>
  <si>
    <t>NF:307776</t>
  </si>
  <si>
    <t>NF:307838</t>
  </si>
  <si>
    <t>NF:307719</t>
  </si>
  <si>
    <t>NF:307808</t>
  </si>
  <si>
    <t>NF:307868</t>
  </si>
  <si>
    <t>NF:307815</t>
  </si>
  <si>
    <t>VETOR</t>
  </si>
  <si>
    <t>NF:0307912</t>
  </si>
  <si>
    <t>NF:307830</t>
  </si>
  <si>
    <t>NF:53134, NF:53135</t>
  </si>
  <si>
    <t>NF:307907</t>
  </si>
  <si>
    <t>cm 71</t>
  </si>
  <si>
    <t>307748</t>
  </si>
  <si>
    <t>307793</t>
  </si>
  <si>
    <t>307843</t>
  </si>
  <si>
    <t>NF:307390</t>
  </si>
  <si>
    <t>NF:307341</t>
  </si>
  <si>
    <t>NF:307368</t>
  </si>
  <si>
    <t>LUCENA ACAILANDIA</t>
  </si>
  <si>
    <t>NF:51103</t>
  </si>
  <si>
    <t>NF:307393</t>
  </si>
  <si>
    <t xml:space="preserve">usina de Olinda nova </t>
  </si>
  <si>
    <t>NF:307459</t>
  </si>
  <si>
    <t>NF:307993</t>
  </si>
  <si>
    <t>NF:307498</t>
  </si>
  <si>
    <t>NF:307471</t>
  </si>
  <si>
    <t>NF:307487</t>
  </si>
  <si>
    <t>NF:307518</t>
  </si>
  <si>
    <t>NF:0307532</t>
  </si>
  <si>
    <t>NF:0314834</t>
  </si>
  <si>
    <t>NF:307554</t>
  </si>
  <si>
    <t>NF:307560</t>
  </si>
  <si>
    <t>NF:307581</t>
  </si>
  <si>
    <t>NF:307551</t>
  </si>
  <si>
    <t>NF:53054, NF:53055</t>
  </si>
  <si>
    <t>JGA MINERADORA - PASTOS BONS/MA</t>
  </si>
  <si>
    <t>MIRADOR</t>
  </si>
  <si>
    <t>TK:8897</t>
  </si>
  <si>
    <t>NF:307593</t>
  </si>
  <si>
    <t>NF:307472</t>
  </si>
  <si>
    <t>NF:307558</t>
  </si>
  <si>
    <t>POLIMIX -BACABEIRA</t>
  </si>
  <si>
    <t>NF:0178461, NF:0178462</t>
  </si>
  <si>
    <t>NF:407590</t>
  </si>
  <si>
    <t xml:space="preserve">cm71 </t>
  </si>
  <si>
    <t>NF:307462</t>
  </si>
  <si>
    <t>NF:307507</t>
  </si>
  <si>
    <t>NF:53020</t>
  </si>
  <si>
    <t>NF:314816</t>
  </si>
  <si>
    <t>NF:178464, NF:178463</t>
  </si>
  <si>
    <t>314808</t>
  </si>
  <si>
    <t>314832</t>
  </si>
  <si>
    <t>AREIA</t>
  </si>
  <si>
    <t>178444</t>
  </si>
  <si>
    <t>52641</t>
  </si>
  <si>
    <t>NF:307196</t>
  </si>
  <si>
    <t xml:space="preserve">Olinda nova </t>
  </si>
  <si>
    <t>NF:307159</t>
  </si>
  <si>
    <t>NF:314291</t>
  </si>
  <si>
    <t>NF:307161</t>
  </si>
  <si>
    <t>NF:307167</t>
  </si>
  <si>
    <t>NF:307227</t>
  </si>
  <si>
    <t>NF:307241</t>
  </si>
  <si>
    <t>NF:307258</t>
  </si>
  <si>
    <t>NF:314668</t>
  </si>
  <si>
    <t>NF:307260</t>
  </si>
  <si>
    <t>NF:307285</t>
  </si>
  <si>
    <t>NF:307308</t>
  </si>
  <si>
    <t>314697</t>
  </si>
  <si>
    <t>314610</t>
  </si>
  <si>
    <t>NF:307228</t>
  </si>
  <si>
    <t>NF:307287</t>
  </si>
  <si>
    <t>314661</t>
  </si>
  <si>
    <t>314068</t>
  </si>
  <si>
    <t>NF:314718</t>
  </si>
  <si>
    <t>NF:307315</t>
  </si>
  <si>
    <t>NF:0307342</t>
  </si>
  <si>
    <t>NF:53019</t>
  </si>
  <si>
    <t>NF:307307</t>
  </si>
  <si>
    <t>NF:0324676</t>
  </si>
  <si>
    <t>NF:0314717</t>
  </si>
  <si>
    <t>NF:0307399</t>
  </si>
  <si>
    <t>NF:307225</t>
  </si>
  <si>
    <t>NF:307264</t>
  </si>
  <si>
    <t>NF:314707</t>
  </si>
  <si>
    <t>NF:314760</t>
  </si>
  <si>
    <t>REGIONAL SAO LUIS (DEPOSITO DISTRITO)</t>
  </si>
  <si>
    <t>NF:307280</t>
  </si>
  <si>
    <t>NF:307327</t>
  </si>
  <si>
    <t>NF:53002, NF:53003</t>
  </si>
  <si>
    <t>NF:314673</t>
  </si>
  <si>
    <t>NF:314704</t>
  </si>
  <si>
    <t>NF:324754</t>
  </si>
  <si>
    <t>NF:314616</t>
  </si>
  <si>
    <t>NF:314708</t>
  </si>
  <si>
    <t>NF:307403</t>
  </si>
  <si>
    <t>314736</t>
  </si>
  <si>
    <t>NF:306972</t>
  </si>
  <si>
    <t>NF:306861</t>
  </si>
  <si>
    <t>NF:307003</t>
  </si>
  <si>
    <t>NF:314490</t>
  </si>
  <si>
    <t>305856</t>
  </si>
  <si>
    <t>52642</t>
  </si>
  <si>
    <t>NF:314506</t>
  </si>
  <si>
    <t>NF:0314526</t>
  </si>
  <si>
    <t>NF:314529</t>
  </si>
  <si>
    <t>NF:307037</t>
  </si>
  <si>
    <t>NF:314569</t>
  </si>
  <si>
    <t>NF:314582</t>
  </si>
  <si>
    <t>NF:0307039</t>
  </si>
  <si>
    <t>NF:314492</t>
  </si>
  <si>
    <t>NF:314530</t>
  </si>
  <si>
    <t>NF:314567</t>
  </si>
  <si>
    <t>NF:0314579</t>
  </si>
  <si>
    <t>NF:52990, NF:52991</t>
  </si>
  <si>
    <t>NF:314535</t>
  </si>
  <si>
    <t>NF:314560</t>
  </si>
  <si>
    <t>NF:407064</t>
  </si>
  <si>
    <t>314522</t>
  </si>
  <si>
    <t>314562</t>
  </si>
  <si>
    <t>NF:52911</t>
  </si>
  <si>
    <t>NF:314502</t>
  </si>
  <si>
    <t>NF:307166</t>
  </si>
  <si>
    <t>IMPERATRIZ OBRA BURITI</t>
  </si>
  <si>
    <t>NF:51065</t>
  </si>
  <si>
    <t>NF:52918, NF:52919</t>
  </si>
  <si>
    <t>NF:306805</t>
  </si>
  <si>
    <t>NF:306814</t>
  </si>
  <si>
    <t>NF:306809</t>
  </si>
  <si>
    <t>NF:306874</t>
  </si>
  <si>
    <t>NF:306860</t>
  </si>
  <si>
    <t>306907</t>
  </si>
  <si>
    <t>NF:306927</t>
  </si>
  <si>
    <t>NF:314399</t>
  </si>
  <si>
    <t>NF:0306806</t>
  </si>
  <si>
    <t>NF:306824</t>
  </si>
  <si>
    <t>NF:306880</t>
  </si>
  <si>
    <t>NF:306804</t>
  </si>
  <si>
    <t>NF:306863</t>
  </si>
  <si>
    <t>NF:306926</t>
  </si>
  <si>
    <t>NF:314355</t>
  </si>
  <si>
    <t>305626</t>
  </si>
  <si>
    <t>314443</t>
  </si>
  <si>
    <t>314414</t>
  </si>
  <si>
    <t>314380</t>
  </si>
  <si>
    <t>NF:52910</t>
  </si>
  <si>
    <t>NF:52816, NF:50817</t>
  </si>
  <si>
    <t>NF:52869, NF:52870</t>
  </si>
  <si>
    <t>NF:306577</t>
  </si>
  <si>
    <t>NF:306679</t>
  </si>
  <si>
    <t>NF:306672</t>
  </si>
  <si>
    <t>NF:52814</t>
  </si>
  <si>
    <t>SANTA RITA - MA</t>
  </si>
  <si>
    <t>NF:306668</t>
  </si>
  <si>
    <t>NF:306729</t>
  </si>
  <si>
    <t>NF:306675</t>
  </si>
  <si>
    <t>NF:306715</t>
  </si>
  <si>
    <t>NF:0306618</t>
  </si>
  <si>
    <t>NF:306698</t>
  </si>
  <si>
    <t>NF:306673</t>
  </si>
  <si>
    <t>NF:0306585</t>
  </si>
  <si>
    <t>304967</t>
  </si>
  <si>
    <t>305054</t>
  </si>
  <si>
    <t>314310</t>
  </si>
  <si>
    <t>306671</t>
  </si>
  <si>
    <t>NF:306396</t>
  </si>
  <si>
    <t>NF:52791, NF:52792</t>
  </si>
  <si>
    <t>NF:306461</t>
  </si>
  <si>
    <t>NF:306234</t>
  </si>
  <si>
    <t>NF:314122</t>
  </si>
  <si>
    <t>NF:0306397</t>
  </si>
  <si>
    <t>NF:306501</t>
  </si>
  <si>
    <t>NF:306518</t>
  </si>
  <si>
    <t>NF:0306506</t>
  </si>
  <si>
    <t>NF:306514</t>
  </si>
  <si>
    <t>NF:0305930</t>
  </si>
  <si>
    <t>NF:313827</t>
  </si>
  <si>
    <t>NF:3114186</t>
  </si>
  <si>
    <t>NF:306547</t>
  </si>
  <si>
    <t>NF:306479</t>
  </si>
  <si>
    <t>NF:306560</t>
  </si>
  <si>
    <t>NF:314175</t>
  </si>
  <si>
    <t>NF:314119</t>
  </si>
  <si>
    <t>NF:314166</t>
  </si>
  <si>
    <t>NF:314199</t>
  </si>
  <si>
    <t>NF:314129</t>
  </si>
  <si>
    <t>NF:306536</t>
  </si>
  <si>
    <t>NF:314208</t>
  </si>
  <si>
    <t>NF:52834, NF:50835</t>
  </si>
  <si>
    <t>NF:52813</t>
  </si>
  <si>
    <t>NF:314144</t>
  </si>
  <si>
    <t>NF:314187</t>
  </si>
  <si>
    <t>52120</t>
  </si>
  <si>
    <t>52058</t>
  </si>
  <si>
    <t>52810</t>
  </si>
  <si>
    <t>314150</t>
  </si>
  <si>
    <t>314231</t>
  </si>
  <si>
    <t>314190</t>
  </si>
  <si>
    <t>NF:306179</t>
  </si>
  <si>
    <t>NF:305972</t>
  </si>
  <si>
    <t>NF:306082</t>
  </si>
  <si>
    <t>NF:306282</t>
  </si>
  <si>
    <t>NF:306312</t>
  </si>
  <si>
    <t>NF:0306193</t>
  </si>
  <si>
    <t>NF:0306307</t>
  </si>
  <si>
    <t>NF:314009</t>
  </si>
  <si>
    <t>NF:306315</t>
  </si>
  <si>
    <t>NF:314022</t>
  </si>
  <si>
    <t>NF:314019</t>
  </si>
  <si>
    <t>NF:314037</t>
  </si>
  <si>
    <t>NF:0306352</t>
  </si>
  <si>
    <t>NF:306353</t>
  </si>
  <si>
    <t>NF:314053</t>
  </si>
  <si>
    <t>NF:314064</t>
  </si>
  <si>
    <t>NF:306281</t>
  </si>
  <si>
    <t>NF:314013</t>
  </si>
  <si>
    <t>NF:314044</t>
  </si>
  <si>
    <t>NF:0306381</t>
  </si>
  <si>
    <t>NF:306294</t>
  </si>
  <si>
    <t>NF:306285</t>
  </si>
  <si>
    <t>NF:314050</t>
  </si>
  <si>
    <t>NF:304082</t>
  </si>
  <si>
    <t>NF:313982</t>
  </si>
  <si>
    <t>NF:314084</t>
  </si>
  <si>
    <t>NF:306136</t>
  </si>
  <si>
    <t>52057</t>
  </si>
  <si>
    <t>314034</t>
  </si>
  <si>
    <t>314007</t>
  </si>
  <si>
    <t>NF:305719</t>
  </si>
  <si>
    <t>NF:305879</t>
  </si>
  <si>
    <t>NF:305970</t>
  </si>
  <si>
    <t>NF:305933</t>
  </si>
  <si>
    <t>NF:305736</t>
  </si>
  <si>
    <t>NF:305874</t>
  </si>
  <si>
    <t>NF:305913</t>
  </si>
  <si>
    <t>NF:306051</t>
  </si>
  <si>
    <t>NF:0305994</t>
  </si>
  <si>
    <t>313880</t>
  </si>
  <si>
    <t>NF:306092</t>
  </si>
  <si>
    <t>NF:0305987</t>
  </si>
  <si>
    <t>NF:0306077</t>
  </si>
  <si>
    <t>NF:45679</t>
  </si>
  <si>
    <t>NF:306100</t>
  </si>
  <si>
    <t>SENADOR LA ROQUE</t>
  </si>
  <si>
    <t>NF:51017</t>
  </si>
  <si>
    <t>NF:0306138</t>
  </si>
  <si>
    <t>NF:306146</t>
  </si>
  <si>
    <t>NF:313837</t>
  </si>
  <si>
    <t>NF:313882</t>
  </si>
  <si>
    <t>NF:313924</t>
  </si>
  <si>
    <t>NF:313878</t>
  </si>
  <si>
    <t>NF:313830</t>
  </si>
  <si>
    <t>NF:313896</t>
  </si>
  <si>
    <t>NF:0306177</t>
  </si>
  <si>
    <t>NF:313927</t>
  </si>
  <si>
    <t>NF:313898</t>
  </si>
  <si>
    <t>NF:306059</t>
  </si>
  <si>
    <t>NF:313903</t>
  </si>
  <si>
    <t>NF:306152</t>
  </si>
  <si>
    <t>NF:313836</t>
  </si>
  <si>
    <t>NF:313874</t>
  </si>
  <si>
    <t>NF:313928</t>
  </si>
  <si>
    <t>NF:313902</t>
  </si>
  <si>
    <t>NF:306144</t>
  </si>
  <si>
    <t>52119</t>
  </si>
  <si>
    <t>313937</t>
  </si>
  <si>
    <t>313907</t>
  </si>
  <si>
    <t>NF:302435</t>
  </si>
  <si>
    <t xml:space="preserve"> - adicionado via web.</t>
  </si>
  <si>
    <t>NF:0305657</t>
  </si>
  <si>
    <t>CM37</t>
  </si>
  <si>
    <t>ROBERT WALASSY PINHEIRO FREITAS BARROS</t>
  </si>
  <si>
    <t>NF:46789</t>
  </si>
  <si>
    <t>NF:0305798</t>
  </si>
  <si>
    <t>NF:305859</t>
  </si>
  <si>
    <t>NF:305797</t>
  </si>
  <si>
    <t>NF:0305856</t>
  </si>
  <si>
    <t>NF:305858</t>
  </si>
  <si>
    <t>NF:50993</t>
  </si>
  <si>
    <t>NF:0305885</t>
  </si>
  <si>
    <t>305866</t>
  </si>
  <si>
    <t>NF:52623, NF:52624</t>
  </si>
  <si>
    <t>NF:0313758</t>
  </si>
  <si>
    <t xml:space="preserve">28.380  toneladas de rachaozinho para usina de asfalto em São Luís </t>
  </si>
  <si>
    <t>NF:0313784</t>
  </si>
  <si>
    <t xml:space="preserve">28.760 toneladas de rachaozinho para usina de asfalto em São Luís </t>
  </si>
  <si>
    <t>NF:305851</t>
  </si>
  <si>
    <t>NF:305920</t>
  </si>
  <si>
    <t>NF:306020</t>
  </si>
  <si>
    <t>305913</t>
  </si>
  <si>
    <t>313834</t>
  </si>
  <si>
    <t>313897</t>
  </si>
  <si>
    <t>303623</t>
  </si>
  <si>
    <t>306060</t>
  </si>
  <si>
    <t>NF:52548, NF:52549</t>
  </si>
  <si>
    <t>NF:305577</t>
  </si>
  <si>
    <t>NF:305600</t>
  </si>
  <si>
    <t>NF:305561</t>
  </si>
  <si>
    <t>NF:0305613</t>
  </si>
  <si>
    <t>NF:50909</t>
  </si>
  <si>
    <t>NF:305666</t>
  </si>
  <si>
    <t>NF:0305608</t>
  </si>
  <si>
    <t>NF:0305410</t>
  </si>
  <si>
    <t>NF:305694</t>
  </si>
  <si>
    <t>NF:305584</t>
  </si>
  <si>
    <t>NF:0305701</t>
  </si>
  <si>
    <t>NF:52596, NF:52597</t>
  </si>
  <si>
    <t>NF:0305752</t>
  </si>
  <si>
    <t>NF:0305564</t>
  </si>
  <si>
    <t>NF:0305594</t>
  </si>
  <si>
    <t xml:space="preserve">28.600 toneladas de pó para usina de asfalto em São Luís </t>
  </si>
  <si>
    <t>NF:305566</t>
  </si>
  <si>
    <t>NF:0313694</t>
  </si>
  <si>
    <t xml:space="preserve">28.430 toneladas de rachaozinho para usina de asfalto em São Luís </t>
  </si>
  <si>
    <t>NF:305690</t>
  </si>
  <si>
    <t>NF:0313713</t>
  </si>
  <si>
    <t xml:space="preserve">28.800 toneladas de rachaozinho para usina de asfalto em São Luís </t>
  </si>
  <si>
    <t>NF:305560</t>
  </si>
  <si>
    <t>NF:305711</t>
  </si>
  <si>
    <t>NF:52572, NF:52573</t>
  </si>
  <si>
    <t>NF:0052552</t>
  </si>
  <si>
    <t xml:space="preserve">completou em Olinda </t>
  </si>
  <si>
    <t>NF:313709</t>
  </si>
  <si>
    <t>NF:313690</t>
  </si>
  <si>
    <t>305703</t>
  </si>
  <si>
    <t>305758</t>
  </si>
  <si>
    <t>303999</t>
  </si>
  <si>
    <t>NF:305373</t>
  </si>
  <si>
    <t>52811</t>
  </si>
  <si>
    <t>NF:305301</t>
  </si>
  <si>
    <t>NF:305283</t>
  </si>
  <si>
    <t>TK:50951</t>
  </si>
  <si>
    <t>NF:305389</t>
  </si>
  <si>
    <t>NF:305319</t>
  </si>
  <si>
    <t>NF:0305399</t>
  </si>
  <si>
    <t>NF:313564</t>
  </si>
  <si>
    <t>NF:305295</t>
  </si>
  <si>
    <t>NF:313567</t>
  </si>
  <si>
    <t>NF:313551</t>
  </si>
  <si>
    <t>NF:0305116</t>
  </si>
  <si>
    <t>NF:0305446</t>
  </si>
  <si>
    <t>NF:313565</t>
  </si>
  <si>
    <t>NF:0313550</t>
  </si>
  <si>
    <t xml:space="preserve">28.640 toneladas de rachaozinho para usina de asfalto em São Luís </t>
  </si>
  <si>
    <t>NF:0313592</t>
  </si>
  <si>
    <t xml:space="preserve">27.780 toneladas de rachaozinho para usina de asfalto em São Luís </t>
  </si>
  <si>
    <t>NF:313562</t>
  </si>
  <si>
    <t>NF:0052523</t>
  </si>
  <si>
    <t>177129</t>
  </si>
  <si>
    <t>NF:52447, NF:52448</t>
  </si>
  <si>
    <t>NF:52464, NF:52465</t>
  </si>
  <si>
    <t>NF:305087</t>
  </si>
  <si>
    <t>NF:305066</t>
  </si>
  <si>
    <t>NF:52430, NF:52429</t>
  </si>
  <si>
    <t>..</t>
  </si>
  <si>
    <t>NF:305177</t>
  </si>
  <si>
    <t>NF:305198</t>
  </si>
  <si>
    <t>TK:305183</t>
  </si>
  <si>
    <t>NF:305208</t>
  </si>
  <si>
    <t>NF:0305213</t>
  </si>
  <si>
    <t>NF:313440</t>
  </si>
  <si>
    <t>NF:305248</t>
  </si>
  <si>
    <t>NF:305259</t>
  </si>
  <si>
    <t>CM47</t>
  </si>
  <si>
    <t>DENEVAL DOS SANTOS PEREIRA</t>
  </si>
  <si>
    <t>NF:050938</t>
  </si>
  <si>
    <t>NF:0305261</t>
  </si>
  <si>
    <t>NF:305103</t>
  </si>
  <si>
    <t>NF:50931</t>
  </si>
  <si>
    <t>NF:052454, NF:052455</t>
  </si>
  <si>
    <t>TK:5161</t>
  </si>
  <si>
    <t>NF:0313441</t>
  </si>
  <si>
    <t xml:space="preserve">27.570 toneladas de pó para usina de asfalto em São Luís </t>
  </si>
  <si>
    <t>NF:0305194</t>
  </si>
  <si>
    <t>NF:313520</t>
  </si>
  <si>
    <t>NF:305231</t>
  </si>
  <si>
    <t>NF:305178</t>
  </si>
  <si>
    <t>305193</t>
  </si>
  <si>
    <t>NF:304824</t>
  </si>
  <si>
    <t>NF:304925</t>
  </si>
  <si>
    <t>NF:52389, NF:52388</t>
  </si>
  <si>
    <t>NF:304908</t>
  </si>
  <si>
    <t>NF:304948</t>
  </si>
  <si>
    <t>NF:304952</t>
  </si>
  <si>
    <t>NF:304965</t>
  </si>
  <si>
    <t>NF:052379, NF:052380</t>
  </si>
  <si>
    <t>NF:305007</t>
  </si>
  <si>
    <t>NF:0305004</t>
  </si>
  <si>
    <t>NF:305005</t>
  </si>
  <si>
    <t>NF:304922, NF:304922</t>
  </si>
  <si>
    <t>NF:305025</t>
  </si>
  <si>
    <t>NF:304971</t>
  </si>
  <si>
    <t>NF:304927</t>
  </si>
  <si>
    <t>NF:52347, NF:52348</t>
  </si>
  <si>
    <t>TK:5147</t>
  </si>
  <si>
    <t>NF:0304936</t>
  </si>
  <si>
    <t>NF:0313385</t>
  </si>
  <si>
    <t xml:space="preserve">27.970 toneladas de pó para usina de asfalto em São Luís </t>
  </si>
  <si>
    <t>NF:52425, NF:52426</t>
  </si>
  <si>
    <t>NF:304956</t>
  </si>
  <si>
    <t>NF:304916</t>
  </si>
  <si>
    <t>NF:304924</t>
  </si>
  <si>
    <t>NF:52457, NF:52458</t>
  </si>
  <si>
    <t>NF:304640</t>
  </si>
  <si>
    <t>NF:52324, NF:52325</t>
  </si>
  <si>
    <t>NF:304560</t>
  </si>
  <si>
    <t>NF:304615</t>
  </si>
  <si>
    <t>NF:304561</t>
  </si>
  <si>
    <t>NF:304674</t>
  </si>
  <si>
    <t>NF:304732</t>
  </si>
  <si>
    <t>NF:304707</t>
  </si>
  <si>
    <t>NF:304720</t>
  </si>
  <si>
    <t>NF:304733</t>
  </si>
  <si>
    <t>NF:304772</t>
  </si>
  <si>
    <t>NF:304782</t>
  </si>
  <si>
    <t>TK:8593</t>
  </si>
  <si>
    <t>TK:5143</t>
  </si>
  <si>
    <t>NF:0304695</t>
  </si>
  <si>
    <t>NF:304645</t>
  </si>
  <si>
    <t>NF:304758</t>
  </si>
  <si>
    <t>NF:52306, NF:52307</t>
  </si>
  <si>
    <t>NF:62322, NF:52321</t>
  </si>
  <si>
    <t>NF:52367, NF:52368</t>
  </si>
  <si>
    <t>NF:304335</t>
  </si>
  <si>
    <t>NF:304377</t>
  </si>
  <si>
    <t>NF:304436</t>
  </si>
  <si>
    <t>NF:304298</t>
  </si>
  <si>
    <t>NF:304371</t>
  </si>
  <si>
    <t>NF:304463</t>
  </si>
  <si>
    <t>NF:304455</t>
  </si>
  <si>
    <t>NF:304373</t>
  </si>
  <si>
    <t>NF:304479</t>
  </si>
  <si>
    <t>NF:304500</t>
  </si>
  <si>
    <t>NF:304528</t>
  </si>
  <si>
    <t>NF:313146</t>
  </si>
  <si>
    <t>NF:304555</t>
  </si>
  <si>
    <t>TK:5132</t>
  </si>
  <si>
    <t>NF:052261, TK:052262</t>
  </si>
  <si>
    <t>NF:052261, NF:052262</t>
  </si>
  <si>
    <t>NF:0304469</t>
  </si>
  <si>
    <t>NF:304572</t>
  </si>
  <si>
    <t>NF:0313142</t>
  </si>
  <si>
    <t xml:space="preserve">28.500 toneladas de pó para usina de asfalto em São Luís </t>
  </si>
  <si>
    <t>NF:0304586</t>
  </si>
  <si>
    <t xml:space="preserve">28.160 toneladas de pó para usina de asfalto em São Luís </t>
  </si>
  <si>
    <t>NF:304456</t>
  </si>
  <si>
    <t>NF:0052317</t>
  </si>
  <si>
    <t>313156</t>
  </si>
  <si>
    <t>NF:304158</t>
  </si>
  <si>
    <t>NF:52186, NF:52187</t>
  </si>
  <si>
    <t>NF:304217</t>
  </si>
  <si>
    <t>NF:52184, NF:52185</t>
  </si>
  <si>
    <t>NF:304214</t>
  </si>
  <si>
    <t>NF:304266</t>
  </si>
  <si>
    <t>NF:0304258</t>
  </si>
  <si>
    <t>NF:304315</t>
  </si>
  <si>
    <t>NF:0304302</t>
  </si>
  <si>
    <t>NF:304296</t>
  </si>
  <si>
    <t>NF:304318</t>
  </si>
  <si>
    <t>NF:304215</t>
  </si>
  <si>
    <t>NF:304275</t>
  </si>
  <si>
    <t>NF:52196, NF:52197</t>
  </si>
  <si>
    <t>NF:052229, NF:052230</t>
  </si>
  <si>
    <t>TK:5126</t>
  </si>
  <si>
    <t>NF:304069</t>
  </si>
  <si>
    <t>NF:300324</t>
  </si>
  <si>
    <t>NF:52226, NF:52227</t>
  </si>
  <si>
    <t>NF:52251, NF:52252</t>
  </si>
  <si>
    <t>NF:0052221</t>
  </si>
  <si>
    <t>NF:304047</t>
  </si>
  <si>
    <t>NF:52166, NF:52167</t>
  </si>
  <si>
    <t>NF:0304051</t>
  </si>
  <si>
    <t>NF:304003</t>
  </si>
  <si>
    <t>NF:304098</t>
  </si>
  <si>
    <t>NF:304135</t>
  </si>
  <si>
    <t>NF:304136</t>
  </si>
  <si>
    <t>NF:0304125</t>
  </si>
  <si>
    <t>NF:304104</t>
  </si>
  <si>
    <t>NF:0303840</t>
  </si>
  <si>
    <t>NF:304150</t>
  </si>
  <si>
    <t>NF:304006</t>
  </si>
  <si>
    <t>NF:0304106</t>
  </si>
  <si>
    <t xml:space="preserve">28.800 toneladas de pó para usina de asfalto em São Luís </t>
  </si>
  <si>
    <t>NF:304054</t>
  </si>
  <si>
    <t>NF304120</t>
  </si>
  <si>
    <t>NF:0052189</t>
  </si>
  <si>
    <t>NF:52101, NF:52102</t>
  </si>
  <si>
    <t>NF:303803</t>
  </si>
  <si>
    <t>NF:303826</t>
  </si>
  <si>
    <t>NF:303874</t>
  </si>
  <si>
    <t>NF:303878</t>
  </si>
  <si>
    <t>NF:303922</t>
  </si>
  <si>
    <t>NF:52077, NF:52078</t>
  </si>
  <si>
    <t>NF:312883</t>
  </si>
  <si>
    <t>NF:303930</t>
  </si>
  <si>
    <t>NF:0312884</t>
  </si>
  <si>
    <t>NF:303882</t>
  </si>
  <si>
    <t>NF:312896</t>
  </si>
  <si>
    <t>TK:5110</t>
  </si>
  <si>
    <t>NF:303957</t>
  </si>
  <si>
    <t>NF:303983</t>
  </si>
  <si>
    <t>NF:303842</t>
  </si>
  <si>
    <t>NF:52095, NF:52096</t>
  </si>
  <si>
    <t>NF:0303963</t>
  </si>
  <si>
    <t>NF:0303919</t>
  </si>
  <si>
    <t>NF:303997</t>
  </si>
  <si>
    <t>NF:312863</t>
  </si>
  <si>
    <t>NF:312894</t>
  </si>
  <si>
    <t>NF:0303819</t>
  </si>
  <si>
    <t xml:space="preserve">28.980 toneladas de bica corrida para Metropolitana </t>
  </si>
  <si>
    <t>NF:0312881</t>
  </si>
  <si>
    <t xml:space="preserve">27.810 toneladas de pó para usina de asfalto em São Luís </t>
  </si>
  <si>
    <t>NF:0312929</t>
  </si>
  <si>
    <t xml:space="preserve">27.150 toneladas de pó para usina de asfalto em São Luís </t>
  </si>
  <si>
    <t>NF:0304022</t>
  </si>
  <si>
    <t>NF:52025</t>
  </si>
  <si>
    <t>NF:303875</t>
  </si>
  <si>
    <t>NF:312882</t>
  </si>
  <si>
    <t>NF:303954</t>
  </si>
  <si>
    <t>NF:52132, NF:52133</t>
  </si>
  <si>
    <t>NF303949</t>
  </si>
  <si>
    <t>NF304014</t>
  </si>
  <si>
    <t>NF:0303595</t>
  </si>
  <si>
    <t>NF:303577</t>
  </si>
  <si>
    <t>NF:303676</t>
  </si>
  <si>
    <t>NF:051979, NF:051980</t>
  </si>
  <si>
    <t>NF:303674</t>
  </si>
  <si>
    <t>NF:303715</t>
  </si>
  <si>
    <t>NF:52037, NF:52036</t>
  </si>
  <si>
    <t>NF:0303700</t>
  </si>
  <si>
    <t>NF:0303699</t>
  </si>
  <si>
    <t>NF:51948, NF:51947</t>
  </si>
  <si>
    <t>NF:303722</t>
  </si>
  <si>
    <t>NF:312781</t>
  </si>
  <si>
    <t>NF:303717</t>
  </si>
  <si>
    <t>NF:051975, NF:051976</t>
  </si>
  <si>
    <t>NF:0303744</t>
  </si>
  <si>
    <t>NF:303761</t>
  </si>
  <si>
    <t>NF:52027, NF:52028</t>
  </si>
  <si>
    <t>NF:303760</t>
  </si>
  <si>
    <t>NF:312802</t>
  </si>
  <si>
    <t>NF:312801</t>
  </si>
  <si>
    <t>TK:8476</t>
  </si>
  <si>
    <t>NF:312767</t>
  </si>
  <si>
    <t>NF:312803</t>
  </si>
  <si>
    <t>NF:303805</t>
  </si>
  <si>
    <t>NF:0303584</t>
  </si>
  <si>
    <t xml:space="preserve">27.900 toneladas de bica corrida para Metropolitana </t>
  </si>
  <si>
    <t>NF:312782</t>
  </si>
  <si>
    <t xml:space="preserve">26.660 toneladas de pó para usina de asfalto em São Luís </t>
  </si>
  <si>
    <t>NF:0303751</t>
  </si>
  <si>
    <t xml:space="preserve">28.660  toneladas de bica corrida para Metropolitana </t>
  </si>
  <si>
    <t>NF:303593</t>
  </si>
  <si>
    <t>NF:303698</t>
  </si>
  <si>
    <t>NF:312800</t>
  </si>
  <si>
    <t>NF:52070, NF:52071</t>
  </si>
  <si>
    <t>303478</t>
  </si>
  <si>
    <t>NF:52024</t>
  </si>
  <si>
    <t>NF:52044, NF:52045</t>
  </si>
  <si>
    <t>NF:0052066</t>
  </si>
  <si>
    <t>TK:5073</t>
  </si>
  <si>
    <t>NF:303356</t>
  </si>
  <si>
    <t>NF:303365, NF:303365</t>
  </si>
  <si>
    <t>NF:0303402</t>
  </si>
  <si>
    <t>NF:303445</t>
  </si>
  <si>
    <t>NF:303478</t>
  </si>
  <si>
    <t>NF:303488</t>
  </si>
  <si>
    <t>NF:51964, NF:51965</t>
  </si>
  <si>
    <t>NF:0303476</t>
  </si>
  <si>
    <t>NF:0303483</t>
  </si>
  <si>
    <t>NF:303487</t>
  </si>
  <si>
    <t>NF:312701</t>
  </si>
  <si>
    <t>NF:303525</t>
  </si>
  <si>
    <t>NF:303419</t>
  </si>
  <si>
    <t>NF:0303520</t>
  </si>
  <si>
    <t>NF:312718</t>
  </si>
  <si>
    <t>NF:0303536</t>
  </si>
  <si>
    <t>NF:303574</t>
  </si>
  <si>
    <t>NF:0303576</t>
  </si>
  <si>
    <t>NF:312729</t>
  </si>
  <si>
    <t>TK:5094</t>
  </si>
  <si>
    <t>TK:5097, TK:5097</t>
  </si>
  <si>
    <t>a numeração do ticket acima e só uma OK....</t>
  </si>
  <si>
    <t>NF:0303366</t>
  </si>
  <si>
    <t xml:space="preserve">27.760 toneladas de bica corrida para Metropolitana </t>
  </si>
  <si>
    <t>NF:0312714</t>
  </si>
  <si>
    <t xml:space="preserve">27.090 toneladas de pó para usina de asfalto em São Luís </t>
  </si>
  <si>
    <t>NF:303452</t>
  </si>
  <si>
    <t>NF:312704</t>
  </si>
  <si>
    <t>NF:312534</t>
  </si>
  <si>
    <t>NF:303486</t>
  </si>
  <si>
    <t>NF:51953, NF:51954</t>
  </si>
  <si>
    <t>NF:312717</t>
  </si>
  <si>
    <t>NF:303412</t>
  </si>
  <si>
    <t>303393</t>
  </si>
  <si>
    <t>NF:303421</t>
  </si>
  <si>
    <t>NF:0051961</t>
  </si>
  <si>
    <t>NF:303126</t>
  </si>
  <si>
    <t>NF:0303102</t>
  </si>
  <si>
    <t>NF:303157</t>
  </si>
  <si>
    <t>NF:303198</t>
  </si>
  <si>
    <t>NF:303234</t>
  </si>
  <si>
    <t>NF:0303232</t>
  </si>
  <si>
    <t>NF:303239</t>
  </si>
  <si>
    <t>NF:303242</t>
  </si>
  <si>
    <t>NF:0302539</t>
  </si>
  <si>
    <t>NF:0302493</t>
  </si>
  <si>
    <t>NF:51680, NF:51681</t>
  </si>
  <si>
    <t>NF:0303269</t>
  </si>
  <si>
    <t>NF:303303, NF:303303</t>
  </si>
  <si>
    <t>NF:303283</t>
  </si>
  <si>
    <t>NF:0303287</t>
  </si>
  <si>
    <t>NF:303291</t>
  </si>
  <si>
    <t>NF:303296</t>
  </si>
  <si>
    <t>NF:051840, NF:051841</t>
  </si>
  <si>
    <t>NF:51889, NF:51888</t>
  </si>
  <si>
    <t xml:space="preserve">usina de são Luís </t>
  </si>
  <si>
    <t>NF:0303327</t>
  </si>
  <si>
    <t>NF:303228</t>
  </si>
  <si>
    <t>NF:303357</t>
  </si>
  <si>
    <t>NF:0303362</t>
  </si>
  <si>
    <t>NF:0303238</t>
  </si>
  <si>
    <t xml:space="preserve">27.300 toneladas de bica corrida para metropolitana </t>
  </si>
  <si>
    <t>NF:0303302</t>
  </si>
  <si>
    <t xml:space="preserve">28.340 toneladas de brita três para metropolitana </t>
  </si>
  <si>
    <t>NF:51890, NF:51891</t>
  </si>
  <si>
    <t>NF:51884, NF:51885</t>
  </si>
  <si>
    <t>NF:303205</t>
  </si>
  <si>
    <t>TK:5086</t>
  </si>
  <si>
    <t>NF:303361</t>
  </si>
  <si>
    <t>51806</t>
  </si>
  <si>
    <t>303274</t>
  </si>
  <si>
    <t>NF:302920</t>
  </si>
  <si>
    <t>NF:51758, NF:51759</t>
  </si>
  <si>
    <t>NF:302977</t>
  </si>
  <si>
    <t>NF:0302978</t>
  </si>
  <si>
    <t>NF:302996</t>
  </si>
  <si>
    <t>NF:303063</t>
  </si>
  <si>
    <t>NF:0303042</t>
  </si>
  <si>
    <t>NF:303058</t>
  </si>
  <si>
    <t>NF:0303060</t>
  </si>
  <si>
    <t>NF:303073</t>
  </si>
  <si>
    <t>NF:51810, NF:51811</t>
  </si>
  <si>
    <t>NF:303095</t>
  </si>
  <si>
    <t>TK:5063</t>
  </si>
  <si>
    <t>NF:0303099</t>
  </si>
  <si>
    <t>NF:302994</t>
  </si>
  <si>
    <t>NF:312521</t>
  </si>
  <si>
    <t>NF:312547</t>
  </si>
  <si>
    <t>NF:51751, NF:51752</t>
  </si>
  <si>
    <t>NF:303117</t>
  </si>
  <si>
    <t>NF:302993</t>
  </si>
  <si>
    <t>NF:303072</t>
  </si>
  <si>
    <t>NF:51808, NF:51809</t>
  </si>
  <si>
    <t>NF:0312507</t>
  </si>
  <si>
    <t xml:space="preserve">27. 220 toneladas de rachaozinho para usina de asfalto em São Luís </t>
  </si>
  <si>
    <t>NF:0312537</t>
  </si>
  <si>
    <t xml:space="preserve">26.910 toneladas de rachaozinho para usina de asfalto em São Luís </t>
  </si>
  <si>
    <t>NF:0312569</t>
  </si>
  <si>
    <t xml:space="preserve">26.260 toneladas de rachaozinho para usina de asfalto em São Luís </t>
  </si>
  <si>
    <t>NF:51818, NF:51819</t>
  </si>
  <si>
    <t>NF:302995</t>
  </si>
  <si>
    <t>NF:303050</t>
  </si>
  <si>
    <t>NF:303138</t>
  </si>
  <si>
    <t>NF:0051838</t>
  </si>
  <si>
    <t>NF:302783</t>
  </si>
  <si>
    <t>NF:51688, NF:51689</t>
  </si>
  <si>
    <t>NF:0312364</t>
  </si>
  <si>
    <t>NF:51699, NF:51700</t>
  </si>
  <si>
    <t>NF:302840</t>
  </si>
  <si>
    <t>NF:312389</t>
  </si>
  <si>
    <t>NF:312391</t>
  </si>
  <si>
    <t>NF:0312403</t>
  </si>
  <si>
    <t>TK:5050</t>
  </si>
  <si>
    <t>NF:312420</t>
  </si>
  <si>
    <t>NF:302885</t>
  </si>
  <si>
    <t>NF:302888</t>
  </si>
  <si>
    <t>NF:051592, NF:0051598</t>
  </si>
  <si>
    <t>NF:312390</t>
  </si>
  <si>
    <t>302858</t>
  </si>
  <si>
    <t>NF:302602</t>
  </si>
  <si>
    <t>NF:51629, NF:51630</t>
  </si>
  <si>
    <t xml:space="preserve">usina de Olinda </t>
  </si>
  <si>
    <t>NF:0312273</t>
  </si>
  <si>
    <t>NF:312231</t>
  </si>
  <si>
    <t>NF:312230</t>
  </si>
  <si>
    <t>NF:51617, NF:51618</t>
  </si>
  <si>
    <t>NF:516115, NF:516116</t>
  </si>
  <si>
    <t>NF:0312297</t>
  </si>
  <si>
    <t>NF:302694</t>
  </si>
  <si>
    <t>NF:0302692</t>
  </si>
  <si>
    <t>NF:312310</t>
  </si>
  <si>
    <t>NF:302705</t>
  </si>
  <si>
    <t>NF:51604, NF:51605</t>
  </si>
  <si>
    <t>NF:302731, NF:302731</t>
  </si>
  <si>
    <t>NF:0302728</t>
  </si>
  <si>
    <t>NF:0312321</t>
  </si>
  <si>
    <t>VALE NOVA VIDA</t>
  </si>
  <si>
    <t>NF:50829</t>
  </si>
  <si>
    <t>N0VA VlDA</t>
  </si>
  <si>
    <t>NF:050813</t>
  </si>
  <si>
    <t>NF:0516336, NF:051637</t>
  </si>
  <si>
    <t>NF:312320</t>
  </si>
  <si>
    <t>NF:312295</t>
  </si>
  <si>
    <t>NF:312335</t>
  </si>
  <si>
    <t>NF:302758</t>
  </si>
  <si>
    <t>NF:0312340</t>
  </si>
  <si>
    <t>NF:0302749</t>
  </si>
  <si>
    <t>NF:312346</t>
  </si>
  <si>
    <t>NF:312294</t>
  </si>
  <si>
    <t>NF:312318</t>
  </si>
  <si>
    <t>NF:312333</t>
  </si>
  <si>
    <t>TK:5035</t>
  </si>
  <si>
    <t>NF:51632, NF:51633</t>
  </si>
  <si>
    <t>302768</t>
  </si>
  <si>
    <t>NF:0051713</t>
  </si>
  <si>
    <t>FRETE CARRADA MARÇO DE 2026</t>
  </si>
  <si>
    <t>NF:334963</t>
  </si>
  <si>
    <t>NF:325465</t>
  </si>
  <si>
    <t>NF:335003</t>
  </si>
  <si>
    <t>NF:334813</t>
  </si>
  <si>
    <t>NF:325475</t>
  </si>
  <si>
    <t>NF:0325476</t>
  </si>
  <si>
    <t>NF:334829</t>
  </si>
  <si>
    <t>NF:325474</t>
  </si>
  <si>
    <t>NF:335001</t>
  </si>
  <si>
    <t>NF:335053</t>
  </si>
  <si>
    <t>NF:325473</t>
  </si>
  <si>
    <t>NF:335031</t>
  </si>
  <si>
    <t>NF:335088</t>
  </si>
  <si>
    <t>NF:325493</t>
  </si>
  <si>
    <t>NF:335125</t>
  </si>
  <si>
    <t>NF:335112</t>
  </si>
  <si>
    <t>NF:335126</t>
  </si>
  <si>
    <t>NF:325500</t>
  </si>
  <si>
    <t>NF:335142</t>
  </si>
  <si>
    <t>NF:335096</t>
  </si>
  <si>
    <t>NF:335046</t>
  </si>
  <si>
    <t>NF:334926</t>
  </si>
  <si>
    <t>NF:335155</t>
  </si>
  <si>
    <t>NF:335164</t>
  </si>
  <si>
    <t>NF:325503</t>
  </si>
  <si>
    <t>NF:325512</t>
  </si>
  <si>
    <t>NF:335108</t>
  </si>
  <si>
    <t>NF:335168</t>
  </si>
  <si>
    <t>NF:325514</t>
  </si>
  <si>
    <t>NF:335118</t>
  </si>
  <si>
    <t>NF:335159</t>
  </si>
  <si>
    <t>NF:53372</t>
  </si>
  <si>
    <t>NF:335191</t>
  </si>
  <si>
    <t>NF:335153</t>
  </si>
  <si>
    <t>NF:335131</t>
  </si>
  <si>
    <t>NF:335165</t>
  </si>
  <si>
    <t>NF:325497</t>
  </si>
  <si>
    <t>NF:325511</t>
  </si>
  <si>
    <t>NF:335214</t>
  </si>
  <si>
    <t>NF:335224</t>
  </si>
  <si>
    <t>NF:325543</t>
  </si>
  <si>
    <t>NF:335308</t>
  </si>
  <si>
    <t>NF:335264</t>
  </si>
  <si>
    <t>NF:325564</t>
  </si>
  <si>
    <t>NF:325565</t>
  </si>
  <si>
    <t>NF:335281</t>
  </si>
  <si>
    <t>NF:335316</t>
  </si>
  <si>
    <t>EDECOMINAS CALCARIO PORTO</t>
  </si>
  <si>
    <t>NF:335219</t>
  </si>
  <si>
    <t>NF:335285</t>
  </si>
  <si>
    <t>NF:335335</t>
  </si>
  <si>
    <t>VLI IMPERATRIZ</t>
  </si>
  <si>
    <t>IMPERATRIZ</t>
  </si>
  <si>
    <t>NF:53410</t>
  </si>
  <si>
    <t>NF:325532</t>
  </si>
  <si>
    <t>NF:325547</t>
  </si>
  <si>
    <t>NF:325591</t>
  </si>
  <si>
    <t>NF:0325586</t>
  </si>
  <si>
    <t>NF:335279</t>
  </si>
  <si>
    <t>CM66</t>
  </si>
  <si>
    <t>EDVAN DA SILVA</t>
  </si>
  <si>
    <t>NF:325545</t>
  </si>
  <si>
    <t>NF:325569</t>
  </si>
  <si>
    <t>NF:335229</t>
  </si>
  <si>
    <t>NF:335294</t>
  </si>
  <si>
    <t>NF:325559</t>
  </si>
  <si>
    <t>NF:325558</t>
  </si>
  <si>
    <t>NF:325544</t>
  </si>
  <si>
    <t>NF:325566</t>
  </si>
  <si>
    <t>NF:325533</t>
  </si>
  <si>
    <t>NF:335343</t>
  </si>
  <si>
    <t>NF:325594</t>
  </si>
  <si>
    <t>NF:335390</t>
  </si>
  <si>
    <t>NF:325602</t>
  </si>
  <si>
    <t>NF:335388</t>
  </si>
  <si>
    <t>NF:335407</t>
  </si>
  <si>
    <t>NF:335413</t>
  </si>
  <si>
    <t>NF:335449</t>
  </si>
  <si>
    <t>NF:325609</t>
  </si>
  <si>
    <t>NF:335445</t>
  </si>
  <si>
    <t>NF:335471</t>
  </si>
  <si>
    <t>NF:325639</t>
  </si>
  <si>
    <t>NF:335325</t>
  </si>
  <si>
    <t>NF:335406</t>
  </si>
  <si>
    <t>NF:325627</t>
  </si>
  <si>
    <t>NF:325642</t>
  </si>
  <si>
    <t>NF:325654</t>
  </si>
  <si>
    <t>NF:325618</t>
  </si>
  <si>
    <t>NF:335367</t>
  </si>
  <si>
    <t>NF:335424</t>
  </si>
  <si>
    <t>NF:53415, NF:53416</t>
  </si>
  <si>
    <t>NF:325607</t>
  </si>
  <si>
    <t>NF:325590</t>
  </si>
  <si>
    <t>NF:325605</t>
  </si>
  <si>
    <t>NF:325640</t>
  </si>
  <si>
    <t>NF:335394</t>
  </si>
  <si>
    <t>NF:335453</t>
  </si>
  <si>
    <t>NF:335603</t>
  </si>
  <si>
    <t>NF:325624</t>
  </si>
  <si>
    <t>NF:325595</t>
  </si>
  <si>
    <t>NF:325606</t>
  </si>
  <si>
    <t>NF:325636</t>
  </si>
  <si>
    <t>NF:325608</t>
  </si>
  <si>
    <t>NF:325597</t>
  </si>
  <si>
    <t>NF:335451</t>
  </si>
  <si>
    <t>NF:325596</t>
  </si>
  <si>
    <t>NF:335491</t>
  </si>
  <si>
    <t>NF:325670</t>
  </si>
  <si>
    <t>NF:335520</t>
  </si>
  <si>
    <t>NF:325686</t>
  </si>
  <si>
    <t>NF:325683</t>
  </si>
  <si>
    <t>NF:335562</t>
  </si>
  <si>
    <t>NF:335561</t>
  </si>
  <si>
    <t>NF:0325690</t>
  </si>
  <si>
    <t>NF:325713</t>
  </si>
  <si>
    <t>NF:335472</t>
  </si>
  <si>
    <t>NF:325689</t>
  </si>
  <si>
    <t>NF:325710</t>
  </si>
  <si>
    <t>NF:325673</t>
  </si>
  <si>
    <t>NF:325702</t>
  </si>
  <si>
    <t>NF:325695</t>
  </si>
  <si>
    <t>NF:325666</t>
  </si>
  <si>
    <t>NF:325681</t>
  </si>
  <si>
    <t>NF:335521</t>
  </si>
  <si>
    <t>NF:335572</t>
  </si>
  <si>
    <t>NF:325735</t>
  </si>
  <si>
    <t>NF:0325739</t>
  </si>
  <si>
    <t>NF:325719</t>
  </si>
  <si>
    <t>NF:335534</t>
  </si>
  <si>
    <t>NF:335576</t>
  </si>
  <si>
    <t>NF:53436</t>
  </si>
  <si>
    <t>NF:325685</t>
  </si>
  <si>
    <t>NF:325720</t>
  </si>
  <si>
    <t>NF:335563</t>
  </si>
  <si>
    <t>NF:325715</t>
  </si>
  <si>
    <t>NF:325680, NF:326680</t>
  </si>
  <si>
    <t>NF:335546</t>
  </si>
  <si>
    <t>NF:325709</t>
  </si>
  <si>
    <t>NF:335676</t>
  </si>
  <si>
    <t>NF:325743</t>
  </si>
  <si>
    <t>NF:325734</t>
  </si>
  <si>
    <t>NF:53434</t>
  </si>
  <si>
    <t>NF:335597</t>
  </si>
  <si>
    <t>NF:335695</t>
  </si>
  <si>
    <t>VALE KM 386</t>
  </si>
  <si>
    <t>NF:53404</t>
  </si>
  <si>
    <t>NF:335617</t>
  </si>
  <si>
    <t>NF:325745</t>
  </si>
  <si>
    <t>NF:325744</t>
  </si>
  <si>
    <t>NF:325746</t>
  </si>
  <si>
    <t>NF:325755</t>
  </si>
  <si>
    <t>NF:325766</t>
  </si>
  <si>
    <t>NF:335661</t>
  </si>
  <si>
    <t>NF:335654</t>
  </si>
  <si>
    <t>NF:325780</t>
  </si>
  <si>
    <t>NF:335823</t>
  </si>
  <si>
    <t>NF:325789</t>
  </si>
  <si>
    <t>NF:325787</t>
  </si>
  <si>
    <t>NF:325810</t>
  </si>
  <si>
    <t>OLINDA NOVA</t>
  </si>
  <si>
    <t>NF:325793</t>
  </si>
  <si>
    <t>NF:335860</t>
  </si>
  <si>
    <t>NF:325792</t>
  </si>
  <si>
    <t>NF:325801</t>
  </si>
  <si>
    <t>NF:325815</t>
  </si>
  <si>
    <t>NF:335813</t>
  </si>
  <si>
    <t>NF:325798</t>
  </si>
  <si>
    <t>NF:325796</t>
  </si>
  <si>
    <t>NF:325799</t>
  </si>
  <si>
    <t>NF:325788</t>
  </si>
  <si>
    <t>NF:335909</t>
  </si>
  <si>
    <t>NF:325832</t>
  </si>
  <si>
    <t>NF:325830</t>
  </si>
  <si>
    <t>NF:325858</t>
  </si>
  <si>
    <t>NF:53454</t>
  </si>
  <si>
    <t>NF:325821</t>
  </si>
  <si>
    <t>NF:325876</t>
  </si>
  <si>
    <t>NF:325848</t>
  </si>
  <si>
    <t>NF:325864</t>
  </si>
  <si>
    <t>NF:60521, NF:60522</t>
  </si>
  <si>
    <t>NF:335932</t>
  </si>
  <si>
    <t>NF:325878</t>
  </si>
  <si>
    <t>NF:335918</t>
  </si>
  <si>
    <t>NF:335951</t>
  </si>
  <si>
    <t>NF:325807</t>
  </si>
  <si>
    <t>NF:335915</t>
  </si>
  <si>
    <t>NF:335947</t>
  </si>
  <si>
    <t>NF:325822</t>
  </si>
  <si>
    <t>NF:335925</t>
  </si>
  <si>
    <t>NF:335956</t>
  </si>
  <si>
    <t>NF:325837</t>
  </si>
  <si>
    <t>NF:325879</t>
  </si>
  <si>
    <t>NF:325877</t>
  </si>
  <si>
    <t>NF:60526, NF:60527</t>
  </si>
  <si>
    <t>NF:325805</t>
  </si>
  <si>
    <t>NF:325795</t>
  </si>
  <si>
    <t>NF:0325818</t>
  </si>
  <si>
    <t>NF:060608</t>
  </si>
  <si>
    <t>CIDELANDIA</t>
  </si>
  <si>
    <t>NF:53450, NF:53451</t>
  </si>
  <si>
    <t>NF:325896</t>
  </si>
  <si>
    <t>NF:336001</t>
  </si>
  <si>
    <t>NF:325869</t>
  </si>
  <si>
    <t>NF:325866</t>
  </si>
  <si>
    <t>NF:325868</t>
  </si>
  <si>
    <t>NF:325893</t>
  </si>
  <si>
    <t>NF:325890</t>
  </si>
  <si>
    <t>NF:325909</t>
  </si>
  <si>
    <t>NF:325914</t>
  </si>
  <si>
    <t>NF:336080</t>
  </si>
  <si>
    <t>NF:336085</t>
  </si>
  <si>
    <t>NF:325929</t>
  </si>
  <si>
    <t>NF:336081</t>
  </si>
  <si>
    <t>NF:336041</t>
  </si>
  <si>
    <t>NF:336086</t>
  </si>
  <si>
    <t>NF:336129</t>
  </si>
  <si>
    <t>NF:325905</t>
  </si>
  <si>
    <t>NF:336088</t>
  </si>
  <si>
    <t>NF:325891</t>
  </si>
  <si>
    <t>NF:325854</t>
  </si>
  <si>
    <t>NF:336033</t>
  </si>
  <si>
    <t>NF:336079</t>
  </si>
  <si>
    <t>NF:336032</t>
  </si>
  <si>
    <t>RETORNO DA UEMA</t>
  </si>
  <si>
    <t>NF:325919</t>
  </si>
  <si>
    <t>NF:336068</t>
  </si>
  <si>
    <t>NF:325897</t>
  </si>
  <si>
    <t>NF:325855</t>
  </si>
  <si>
    <t>NF:336040</t>
  </si>
  <si>
    <t>NF:494152</t>
  </si>
  <si>
    <t>NF:325903</t>
  </si>
  <si>
    <t>NF:325865</t>
  </si>
  <si>
    <t>NF:336191</t>
  </si>
  <si>
    <t>NF:60661, NF:60662</t>
  </si>
  <si>
    <t>VIADUTO DO CAFE</t>
  </si>
  <si>
    <t>NF:336201</t>
  </si>
  <si>
    <t>NF:336190</t>
  </si>
  <si>
    <t>NF:336247</t>
  </si>
  <si>
    <t>NF:336245</t>
  </si>
  <si>
    <t>NF:60657, NF:60658</t>
  </si>
  <si>
    <t>NF:325969</t>
  </si>
  <si>
    <t>NF:336249</t>
  </si>
  <si>
    <t>NF:336196</t>
  </si>
  <si>
    <t>NF:325962</t>
  </si>
  <si>
    <t>NF:325958</t>
  </si>
  <si>
    <t>NF:336198</t>
  </si>
  <si>
    <t>NF:336195</t>
  </si>
  <si>
    <t>NF:336243</t>
  </si>
  <si>
    <t>NF:336289</t>
  </si>
  <si>
    <t>NF:325940</t>
  </si>
  <si>
    <t>NF:336239</t>
  </si>
  <si>
    <t>NF:336194</t>
  </si>
  <si>
    <t>NF:336266</t>
  </si>
  <si>
    <t>NF:060664, NF:060665</t>
  </si>
  <si>
    <t>SAO PEDRO DA AGUA BRANCA</t>
  </si>
  <si>
    <t>NF:53472, NF:53473</t>
  </si>
  <si>
    <t>NF:60698, NF:60699</t>
  </si>
  <si>
    <t>NF:325951</t>
  </si>
  <si>
    <t>NF:336275</t>
  </si>
  <si>
    <t>NF:325974</t>
  </si>
  <si>
    <t>NF:336282</t>
  </si>
  <si>
    <t>NF:325986</t>
  </si>
  <si>
    <t>NF:60659, NF:60660</t>
  </si>
  <si>
    <t>NF:336229</t>
  </si>
  <si>
    <t>NF:325942</t>
  </si>
  <si>
    <t>NF:60686/87</t>
  </si>
  <si>
    <t>NF:336349</t>
  </si>
  <si>
    <t>NF:326024</t>
  </si>
  <si>
    <t>NF:336159</t>
  </si>
  <si>
    <t>NF:53479</t>
  </si>
  <si>
    <t>NF:335993</t>
  </si>
  <si>
    <t>NF:060734, NF:060735</t>
  </si>
  <si>
    <t>NF:336408</t>
  </si>
  <si>
    <t>NF:326022</t>
  </si>
  <si>
    <t>NF:326045</t>
  </si>
  <si>
    <t>NF:326031</t>
  </si>
  <si>
    <t>NF:60730, NF:60731</t>
  </si>
  <si>
    <t>NF:53508</t>
  </si>
  <si>
    <t>NF:060757, NF:060758</t>
  </si>
  <si>
    <t>NF:336437</t>
  </si>
  <si>
    <t>NF:60753</t>
  </si>
  <si>
    <t>NF:336482</t>
  </si>
  <si>
    <t>NF:336443</t>
  </si>
  <si>
    <t>NF:336361</t>
  </si>
  <si>
    <t>NF:336414</t>
  </si>
  <si>
    <t>NF:60743, NF:607447</t>
  </si>
  <si>
    <t>NF:336386</t>
  </si>
  <si>
    <t>NF:336433</t>
  </si>
  <si>
    <t>NF:336479</t>
  </si>
  <si>
    <t>NF:60751, NF:60752</t>
  </si>
  <si>
    <t>NF:60732, NF:60733</t>
  </si>
  <si>
    <t>NF:336364</t>
  </si>
  <si>
    <t>NF:336415</t>
  </si>
  <si>
    <t>NF:336371</t>
  </si>
  <si>
    <t>NF:336426</t>
  </si>
  <si>
    <t>NF:326016</t>
  </si>
  <si>
    <t>NF:336487</t>
  </si>
  <si>
    <t>NF:60789, NF:60790</t>
  </si>
  <si>
    <t>NF:336540</t>
  </si>
  <si>
    <t>NF:336536</t>
  </si>
  <si>
    <t>NF:336544</t>
  </si>
  <si>
    <t>NF:336553</t>
  </si>
  <si>
    <t>NF:0326136</t>
  </si>
  <si>
    <t>NF:336578</t>
  </si>
  <si>
    <t>NF:336503</t>
  </si>
  <si>
    <t>MINERADORA PORTO FRNANCO</t>
  </si>
  <si>
    <t>GRAJAU (CANOEIRO)</t>
  </si>
  <si>
    <t>NF:53524</t>
  </si>
  <si>
    <t>NF:336565</t>
  </si>
  <si>
    <t>NF:336537</t>
  </si>
  <si>
    <t>NF:336573</t>
  </si>
  <si>
    <t>NF:60810, NF:60811</t>
  </si>
  <si>
    <t>NF:336556</t>
  </si>
  <si>
    <t>NF:336533</t>
  </si>
  <si>
    <t>NF:336534</t>
  </si>
  <si>
    <t>NF:336550</t>
  </si>
  <si>
    <t>NF:336580</t>
  </si>
  <si>
    <t>NF:336559</t>
  </si>
  <si>
    <t>NF:60822</t>
  </si>
  <si>
    <t>NF:60736</t>
  </si>
  <si>
    <t>NF:336634</t>
  </si>
  <si>
    <t>NF:336660</t>
  </si>
  <si>
    <t>NF:336681</t>
  </si>
  <si>
    <t>NF:336678</t>
  </si>
  <si>
    <t>NF:336705</t>
  </si>
  <si>
    <t>NF:60833, NF:60834</t>
  </si>
  <si>
    <t>NF:336713</t>
  </si>
  <si>
    <t>NF:336646</t>
  </si>
  <si>
    <t>NF:336725</t>
  </si>
  <si>
    <t>NF:0336670</t>
  </si>
  <si>
    <t>NF:336763</t>
  </si>
  <si>
    <t>NF:336667</t>
  </si>
  <si>
    <t>NF:336775</t>
  </si>
  <si>
    <t>NF:336666</t>
  </si>
  <si>
    <t>NF:336729</t>
  </si>
  <si>
    <t>NF:336728</t>
  </si>
  <si>
    <t>NF:336783</t>
  </si>
  <si>
    <t>NF:336632</t>
  </si>
  <si>
    <t>NF:336691</t>
  </si>
  <si>
    <t>NF:336648</t>
  </si>
  <si>
    <t>NF:336726</t>
  </si>
  <si>
    <t>NF:326206</t>
  </si>
  <si>
    <t>NF:336798</t>
  </si>
  <si>
    <t>NF:336671</t>
  </si>
  <si>
    <t>NF:336760</t>
  </si>
  <si>
    <t>NF:60838, NF:60839</t>
  </si>
  <si>
    <t>NF:336645</t>
  </si>
  <si>
    <t>NF:336439</t>
  </si>
  <si>
    <t>NF:53531, NF:53532</t>
  </si>
  <si>
    <t>NF:336637</t>
  </si>
  <si>
    <t>NF:336718</t>
  </si>
  <si>
    <t>NF:60802, NF:60803</t>
  </si>
  <si>
    <t>NF:336625</t>
  </si>
  <si>
    <t>NF:336741</t>
  </si>
  <si>
    <t>NF:336842</t>
  </si>
  <si>
    <t>NF:336863</t>
  </si>
  <si>
    <t>NF:336847</t>
  </si>
  <si>
    <t>NF:336840</t>
  </si>
  <si>
    <t>NF:326210</t>
  </si>
  <si>
    <t>NF:326165</t>
  </si>
  <si>
    <t>NF:336900</t>
  </si>
  <si>
    <t>NF:53506</t>
  </si>
  <si>
    <t>NF:336789</t>
  </si>
  <si>
    <t>NF:336874</t>
  </si>
  <si>
    <t>NF:336905</t>
  </si>
  <si>
    <t>NF:336935</t>
  </si>
  <si>
    <t>NF:336844</t>
  </si>
  <si>
    <t>NF:060891, NF:060892</t>
  </si>
  <si>
    <t>NF:336902</t>
  </si>
  <si>
    <t>NF:336955</t>
  </si>
  <si>
    <t>NF:336959</t>
  </si>
  <si>
    <t>NF:336845</t>
  </si>
  <si>
    <t>NF:336927</t>
  </si>
  <si>
    <t>NF:336765</t>
  </si>
  <si>
    <t>NF:336906</t>
  </si>
  <si>
    <t>NF:060907, NF:060908</t>
  </si>
  <si>
    <t>NF:336846</t>
  </si>
  <si>
    <t>NF:60887, NF:60888</t>
  </si>
  <si>
    <t>NF:326226</t>
  </si>
  <si>
    <t>NF:326259</t>
  </si>
  <si>
    <t>NF:337024</t>
  </si>
  <si>
    <t>NF:60904</t>
  </si>
  <si>
    <t>NF:336876</t>
  </si>
  <si>
    <t>NF:336943</t>
  </si>
  <si>
    <t>NF:326232</t>
  </si>
  <si>
    <t>NF:326263</t>
  </si>
  <si>
    <t>NF:60913, NF:60914</t>
  </si>
  <si>
    <t>NF:336920</t>
  </si>
  <si>
    <t>NF:336975</t>
  </si>
  <si>
    <t>NF:337065</t>
  </si>
  <si>
    <t>NF:326260</t>
  </si>
  <si>
    <t>NF:326267</t>
  </si>
  <si>
    <t>NF:337030</t>
  </si>
  <si>
    <t>NF:337061</t>
  </si>
  <si>
    <t>NF:337085</t>
  </si>
  <si>
    <t>NF:337090</t>
  </si>
  <si>
    <t>NF:337116</t>
  </si>
  <si>
    <t>NF:337114</t>
  </si>
  <si>
    <t>NF:337128</t>
  </si>
  <si>
    <t>NF:337122</t>
  </si>
  <si>
    <t>NF:60940, NF:60941</t>
  </si>
  <si>
    <t>NF:60936, NF:60937</t>
  </si>
  <si>
    <t>NF:337057</t>
  </si>
  <si>
    <t>NF:337096</t>
  </si>
  <si>
    <t>NF:337138</t>
  </si>
  <si>
    <t>NF:337160</t>
  </si>
  <si>
    <t>NF:337126</t>
  </si>
  <si>
    <t>NF:53559, NF:53560</t>
  </si>
  <si>
    <t>NF:326268</t>
  </si>
  <si>
    <t>NF:326293</t>
  </si>
  <si>
    <t>NF:326317</t>
  </si>
  <si>
    <t>NF:325622</t>
  </si>
  <si>
    <t>NF:325641</t>
  </si>
  <si>
    <t>NF:325674</t>
  </si>
  <si>
    <t>NF:325700</t>
  </si>
  <si>
    <t>NF:325717</t>
  </si>
  <si>
    <t>NF:325791</t>
  </si>
  <si>
    <t>NF:325833</t>
  </si>
  <si>
    <t>NF:325857</t>
  </si>
  <si>
    <t>NF:325875</t>
  </si>
  <si>
    <t>NF:325892</t>
  </si>
  <si>
    <t>NF:355901</t>
  </si>
  <si>
    <t>NF:336074</t>
  </si>
  <si>
    <t>NF:336113</t>
  </si>
  <si>
    <t>NF:336214</t>
  </si>
  <si>
    <t>NF:336267</t>
  </si>
  <si>
    <t>NF:336777</t>
  </si>
  <si>
    <t>NF:336894</t>
  </si>
  <si>
    <t>NF:336964</t>
  </si>
  <si>
    <t>NF:337098</t>
  </si>
  <si>
    <t>NF:336942</t>
  </si>
  <si>
    <t>NF:337084</t>
  </si>
  <si>
    <t>NF:337070</t>
  </si>
  <si>
    <t>NF:337147</t>
  </si>
  <si>
    <t>NF:326292</t>
  </si>
  <si>
    <t>NF:326315</t>
  </si>
  <si>
    <t>NF:337121</t>
  </si>
  <si>
    <t>NF:326316</t>
  </si>
  <si>
    <t>NF:337181</t>
  </si>
  <si>
    <t>NF:337166</t>
  </si>
  <si>
    <t>NF:337153</t>
  </si>
  <si>
    <t>NF:337198</t>
  </si>
  <si>
    <t>AV. METROPOLITANA</t>
  </si>
  <si>
    <t>NF:337218</t>
  </si>
  <si>
    <t>PEDRISCO</t>
  </si>
  <si>
    <t>NF:337211</t>
  </si>
  <si>
    <t>NF:0326330</t>
  </si>
  <si>
    <t>NF:337168</t>
  </si>
  <si>
    <t>NF:326335</t>
  </si>
  <si>
    <t>NF:337256</t>
  </si>
  <si>
    <t>NF:337266</t>
  </si>
  <si>
    <t>NF:326345</t>
  </si>
  <si>
    <t>NF:326346</t>
  </si>
  <si>
    <t>NF:337274</t>
  </si>
  <si>
    <t>NF:0326356</t>
  </si>
  <si>
    <t>NF:337221</t>
  </si>
  <si>
    <t>NF:326366</t>
  </si>
  <si>
    <t>NF:337307</t>
  </si>
  <si>
    <t>NF:326382</t>
  </si>
  <si>
    <t>NF:326331</t>
  </si>
  <si>
    <t>NF:326350</t>
  </si>
  <si>
    <t>NF:337232</t>
  </si>
  <si>
    <t>NF:337276</t>
  </si>
  <si>
    <t>NF:337290</t>
  </si>
  <si>
    <t>NF:337231</t>
  </si>
  <si>
    <t>NF:326312</t>
  </si>
  <si>
    <t>NF:337237</t>
  </si>
  <si>
    <t>NF:326359</t>
  </si>
  <si>
    <t>NF:326352</t>
  </si>
  <si>
    <t>NF:337242</t>
  </si>
  <si>
    <t>NF:326368</t>
  </si>
  <si>
    <t>NF:326383</t>
  </si>
  <si>
    <t>NF:53562</t>
  </si>
  <si>
    <t>NF:337365</t>
  </si>
  <si>
    <t>NF:337361</t>
  </si>
  <si>
    <t>NF:326400</t>
  </si>
  <si>
    <t>NF:336933</t>
  </si>
  <si>
    <t>NF:337064</t>
  </si>
  <si>
    <t>NF:337123</t>
  </si>
  <si>
    <t>NF:334117</t>
  </si>
  <si>
    <t>NF:337400</t>
  </si>
  <si>
    <t>NF:326413</t>
  </si>
  <si>
    <t>NF:326427</t>
  </si>
  <si>
    <t>NF:337434</t>
  </si>
  <si>
    <t>NF:326421</t>
  </si>
  <si>
    <t>NF:337446</t>
  </si>
  <si>
    <t>NF:0326420</t>
  </si>
  <si>
    <t>NF:337401</t>
  </si>
  <si>
    <t>NF:337450</t>
  </si>
  <si>
    <t>NF:337294</t>
  </si>
  <si>
    <t>NF:326399</t>
  </si>
  <si>
    <t>NF:326429</t>
  </si>
  <si>
    <t>NF:326375</t>
  </si>
  <si>
    <t>NF:326404</t>
  </si>
  <si>
    <t>NF:326428</t>
  </si>
  <si>
    <t>NF:337352</t>
  </si>
  <si>
    <t>NF:337421</t>
  </si>
  <si>
    <t>NF:337455</t>
  </si>
  <si>
    <t>NF:326395</t>
  </si>
  <si>
    <t>NF:326416</t>
  </si>
  <si>
    <t>NF:326418</t>
  </si>
  <si>
    <t>NF:337444</t>
  </si>
  <si>
    <t>NF:326406</t>
  </si>
  <si>
    <t>NF:326430</t>
  </si>
  <si>
    <t>NF:60878, NF:60879</t>
  </si>
  <si>
    <t>NF:326438</t>
  </si>
  <si>
    <t>NF:337489</t>
  </si>
  <si>
    <t>GLEYDSON DE JESUS CANTANHEIDE BARBOSA</t>
  </si>
  <si>
    <t>NF:325757</t>
  </si>
  <si>
    <t>NF:325790</t>
  </si>
  <si>
    <t>NF:325831</t>
  </si>
  <si>
    <t>NF:337481</t>
  </si>
  <si>
    <t>NF:326450</t>
  </si>
  <si>
    <t>NF:337448</t>
  </si>
  <si>
    <t>NF:337238</t>
  </si>
  <si>
    <t>NF:337284</t>
  </si>
  <si>
    <t>NF:326470</t>
  </si>
  <si>
    <t>NF:337525</t>
  </si>
  <si>
    <t>NF:326465</t>
  </si>
  <si>
    <t>NF:326487</t>
  </si>
  <si>
    <t>BARREIRINHAS</t>
  </si>
  <si>
    <t>NF:326468</t>
  </si>
  <si>
    <t>NF:326495</t>
  </si>
  <si>
    <t>NF:0337232</t>
  </si>
  <si>
    <t>NF:0337276</t>
  </si>
  <si>
    <t>NF:326466</t>
  </si>
  <si>
    <t>NF:326456</t>
  </si>
  <si>
    <t>NF:60967, NF:60968</t>
  </si>
  <si>
    <t>NF:337555</t>
  </si>
  <si>
    <t>POVOADO NOVA VIDA</t>
  </si>
  <si>
    <t>NF:53592</t>
  </si>
  <si>
    <t>NF:32367</t>
  </si>
  <si>
    <t>NF:326397</t>
  </si>
  <si>
    <t>NF:337567</t>
  </si>
  <si>
    <t>NF:326506</t>
  </si>
  <si>
    <t>NF:337583</t>
  </si>
  <si>
    <t>NF:326498</t>
  </si>
  <si>
    <t>NF:326508</t>
  </si>
  <si>
    <t>NF:337651</t>
  </si>
  <si>
    <t>NF:337634</t>
  </si>
  <si>
    <t>NF:337666</t>
  </si>
  <si>
    <t>NF:326526</t>
  </si>
  <si>
    <t>NF:337676</t>
  </si>
  <si>
    <t>NF:337674</t>
  </si>
  <si>
    <t>NF:337569</t>
  </si>
  <si>
    <t>NF:337633</t>
  </si>
  <si>
    <t>NF:337679</t>
  </si>
  <si>
    <t>NF:326515</t>
  </si>
  <si>
    <t>NF:326533</t>
  </si>
  <si>
    <t>NF:337711</t>
  </si>
  <si>
    <t>NF:337668</t>
  </si>
  <si>
    <t>NF:337579</t>
  </si>
  <si>
    <t>NF:326522</t>
  </si>
  <si>
    <t>NF:337368</t>
  </si>
  <si>
    <t>NF:337420</t>
  </si>
  <si>
    <t>NF:337655</t>
  </si>
  <si>
    <t>NF:326202</t>
  </si>
  <si>
    <t>NF:0326510</t>
  </si>
  <si>
    <t>NF:326502</t>
  </si>
  <si>
    <t xml:space="preserve">NF:326525
</t>
  </si>
  <si>
    <t>NF:337574</t>
  </si>
  <si>
    <t>NF:337647</t>
  </si>
  <si>
    <t>NF:326426</t>
  </si>
  <si>
    <t>NF:326480</t>
  </si>
  <si>
    <t>NF:337701</t>
  </si>
  <si>
    <t>NF:337724</t>
  </si>
  <si>
    <t>NF:337467</t>
  </si>
  <si>
    <t>NF:337578</t>
  </si>
  <si>
    <t>NF:337643</t>
  </si>
  <si>
    <t>NF:326552</t>
  </si>
  <si>
    <t>NF:326469</t>
  </si>
  <si>
    <t>NF:337220</t>
  </si>
  <si>
    <t>NF:326523</t>
  </si>
  <si>
    <t>NF:326403</t>
  </si>
  <si>
    <t>NF:337762</t>
  </si>
  <si>
    <t>NF:337764</t>
  </si>
  <si>
    <t>NF:337719</t>
  </si>
  <si>
    <t>NF:337771</t>
  </si>
  <si>
    <t>NF:337798</t>
  </si>
  <si>
    <t>NF:326570</t>
  </si>
  <si>
    <t>NF:326569</t>
  </si>
  <si>
    <t>NF:326562</t>
  </si>
  <si>
    <t>NF:337826</t>
  </si>
  <si>
    <t>NF:337824</t>
  </si>
  <si>
    <t>NF:337852</t>
  </si>
  <si>
    <t>NF:326589</t>
  </si>
  <si>
    <t>NF:326590</t>
  </si>
  <si>
    <t>NF:337763</t>
  </si>
  <si>
    <t>NF:337832</t>
  </si>
  <si>
    <t>NF:326600</t>
  </si>
  <si>
    <t>NF:53614</t>
  </si>
  <si>
    <t>NF:337885</t>
  </si>
  <si>
    <t>NF:337678</t>
  </si>
  <si>
    <t>NF:337912</t>
  </si>
  <si>
    <t>NF:326561</t>
  </si>
  <si>
    <t>NF:326580</t>
  </si>
  <si>
    <t>NF:337880</t>
  </si>
  <si>
    <t>NF:337814</t>
  </si>
  <si>
    <t>NF:337874</t>
  </si>
  <si>
    <t>NF:337922</t>
  </si>
  <si>
    <t>NF:337812</t>
  </si>
  <si>
    <t>NF:337878</t>
  </si>
  <si>
    <t>NF:326564</t>
  </si>
  <si>
    <t>NF:326576</t>
  </si>
  <si>
    <t>NF:326557</t>
  </si>
  <si>
    <t>NF:326587</t>
  </si>
  <si>
    <t>NF:337865</t>
  </si>
  <si>
    <t>NF:326537</t>
  </si>
  <si>
    <t>NF:337809</t>
  </si>
  <si>
    <t>NF:337850</t>
  </si>
  <si>
    <t>NF:337552</t>
  </si>
  <si>
    <t>NF:337609</t>
  </si>
  <si>
    <t>NF:337929</t>
  </si>
  <si>
    <t>NF:337818</t>
  </si>
  <si>
    <t>NF:337822</t>
  </si>
  <si>
    <t>NF:326619</t>
  </si>
  <si>
    <t>NF:337888</t>
  </si>
  <si>
    <t>NF:326555</t>
  </si>
  <si>
    <t>NF:337182</t>
  </si>
  <si>
    <t>NF:337898</t>
  </si>
  <si>
    <t>NF:337927</t>
  </si>
  <si>
    <t>NF:326614</t>
  </si>
  <si>
    <t>NF:326599</t>
  </si>
  <si>
    <t>NF:337971</t>
  </si>
  <si>
    <t>NF:337959</t>
  </si>
  <si>
    <t>NF:337969</t>
  </si>
  <si>
    <t>NF:337995</t>
  </si>
  <si>
    <t>NF:338003</t>
  </si>
  <si>
    <t>NF:337757</t>
  </si>
  <si>
    <t>NF:337819</t>
  </si>
  <si>
    <t>NF:337876</t>
  </si>
  <si>
    <t>NF:326622</t>
  </si>
  <si>
    <t>NF:337987</t>
  </si>
  <si>
    <t>NF:337967</t>
  </si>
  <si>
    <t>NF:338009</t>
  </si>
  <si>
    <t>NF:338032</t>
  </si>
  <si>
    <t>NF:338034</t>
  </si>
  <si>
    <t>NF:338058</t>
  </si>
  <si>
    <t>NF:338046</t>
  </si>
  <si>
    <t>NF:326653</t>
  </si>
  <si>
    <t>NF:337998</t>
  </si>
  <si>
    <t>NF:338049</t>
  </si>
  <si>
    <t>NF:337965</t>
  </si>
  <si>
    <t>NF:338080</t>
  </si>
  <si>
    <t>NF:338030</t>
  </si>
  <si>
    <t>NF:338044</t>
  </si>
  <si>
    <t>NF:338089</t>
  </si>
  <si>
    <t>NF:0337934</t>
  </si>
  <si>
    <t>NF:0326680</t>
  </si>
  <si>
    <t>NF:338052</t>
  </si>
  <si>
    <t>NF:338119</t>
  </si>
  <si>
    <t>NF:326642</t>
  </si>
  <si>
    <t>NF:337777</t>
  </si>
  <si>
    <t>NF:337861</t>
  </si>
  <si>
    <t>NF:338043</t>
  </si>
  <si>
    <t>NF:326681</t>
  </si>
  <si>
    <t>NF:337996</t>
  </si>
  <si>
    <t>NF:338056</t>
  </si>
  <si>
    <t>NF:326673</t>
  </si>
  <si>
    <t>NF:338124</t>
  </si>
  <si>
    <t>NF:326672</t>
  </si>
  <si>
    <t>NF:53631</t>
  </si>
  <si>
    <t>NF:338165</t>
  </si>
  <si>
    <t>NF:338143</t>
  </si>
  <si>
    <t>NF:326578</t>
  </si>
  <si>
    <t>NF:338170</t>
  </si>
  <si>
    <t>NF:338148</t>
  </si>
  <si>
    <t>NF:338182</t>
  </si>
  <si>
    <t>NF:326695</t>
  </si>
  <si>
    <t>NF:337962</t>
  </si>
  <si>
    <t>NF:338029</t>
  </si>
  <si>
    <t>NF:338235</t>
  </si>
  <si>
    <t>NF:326713</t>
  </si>
  <si>
    <t>NF:338162</t>
  </si>
  <si>
    <t>NF:338243</t>
  </si>
  <si>
    <t>NF:326721</t>
  </si>
  <si>
    <t>NF:326720</t>
  </si>
  <si>
    <t>NF:53641</t>
  </si>
  <si>
    <t>NF:338081</t>
  </si>
  <si>
    <t>NF:338209</t>
  </si>
  <si>
    <t>NF:338151</t>
  </si>
  <si>
    <t>NF:0336414</t>
  </si>
  <si>
    <t>NF:0326696</t>
  </si>
  <si>
    <t>NF:0326722</t>
  </si>
  <si>
    <t>NF:0326740</t>
  </si>
  <si>
    <t>NF:338244</t>
  </si>
  <si>
    <t>NF:338285</t>
  </si>
  <si>
    <t>NF:338167</t>
  </si>
  <si>
    <t>NF:338234</t>
  </si>
  <si>
    <t>NF:337966</t>
  </si>
  <si>
    <t>NF:338066</t>
  </si>
  <si>
    <t>NF:338160</t>
  </si>
  <si>
    <t>NF:337002</t>
  </si>
  <si>
    <t>NF:338287</t>
  </si>
  <si>
    <t>NF:337218, NF:338218</t>
  </si>
  <si>
    <t>NF:338159</t>
  </si>
  <si>
    <t>NF:338240</t>
  </si>
  <si>
    <t>NF:338144</t>
  </si>
  <si>
    <t>NF:326701</t>
  </si>
  <si>
    <t>NF:326724</t>
  </si>
  <si>
    <t>NF:338188</t>
  </si>
  <si>
    <t>NF:326717</t>
  </si>
  <si>
    <t>NF:338286</t>
  </si>
  <si>
    <t>NF:338329</t>
  </si>
  <si>
    <t>NF:338352</t>
  </si>
  <si>
    <t>NF:326756</t>
  </si>
  <si>
    <t>VALE - PONTE DO 40 ACAILANDIA</t>
  </si>
  <si>
    <t>NF:53656, NF:53657</t>
  </si>
  <si>
    <t>NF:326751</t>
  </si>
  <si>
    <t>NF:338364</t>
  </si>
  <si>
    <t>NF:53667</t>
  </si>
  <si>
    <t>NF:326745</t>
  </si>
  <si>
    <t>NF:326777</t>
  </si>
  <si>
    <t>NF:338413</t>
  </si>
  <si>
    <t>NF:326782</t>
  </si>
  <si>
    <t>NF:326772</t>
  </si>
  <si>
    <t>NF:326788</t>
  </si>
  <si>
    <t>NF:0326790</t>
  </si>
  <si>
    <t>NF:338254</t>
  </si>
  <si>
    <t>NF:326752</t>
  </si>
  <si>
    <t>NF:326787</t>
  </si>
  <si>
    <t>NF:338374</t>
  </si>
  <si>
    <t>NF:338335</t>
  </si>
  <si>
    <t>NF:338397</t>
  </si>
  <si>
    <t>NF:326800</t>
  </si>
  <si>
    <t>MINERADORA PORTO FRANCO LTDA</t>
  </si>
  <si>
    <t>PATIO VLI AGUIARNOPOLIS</t>
  </si>
  <si>
    <t>NF:53675, NF:53675</t>
  </si>
  <si>
    <t>NF:338155</t>
  </si>
  <si>
    <t>NF:338212</t>
  </si>
  <si>
    <t>NF:326744</t>
  </si>
  <si>
    <t>NF:326780</t>
  </si>
  <si>
    <t>NF:326748</t>
  </si>
  <si>
    <t>NF:326803</t>
  </si>
  <si>
    <t>NF:338271</t>
  </si>
  <si>
    <t>NF:326771</t>
  </si>
  <si>
    <t>NF:326795</t>
  </si>
  <si>
    <t>NF:326814</t>
  </si>
  <si>
    <t>NF:326764</t>
  </si>
  <si>
    <t>NF:326794</t>
  </si>
  <si>
    <t>NF:326747</t>
  </si>
  <si>
    <t>NF:326779</t>
  </si>
  <si>
    <t>NF:426808</t>
  </si>
  <si>
    <t>NF:338354</t>
  </si>
  <si>
    <t>NF:338426</t>
  </si>
  <si>
    <t>NF:326793</t>
  </si>
  <si>
    <t>NF:326815</t>
  </si>
  <si>
    <t>NF:53683, NF:53682</t>
  </si>
  <si>
    <t>NF:326812</t>
  </si>
  <si>
    <t>NF:338500</t>
  </si>
  <si>
    <t>NF:338275</t>
  </si>
  <si>
    <t>NF:338343</t>
  </si>
  <si>
    <t>NF:326792</t>
  </si>
  <si>
    <t>NF:326818</t>
  </si>
  <si>
    <t>NF:0326836</t>
  </si>
  <si>
    <t>NF:338513</t>
  </si>
  <si>
    <t>NF:338553</t>
  </si>
  <si>
    <t>NF:326819</t>
  </si>
  <si>
    <t>NF:326823</t>
  </si>
  <si>
    <t>NF:338584</t>
  </si>
  <si>
    <t>NF:338484</t>
  </si>
  <si>
    <t>NF:338498</t>
  </si>
  <si>
    <t>NF:326840</t>
  </si>
  <si>
    <t>NF:326828</t>
  </si>
  <si>
    <t>NF:326821</t>
  </si>
  <si>
    <t>NF:33554</t>
  </si>
  <si>
    <t>NF:326826</t>
  </si>
  <si>
    <t>NF:338401</t>
  </si>
  <si>
    <t>NF:338522</t>
  </si>
  <si>
    <t>NF:338595</t>
  </si>
  <si>
    <t>NF:338593</t>
  </si>
  <si>
    <t>NF:338656</t>
  </si>
  <si>
    <t>NF:338633</t>
  </si>
  <si>
    <t>NF:53694</t>
  </si>
  <si>
    <t>NF:338658</t>
  </si>
  <si>
    <t>NF:338683</t>
  </si>
  <si>
    <t>NF:338657</t>
  </si>
  <si>
    <t>NF:338629</t>
  </si>
  <si>
    <t>NF:338642</t>
  </si>
  <si>
    <t>NF:338692</t>
  </si>
  <si>
    <t>NF:326880</t>
  </si>
  <si>
    <t>NF:326879</t>
  </si>
  <si>
    <t>NF:338718</t>
  </si>
  <si>
    <t>NF:326882</t>
  </si>
  <si>
    <t>NF:338612</t>
  </si>
  <si>
    <t>NF:338687</t>
  </si>
  <si>
    <t>NF:338713</t>
  </si>
  <si>
    <t>NF:338640</t>
  </si>
  <si>
    <t>NF:326898</t>
  </si>
  <si>
    <t>NF:326833</t>
  </si>
  <si>
    <t>NF:326865</t>
  </si>
  <si>
    <t>NF:326884</t>
  </si>
  <si>
    <t>NF:0326905</t>
  </si>
  <si>
    <t>NF:337411</t>
  </si>
  <si>
    <t>NF:338736</t>
  </si>
  <si>
    <t>NF:338615</t>
  </si>
  <si>
    <t>NF:338759</t>
  </si>
  <si>
    <t>NF:326904</t>
  </si>
  <si>
    <t>NF:326841</t>
  </si>
  <si>
    <t>NF:326902</t>
  </si>
  <si>
    <t>NF:338821</t>
  </si>
  <si>
    <t>NF:338807</t>
  </si>
  <si>
    <t>NF:326916</t>
  </si>
  <si>
    <t>NF:326926</t>
  </si>
  <si>
    <t>NF:338869</t>
  </si>
  <si>
    <t>NF:326918</t>
  </si>
  <si>
    <t>NF:338846</t>
  </si>
  <si>
    <t>NF:326940</t>
  </si>
  <si>
    <t>NF:53702</t>
  </si>
  <si>
    <t>NF:326931</t>
  </si>
  <si>
    <t>NF:338592</t>
  </si>
  <si>
    <t>NF:338660</t>
  </si>
  <si>
    <t>NF:338909</t>
  </si>
  <si>
    <t>NF:326930</t>
  </si>
  <si>
    <t>NF:326950</t>
  </si>
  <si>
    <t>NF:326946</t>
  </si>
  <si>
    <t>NF:0326952</t>
  </si>
  <si>
    <t>NF:326956</t>
  </si>
  <si>
    <t>NF:326907</t>
  </si>
  <si>
    <t>NF:338934</t>
  </si>
  <si>
    <t>NF:326927</t>
  </si>
  <si>
    <t>NF:326910</t>
  </si>
  <si>
    <t>NF:326938</t>
  </si>
  <si>
    <t>NF:326963</t>
  </si>
  <si>
    <t>NF:338798</t>
  </si>
  <si>
    <t>NF:338860</t>
  </si>
  <si>
    <t>NF:326957</t>
  </si>
  <si>
    <t>NF:326911</t>
  </si>
  <si>
    <t>NF:326934</t>
  </si>
  <si>
    <t>NF:326913</t>
  </si>
  <si>
    <t>NF:326945</t>
  </si>
  <si>
    <t>NF:326906</t>
  </si>
  <si>
    <t>NF:326928</t>
  </si>
  <si>
    <t>NF:326951</t>
  </si>
  <si>
    <t>NF:338813</t>
  </si>
  <si>
    <t>NF:338865</t>
  </si>
  <si>
    <t>NF:326969</t>
  </si>
  <si>
    <t>NF:338854</t>
  </si>
  <si>
    <t>NF:338757</t>
  </si>
  <si>
    <t>NF:338935</t>
  </si>
  <si>
    <t>NF:338689</t>
  </si>
  <si>
    <t>NF:326935</t>
  </si>
  <si>
    <t>NF:53361, NF:53361</t>
  </si>
  <si>
    <t>NF:053366</t>
  </si>
  <si>
    <t>NF:053381</t>
  </si>
  <si>
    <t>NF:053377, TK:3184000</t>
  </si>
  <si>
    <t>NF:53375, NF:53376</t>
  </si>
  <si>
    <t>NF:053374</t>
  </si>
  <si>
    <t>NF:53378, NF:53379</t>
  </si>
  <si>
    <t>NF:053390</t>
  </si>
  <si>
    <t>NF:053398</t>
  </si>
  <si>
    <t>NF:053370</t>
  </si>
  <si>
    <t>NF:53392</t>
  </si>
  <si>
    <t>NF:53406</t>
  </si>
  <si>
    <t>NF:53408, NF:53409</t>
  </si>
  <si>
    <t>NF:53417</t>
  </si>
  <si>
    <t>NF:53435</t>
  </si>
  <si>
    <t>NF:053422</t>
  </si>
  <si>
    <t>NF:53420, NF:53419</t>
  </si>
  <si>
    <t>CBM MINERADORA</t>
  </si>
  <si>
    <t>PALMEIROPOLIS-TO</t>
  </si>
  <si>
    <t>NF:000987</t>
  </si>
  <si>
    <t>NF:053439</t>
  </si>
  <si>
    <t>NF:53443</t>
  </si>
  <si>
    <t>NF:053437</t>
  </si>
  <si>
    <t>NF:053445</t>
  </si>
  <si>
    <t>NF:53441, NF:53442</t>
  </si>
  <si>
    <t>NF:000992</t>
  </si>
  <si>
    <t>MINERADORA PORTO FRANCO MA</t>
  </si>
  <si>
    <t>VALE CIDELANDIA KM591</t>
  </si>
  <si>
    <t>NF:053462</t>
  </si>
  <si>
    <t>NF:053459</t>
  </si>
  <si>
    <t>NF:53448</t>
  </si>
  <si>
    <t>NF:53465</t>
  </si>
  <si>
    <t>NF:53466</t>
  </si>
  <si>
    <t>NF:053468</t>
  </si>
  <si>
    <t>NF:053470</t>
  </si>
  <si>
    <t>NF:053488</t>
  </si>
  <si>
    <t>NF:53481, NF:53482</t>
  </si>
  <si>
    <t>NF:053500</t>
  </si>
  <si>
    <t>NF:053494</t>
  </si>
  <si>
    <t>NF:53475</t>
  </si>
  <si>
    <t>NF:053504</t>
  </si>
  <si>
    <t>NF:053511</t>
  </si>
  <si>
    <t>NF:053505</t>
  </si>
  <si>
    <t>NF:53513, NF:53514</t>
  </si>
  <si>
    <t>NF:53525</t>
  </si>
  <si>
    <t>NF:053516</t>
  </si>
  <si>
    <t>NF:053533</t>
  </si>
  <si>
    <t>NF:053518</t>
  </si>
  <si>
    <t>NF:053520</t>
  </si>
  <si>
    <t>NF:001004</t>
  </si>
  <si>
    <t>NF:53522, NF:53523</t>
  </si>
  <si>
    <t>NF:53509</t>
  </si>
  <si>
    <t>NF:053536</t>
  </si>
  <si>
    <t>NF:053544</t>
  </si>
  <si>
    <t>NF:053538</t>
  </si>
  <si>
    <t>NF:053540</t>
  </si>
  <si>
    <t>NF:53546, NF:53547</t>
  </si>
  <si>
    <t>NF:53548</t>
  </si>
  <si>
    <t>NF:053555</t>
  </si>
  <si>
    <t>NF:001012</t>
  </si>
  <si>
    <t>NF:053557</t>
  </si>
  <si>
    <t>NF:53567</t>
  </si>
  <si>
    <t>NF:53566</t>
  </si>
  <si>
    <t>NF:053565</t>
  </si>
  <si>
    <t>NF:053574</t>
  </si>
  <si>
    <t>NF:001015</t>
  </si>
  <si>
    <t>NF:53561</t>
  </si>
  <si>
    <t>NF:53576</t>
  </si>
  <si>
    <t>NF:053572</t>
  </si>
  <si>
    <t>NF:53595, NF:53596</t>
  </si>
  <si>
    <t>NF:05399, NF:3226000</t>
  </si>
  <si>
    <t>NF:53593</t>
  </si>
  <si>
    <t>NF:, 053598</t>
  </si>
  <si>
    <t>NF:53600, NF:53601</t>
  </si>
  <si>
    <t>NF:001017</t>
  </si>
  <si>
    <t>NF:053603</t>
  </si>
  <si>
    <t>FAZENDA PASSAGEM BOA</t>
  </si>
  <si>
    <t>NF:53612</t>
  </si>
  <si>
    <t>NF:053605</t>
  </si>
  <si>
    <t>NF:001022</t>
  </si>
  <si>
    <t>NF:53622, NF:53623</t>
  </si>
  <si>
    <t>NF:001023</t>
  </si>
  <si>
    <t>NF:53624</t>
  </si>
  <si>
    <t>NF:053609</t>
  </si>
  <si>
    <t>NF:53618, NF:53619</t>
  </si>
  <si>
    <t>NF:053629</t>
  </si>
  <si>
    <t>NF:053626</t>
  </si>
  <si>
    <t>NF:053632</t>
  </si>
  <si>
    <t>VLI</t>
  </si>
  <si>
    <t>NF:53640</t>
  </si>
  <si>
    <t>NF:53648</t>
  </si>
  <si>
    <t>NF:53649</t>
  </si>
  <si>
    <t>NF:53638, NF:53639</t>
  </si>
  <si>
    <t>CD MATEUS - IMPERATRIZ</t>
  </si>
  <si>
    <t>NF:053652</t>
  </si>
  <si>
    <t>NF:53645, NF:53646</t>
  </si>
  <si>
    <t>NF:53647</t>
  </si>
  <si>
    <t>NF:001027</t>
  </si>
  <si>
    <t>NF:53664, NF:53665</t>
  </si>
  <si>
    <t>NF:53666</t>
  </si>
  <si>
    <t>NF:053637</t>
  </si>
  <si>
    <t>NF:001035</t>
  </si>
  <si>
    <t>NF:053661</t>
  </si>
  <si>
    <t>NF:053676</t>
  </si>
  <si>
    <t>NF:053679</t>
  </si>
  <si>
    <t>NF:53672, NF:53673</t>
  </si>
  <si>
    <t>NF:001036</t>
  </si>
  <si>
    <t>NF:053686</t>
  </si>
  <si>
    <t>NF:053684</t>
  </si>
  <si>
    <t>NF:001037</t>
  </si>
  <si>
    <t>NF:53695, NF:53696</t>
  </si>
  <si>
    <t>NF:053698</t>
  </si>
  <si>
    <t>NF:53570</t>
  </si>
  <si>
    <t>NF:053699</t>
  </si>
  <si>
    <t>USINA BR010 (IMPERATRIZ)</t>
  </si>
  <si>
    <t>NF:053687</t>
  </si>
  <si>
    <t>NF:053697</t>
  </si>
  <si>
    <t>VLI PORTO FRANCO</t>
  </si>
  <si>
    <t>NF:053712</t>
  </si>
  <si>
    <t>NF:53690, NF:53691</t>
  </si>
  <si>
    <t>NF:053717</t>
  </si>
  <si>
    <t>NF:053726</t>
  </si>
  <si>
    <t>NF:53719</t>
  </si>
  <si>
    <t xml:space="preserve">SEMOSP SLZ </t>
  </si>
  <si>
    <t xml:space="preserve">AUGUSTINOPOLIS -TO </t>
  </si>
  <si>
    <t xml:space="preserve">DUERÉ-TO </t>
  </si>
  <si>
    <t>FRETE CARRADAS MARÇO 2026</t>
  </si>
  <si>
    <t xml:space="preserve">EDECOMINAS </t>
  </si>
  <si>
    <t xml:space="preserve">MANUTENÇAO DE VIAS AGETO(AUGUSTINOPOLIS -TO </t>
  </si>
  <si>
    <t>CONSORCIO TOCANTIS (PALMEIROPOLIS-TO)</t>
  </si>
  <si>
    <t>OLINDA NOVA - MA (PINHEIRO)</t>
  </si>
  <si>
    <t>CC</t>
  </si>
  <si>
    <t>JOSE RIBAMAR MELO ARAUJO</t>
  </si>
  <si>
    <t>VALE KM 438</t>
  </si>
  <si>
    <t>USINA DA ETHOS</t>
  </si>
  <si>
    <t>CM42</t>
  </si>
  <si>
    <t>VALE KM324</t>
  </si>
  <si>
    <t>FAZENDA PLATAFORMA</t>
  </si>
  <si>
    <t>SOJA</t>
  </si>
  <si>
    <t>VALE ACAILANDIA KM522</t>
  </si>
  <si>
    <t>SILO PRODUCERES</t>
  </si>
  <si>
    <t>FRETE CARRADAS ABRIL 2026</t>
  </si>
  <si>
    <t>CM70</t>
  </si>
  <si>
    <t>UA OLINDA NOVA - MA</t>
  </si>
  <si>
    <t xml:space="preserve">AUGUSTINOPOLIS-TO </t>
  </si>
  <si>
    <t>NF:328067</t>
  </si>
  <si>
    <t>NF:328082</t>
  </si>
  <si>
    <t>NF:328076</t>
  </si>
  <si>
    <t>NF:328093</t>
  </si>
  <si>
    <t>NF:328092</t>
  </si>
  <si>
    <t>SITIO DO GUTO - SEN. ALEXANDRE COSTA</t>
  </si>
  <si>
    <t>NF:002</t>
  </si>
  <si>
    <t>NF:328074</t>
  </si>
  <si>
    <t>NF:0327549</t>
  </si>
  <si>
    <t>NF:328077</t>
  </si>
  <si>
    <t>NF:342280</t>
  </si>
  <si>
    <t>TK:977978</t>
  </si>
  <si>
    <t>NF:000001, TK:00001</t>
  </si>
  <si>
    <t>NF:1107</t>
  </si>
  <si>
    <t>NF:050</t>
  </si>
  <si>
    <t>NF:342319</t>
  </si>
  <si>
    <t>NF:1105</t>
  </si>
  <si>
    <t>NF:328104</t>
  </si>
  <si>
    <t>NF:328125</t>
  </si>
  <si>
    <t>TK:1111</t>
  </si>
  <si>
    <t>NF:1113</t>
  </si>
  <si>
    <t>NF:00002</t>
  </si>
  <si>
    <t>NF:328114</t>
  </si>
  <si>
    <t>NF:342364</t>
  </si>
  <si>
    <t>TK:, 328117</t>
  </si>
  <si>
    <t>NF:328142</t>
  </si>
  <si>
    <t>TK:1109</t>
  </si>
  <si>
    <t>NF:342482</t>
  </si>
  <si>
    <t>NF:342402</t>
  </si>
  <si>
    <t>NF:54118</t>
  </si>
  <si>
    <t>NF:328180</t>
  </si>
  <si>
    <t>NF:328176</t>
  </si>
  <si>
    <t>NF:342529</t>
  </si>
  <si>
    <t>NF:328165</t>
  </si>
  <si>
    <t>NF:328190</t>
  </si>
  <si>
    <t>NF:328218</t>
  </si>
  <si>
    <t>NF:328194</t>
  </si>
  <si>
    <t>NF:342461</t>
  </si>
  <si>
    <t>NF:328181</t>
  </si>
  <si>
    <t>NF:328217</t>
  </si>
  <si>
    <t>NF:328179</t>
  </si>
  <si>
    <t>NF:342460</t>
  </si>
  <si>
    <t>NF:328193</t>
  </si>
  <si>
    <t>NF:328233</t>
  </si>
  <si>
    <t>NF:328225</t>
  </si>
  <si>
    <t>NF:328237</t>
  </si>
  <si>
    <t>NF:342476</t>
  </si>
  <si>
    <t>NF:342526</t>
  </si>
  <si>
    <t>NF:328329</t>
  </si>
  <si>
    <t>NF:342480</t>
  </si>
  <si>
    <t>NF:342528</t>
  </si>
  <si>
    <t>NF:328189</t>
  </si>
  <si>
    <t>NF:342501</t>
  </si>
  <si>
    <t>NF:054125</t>
  </si>
  <si>
    <t>NF:0328114</t>
  </si>
  <si>
    <t>NF:342550</t>
  </si>
  <si>
    <t>NF:328231</t>
  </si>
  <si>
    <t>NF:328253</t>
  </si>
  <si>
    <t>NF:342636</t>
  </si>
  <si>
    <t>NF:342651</t>
  </si>
  <si>
    <t>NF:328263</t>
  </si>
  <si>
    <t>NF:328264</t>
  </si>
  <si>
    <t>NF:342616</t>
  </si>
  <si>
    <t>NF:54122, NF:54123</t>
  </si>
  <si>
    <t>NF:342689</t>
  </si>
  <si>
    <t>NF:342670</t>
  </si>
  <si>
    <t>NF:328230</t>
  </si>
  <si>
    <t>NF:342648</t>
  </si>
  <si>
    <t>NF:328275</t>
  </si>
  <si>
    <t>TK:1122</t>
  </si>
  <si>
    <t>NF:342606</t>
  </si>
  <si>
    <t>NF:342680</t>
  </si>
  <si>
    <t>NF:342710</t>
  </si>
  <si>
    <t>NF:54130, NF:54131</t>
  </si>
  <si>
    <t>NF:1123</t>
  </si>
  <si>
    <t>NF:328247</t>
  </si>
  <si>
    <t>NF:328267</t>
  </si>
  <si>
    <t>NF:0339920</t>
  </si>
  <si>
    <t>NF:342626</t>
  </si>
  <si>
    <t>NF:342683</t>
  </si>
  <si>
    <t>NF:342635</t>
  </si>
  <si>
    <t>NF:342682</t>
  </si>
  <si>
    <t>NF:328254</t>
  </si>
  <si>
    <t>TK:1128</t>
  </si>
  <si>
    <t>NF:342641</t>
  </si>
  <si>
    <t>NF:342697</t>
  </si>
  <si>
    <t>NF:342736</t>
  </si>
  <si>
    <t>BARROLANDIA VLI</t>
  </si>
  <si>
    <t>NF:054140</t>
  </si>
  <si>
    <t>NF:052</t>
  </si>
  <si>
    <t>NF:342720</t>
  </si>
  <si>
    <t>NF:342719</t>
  </si>
  <si>
    <t>NF:342704</t>
  </si>
  <si>
    <t>TK:1126</t>
  </si>
  <si>
    <t>NF:342772</t>
  </si>
  <si>
    <t>NF:342784</t>
  </si>
  <si>
    <t>NF:342777</t>
  </si>
  <si>
    <t>NF:032764</t>
  </si>
  <si>
    <t>NF:62493, NF:62494</t>
  </si>
  <si>
    <t>NF:342814</t>
  </si>
  <si>
    <t>NF:0342823</t>
  </si>
  <si>
    <t>NF:342810</t>
  </si>
  <si>
    <t>NF:62497, NF:62498</t>
  </si>
  <si>
    <t>NF:62499, NF:62500</t>
  </si>
  <si>
    <t>NF:342765</t>
  </si>
  <si>
    <t>NF:342812</t>
  </si>
  <si>
    <t>NF:342744</t>
  </si>
  <si>
    <t>NF:342790</t>
  </si>
  <si>
    <t>NF:342832</t>
  </si>
  <si>
    <t>NF:342804</t>
  </si>
  <si>
    <t>NF:328280</t>
  </si>
  <si>
    <t>NF:342768</t>
  </si>
  <si>
    <t>NF:342754</t>
  </si>
  <si>
    <t>NF:342802</t>
  </si>
  <si>
    <t>NF:1137</t>
  </si>
  <si>
    <t>NF:54134</t>
  </si>
  <si>
    <t>TK:1139</t>
  </si>
  <si>
    <t>NF:342742</t>
  </si>
  <si>
    <t>NF:342829</t>
  </si>
  <si>
    <t>NF:342874</t>
  </si>
  <si>
    <t>NF:342889</t>
  </si>
  <si>
    <t>NF:342841</t>
  </si>
  <si>
    <t>NF:328352</t>
  </si>
  <si>
    <t>NF:342912</t>
  </si>
  <si>
    <t>NF:62548, NF:62549</t>
  </si>
  <si>
    <t>NF:62542, NF:62544</t>
  </si>
  <si>
    <t>NF:342915</t>
  </si>
  <si>
    <t>NF:62546, NF:62547</t>
  </si>
  <si>
    <t>NF:342953</t>
  </si>
  <si>
    <t>NF:62552</t>
  </si>
  <si>
    <t>NF:62553</t>
  </si>
  <si>
    <t>NF:342921</t>
  </si>
  <si>
    <t>NF:342971</t>
  </si>
  <si>
    <t>NF:342842</t>
  </si>
  <si>
    <t>NF:342917</t>
  </si>
  <si>
    <t>NF:342951</t>
  </si>
  <si>
    <t>NF:62536, NF:62537</t>
  </si>
  <si>
    <t>NF:62570, NF:62571</t>
  </si>
  <si>
    <t>TK:1141</t>
  </si>
  <si>
    <t>TK:1142</t>
  </si>
  <si>
    <t>NF:1143</t>
  </si>
  <si>
    <t>NF:342901</t>
  </si>
  <si>
    <t>NF:342957</t>
  </si>
  <si>
    <t>NF:054165</t>
  </si>
  <si>
    <t>NF:62538, NF:62539</t>
  </si>
  <si>
    <t>NF:62558, NF:62559</t>
  </si>
  <si>
    <t>NF:342905</t>
  </si>
  <si>
    <t>NF:342961</t>
  </si>
  <si>
    <t>NF:342911</t>
  </si>
  <si>
    <t>NF:342958</t>
  </si>
  <si>
    <t>NF:54149, NF:54150</t>
  </si>
  <si>
    <t>NF:62564, NF:62565</t>
  </si>
  <si>
    <t>NF:62562, NF:62563</t>
  </si>
  <si>
    <t>NF:342990</t>
  </si>
  <si>
    <t>NF:62586</t>
  </si>
  <si>
    <t>NF:343000</t>
  </si>
  <si>
    <t>NF:62587, NF:62588</t>
  </si>
  <si>
    <t>NF:62600, NF:62601</t>
  </si>
  <si>
    <t>NF:62593, NF:62594</t>
  </si>
  <si>
    <t>NF:62591, NF:62592</t>
  </si>
  <si>
    <t>NF:343075</t>
  </si>
  <si>
    <t>NF:62598, NF:62599</t>
  </si>
  <si>
    <t>NF:342960</t>
  </si>
  <si>
    <t>NF:343036</t>
  </si>
  <si>
    <t>NF:343097</t>
  </si>
  <si>
    <t>NF:62609, NF:62610</t>
  </si>
  <si>
    <t>NF:62607, NF:62608</t>
  </si>
  <si>
    <t>NF:54190, NF:54191</t>
  </si>
  <si>
    <t>NF:54151, NF:54152</t>
  </si>
  <si>
    <t>NF:343044</t>
  </si>
  <si>
    <t>NF:62616, NF:62617</t>
  </si>
  <si>
    <t>NF:343131</t>
  </si>
  <si>
    <t>TK:1157</t>
  </si>
  <si>
    <t>NF:54154</t>
  </si>
  <si>
    <t>NF:54183, NF:54184</t>
  </si>
  <si>
    <t>TK:1158</t>
  </si>
  <si>
    <t>NF:62612, NF:62613</t>
  </si>
  <si>
    <t>NF:1160</t>
  </si>
  <si>
    <t>NF:343065, NF:343065</t>
  </si>
  <si>
    <t>NF:343107</t>
  </si>
  <si>
    <t>TK:1154</t>
  </si>
  <si>
    <t>TK:1156</t>
  </si>
  <si>
    <t>NF:343034</t>
  </si>
  <si>
    <t>NF:343084</t>
  </si>
  <si>
    <t>NF:328440</t>
  </si>
  <si>
    <t>NF:343165</t>
  </si>
  <si>
    <t>NF:328467</t>
  </si>
  <si>
    <t>TK:1171</t>
  </si>
  <si>
    <t>NF:54172</t>
  </si>
  <si>
    <t>NF:054194</t>
  </si>
  <si>
    <t>328423</t>
  </si>
  <si>
    <t>NF:54188</t>
  </si>
  <si>
    <t>NF:343083</t>
  </si>
  <si>
    <t>NF:328453</t>
  </si>
  <si>
    <t>NF:328461</t>
  </si>
  <si>
    <t>NF:343143</t>
  </si>
  <si>
    <t>NF:328450</t>
  </si>
  <si>
    <t>NF:343189</t>
  </si>
  <si>
    <t>NF:328486</t>
  </si>
  <si>
    <t>NF:343180</t>
  </si>
  <si>
    <t>NF:343191</t>
  </si>
  <si>
    <t>TK:1179</t>
  </si>
  <si>
    <t>TK:1180</t>
  </si>
  <si>
    <t>NF:343193</t>
  </si>
  <si>
    <t>NF:328487</t>
  </si>
  <si>
    <t>NF:343154</t>
  </si>
  <si>
    <t>NF:343169</t>
  </si>
  <si>
    <t>NF:1182</t>
  </si>
  <si>
    <t>TK:1184</t>
  </si>
  <si>
    <t>NF:322825</t>
  </si>
  <si>
    <t>NF:328523</t>
  </si>
  <si>
    <t>NF:343271</t>
  </si>
  <si>
    <t>NF:62651, NF:62652</t>
  </si>
  <si>
    <t>NF:343296</t>
  </si>
  <si>
    <t>NF:62605</t>
  </si>
  <si>
    <t>NF:62658</t>
  </si>
  <si>
    <t>NF:343204</t>
  </si>
  <si>
    <t>NF:342359</t>
  </si>
  <si>
    <t>NF:328545</t>
  </si>
  <si>
    <t>NF:328551</t>
  </si>
  <si>
    <t>NF:343257</t>
  </si>
  <si>
    <t>NF:343325</t>
  </si>
  <si>
    <t>NF:343339</t>
  </si>
  <si>
    <t>NF:328557</t>
  </si>
  <si>
    <t>NF:328566</t>
  </si>
  <si>
    <t>NF:328583</t>
  </si>
  <si>
    <t>NF:343261</t>
  </si>
  <si>
    <t>NF:0342744</t>
  </si>
  <si>
    <t>NF:328556</t>
  </si>
  <si>
    <t>NF:343284</t>
  </si>
  <si>
    <t>NF:343298</t>
  </si>
  <si>
    <t>NF:343347</t>
  </si>
  <si>
    <t>NF:1213</t>
  </si>
  <si>
    <t>NF:054209</t>
  </si>
  <si>
    <t>NF:54198, NF:54199</t>
  </si>
  <si>
    <t>NF:62683, NF:62684</t>
  </si>
  <si>
    <t>NF:62694, NF:62695</t>
  </si>
  <si>
    <t>NF:343354</t>
  </si>
  <si>
    <t>NF:343390</t>
  </si>
  <si>
    <t>NF:328584</t>
  </si>
  <si>
    <t>NF:343375</t>
  </si>
  <si>
    <t>NF:343413</t>
  </si>
  <si>
    <t>NF:1215</t>
  </si>
  <si>
    <t>NF:343429</t>
  </si>
  <si>
    <t>TK:1212</t>
  </si>
  <si>
    <t>TK:1189</t>
  </si>
  <si>
    <t>NF:343414</t>
  </si>
  <si>
    <t>NF:328617</t>
  </si>
  <si>
    <t>NF:54203, NF:54204</t>
  </si>
  <si>
    <t>NF:54197</t>
  </si>
  <si>
    <t>NF:62720, NF:62721</t>
  </si>
  <si>
    <t>NF:328647</t>
  </si>
  <si>
    <t>NF:343436</t>
  </si>
  <si>
    <t>NF:62730, NF:62731</t>
  </si>
  <si>
    <t>NF:328661</t>
  </si>
  <si>
    <t>NF:62718, NF:62719</t>
  </si>
  <si>
    <t>NF:62744, NF:62745</t>
  </si>
  <si>
    <t>NF:343473</t>
  </si>
  <si>
    <t>NF:328642</t>
  </si>
  <si>
    <t>NF:328664</t>
  </si>
  <si>
    <t>NF:
343461</t>
  </si>
  <si>
    <t>NF:62733</t>
  </si>
  <si>
    <t>NF:62716</t>
  </si>
  <si>
    <t>NF:328694</t>
  </si>
  <si>
    <t>NF:62742, NF:62743</t>
  </si>
  <si>
    <t>NF:343511</t>
  </si>
  <si>
    <t>NF:542020</t>
  </si>
  <si>
    <t>NF:343392</t>
  </si>
  <si>
    <t>NF:343430</t>
  </si>
  <si>
    <t>NF:328659</t>
  </si>
  <si>
    <t>NF:343459</t>
  </si>
  <si>
    <t>NF:343492</t>
  </si>
  <si>
    <t>TK:1218</t>
  </si>
  <si>
    <t>NF:1219</t>
  </si>
  <si>
    <t>NF:054224, NF:054224</t>
  </si>
  <si>
    <t>NF:343438</t>
  </si>
  <si>
    <t>NF:343468</t>
  </si>
  <si>
    <t>NF:328616</t>
  </si>
  <si>
    <t>NF:62735, NF:62736</t>
  </si>
  <si>
    <t>NF:62740, NF:62741</t>
  </si>
  <si>
    <t>NF:54227, NF:54228</t>
  </si>
  <si>
    <t>NF:328691</t>
  </si>
  <si>
    <t>NF:328703</t>
  </si>
  <si>
    <t>NF:54225, NF:54226</t>
  </si>
  <si>
    <t>NF:328717</t>
  </si>
  <si>
    <t>TK:1230</t>
  </si>
  <si>
    <t>TK:1231</t>
  </si>
  <si>
    <t>NF:328727</t>
  </si>
  <si>
    <t>NF:343587</t>
  </si>
  <si>
    <t>NF:328722</t>
  </si>
  <si>
    <t>NF:343504</t>
  </si>
  <si>
    <t>NF:343569</t>
  </si>
  <si>
    <t>NF:343597</t>
  </si>
  <si>
    <t>NF:328746</t>
  </si>
  <si>
    <t>NF:328745</t>
  </si>
  <si>
    <t>NF:343502</t>
  </si>
  <si>
    <t>NF:343619</t>
  </si>
  <si>
    <t>NF:328738</t>
  </si>
  <si>
    <t>NF:343588</t>
  </si>
  <si>
    <t>NF:343617</t>
  </si>
  <si>
    <t>NF:343638</t>
  </si>
  <si>
    <t>NF:54239, NF:54240</t>
  </si>
  <si>
    <t>NF:62777, NF:62778</t>
  </si>
  <si>
    <t>NF:343647</t>
  </si>
  <si>
    <t>NF:62787, NF:62788</t>
  </si>
  <si>
    <t>NF:1237</t>
  </si>
  <si>
    <t>NF:343650</t>
  </si>
  <si>
    <t>NF:328720</t>
  </si>
  <si>
    <t>NF:328752</t>
  </si>
  <si>
    <t>NF:328756</t>
  </si>
  <si>
    <t>NF:328790</t>
  </si>
  <si>
    <t>NF:328793</t>
  </si>
  <si>
    <t>NF:328725</t>
  </si>
  <si>
    <t>NF:343575</t>
  </si>
  <si>
    <t>NF:343624</t>
  </si>
  <si>
    <t>NF:054245</t>
  </si>
  <si>
    <t>NF:343717</t>
  </si>
  <si>
    <t>NF:328758</t>
  </si>
  <si>
    <t>NF:343643</t>
  </si>
  <si>
    <t>NF:328759</t>
  </si>
  <si>
    <t>NF:328794</t>
  </si>
  <si>
    <t>NF:54246, NF:54247</t>
  </si>
  <si>
    <t>NF:343628</t>
  </si>
  <si>
    <t>NF:343693</t>
  </si>
  <si>
    <t>NF:343711</t>
  </si>
  <si>
    <t>NF:54236</t>
  </si>
  <si>
    <t>NF:343737</t>
  </si>
  <si>
    <t>NF:343734</t>
  </si>
  <si>
    <t>NF:343741</t>
  </si>
  <si>
    <t>NF:343757</t>
  </si>
  <si>
    <t>NF:328806</t>
  </si>
  <si>
    <t>NF:343769</t>
  </si>
  <si>
    <t>NF:328804</t>
  </si>
  <si>
    <t>NF:328823</t>
  </si>
  <si>
    <t>NF:328844</t>
  </si>
  <si>
    <t>NF:0328189</t>
  </si>
  <si>
    <t>NF:328803</t>
  </si>
  <si>
    <t>NF:62798, NF:62799</t>
  </si>
  <si>
    <t>NF:343676</t>
  </si>
  <si>
    <t>NF:328845</t>
  </si>
  <si>
    <t>NF:343740</t>
  </si>
  <si>
    <t>NF:343752</t>
  </si>
  <si>
    <t>TK:1255</t>
  </si>
  <si>
    <t>TK:1254</t>
  </si>
  <si>
    <t>NF:54237</t>
  </si>
  <si>
    <t>NF:343764</t>
  </si>
  <si>
    <t>NF:343784</t>
  </si>
  <si>
    <t>NF:62817NF62818</t>
  </si>
  <si>
    <t>NF:62815/62816</t>
  </si>
  <si>
    <t>NF:343809</t>
  </si>
  <si>
    <t>NF:1256</t>
  </si>
  <si>
    <t>NF:343829</t>
  </si>
  <si>
    <t>TK:1258</t>
  </si>
  <si>
    <t>NF:343826</t>
  </si>
  <si>
    <t>NF:343835</t>
  </si>
  <si>
    <t>NF:54252, NF:54253</t>
  </si>
  <si>
    <t>TK:1259</t>
  </si>
  <si>
    <t>NF:343866</t>
  </si>
  <si>
    <t>NF:328896</t>
  </si>
  <si>
    <t>NF:343881</t>
  </si>
  <si>
    <t>NF:343843</t>
  </si>
  <si>
    <t>NF:328919</t>
  </si>
  <si>
    <t>NF:62843, NF:62844</t>
  </si>
  <si>
    <t>NF:343901</t>
  </si>
  <si>
    <t>NF:343886</t>
  </si>
  <si>
    <t>NF:328928</t>
  </si>
  <si>
    <t>NF:328887</t>
  </si>
  <si>
    <t>NF:328911</t>
  </si>
  <si>
    <t>NF:62853, NF:62854</t>
  </si>
  <si>
    <t>NF:328858</t>
  </si>
  <si>
    <t>NF:328886</t>
  </si>
  <si>
    <t>NF:343834</t>
  </si>
  <si>
    <t>NF:343876</t>
  </si>
  <si>
    <t>NF:343892</t>
  </si>
  <si>
    <t>NF:343808</t>
  </si>
  <si>
    <t>NF:328874</t>
  </si>
  <si>
    <t>NF:328905</t>
  </si>
  <si>
    <t>NF:328890</t>
  </si>
  <si>
    <t>NF:328864</t>
  </si>
  <si>
    <t>NF:054263</t>
  </si>
  <si>
    <t>NF:62864, NF:62865</t>
  </si>
  <si>
    <t>NF:343919</t>
  </si>
  <si>
    <t>NF:62862/62863</t>
  </si>
  <si>
    <t>NF:328936</t>
  </si>
  <si>
    <t>NF:328935</t>
  </si>
  <si>
    <t>NF:343912</t>
  </si>
  <si>
    <t>NF:328945</t>
  </si>
  <si>
    <t>NF:343940</t>
  </si>
  <si>
    <t>NF:343885</t>
  </si>
  <si>
    <t>NF:328941</t>
  </si>
  <si>
    <t>NF:328959</t>
  </si>
  <si>
    <t>NF:343921</t>
  </si>
  <si>
    <t>NF:0328803</t>
  </si>
  <si>
    <t>NF:328914</t>
  </si>
  <si>
    <t>NF:328924</t>
  </si>
  <si>
    <t>NF:328912</t>
  </si>
  <si>
    <t>NF:62908, , NF:62909</t>
  </si>
  <si>
    <t>TK:1282</t>
  </si>
  <si>
    <t>TK:1284</t>
  </si>
  <si>
    <t>TK:1288</t>
  </si>
  <si>
    <t>TK:1293</t>
  </si>
  <si>
    <t>NF:328962</t>
  </si>
  <si>
    <t>NF:62875, NF:62876</t>
  </si>
  <si>
    <t>NF:344008</t>
  </si>
  <si>
    <t>NF:1285</t>
  </si>
  <si>
    <t>NF:54267</t>
  </si>
  <si>
    <t>NF:344004</t>
  </si>
  <si>
    <t>NF:344042</t>
  </si>
  <si>
    <t>NF:344064</t>
  </si>
  <si>
    <t>NF:54280, NF:54281</t>
  </si>
  <si>
    <t>NF:329008</t>
  </si>
  <si>
    <t>NF:344029</t>
  </si>
  <si>
    <t>NF:344072</t>
  </si>
  <si>
    <t>NF:329021</t>
  </si>
  <si>
    <t>NF:344084</t>
  </si>
  <si>
    <t>NF:343991</t>
  </si>
  <si>
    <t>NF:329012</t>
  </si>
  <si>
    <t>NF:0343921</t>
  </si>
  <si>
    <t>NF:0342832</t>
  </si>
  <si>
    <t>NF:329007</t>
  </si>
  <si>
    <t>NF:344095</t>
  </si>
  <si>
    <t>NF:329035</t>
  </si>
  <si>
    <t>NF:328978</t>
  </si>
  <si>
    <t>NF:329009</t>
  </si>
  <si>
    <t>NF:328993</t>
  </si>
  <si>
    <t>NF:344081</t>
  </si>
  <si>
    <t>NF:344031</t>
  </si>
  <si>
    <t>NF:62920</t>
  </si>
  <si>
    <t>NF:344082</t>
  </si>
  <si>
    <t>NF:329045</t>
  </si>
  <si>
    <t>NF:344114</t>
  </si>
  <si>
    <t>NF:62824, NF:62825</t>
  </si>
  <si>
    <t>NF:328861</t>
  </si>
  <si>
    <t>NF:344080</t>
  </si>
  <si>
    <t>NF:054297</t>
  </si>
  <si>
    <t>TK:1307</t>
  </si>
  <si>
    <t>NF:344143</t>
  </si>
  <si>
    <t>NF:329061</t>
  </si>
  <si>
    <t>NF:329055</t>
  </si>
  <si>
    <t>TK:1302</t>
  </si>
  <si>
    <t>NF:62947, NF:62948</t>
  </si>
  <si>
    <t>TK:1303</t>
  </si>
  <si>
    <t>NF:344172</t>
  </si>
  <si>
    <t>NF:344179, NF:344179</t>
  </si>
  <si>
    <t>NF:54308, NF:54309</t>
  </si>
  <si>
    <t>NF:344183</t>
  </si>
  <si>
    <t>NF:1310</t>
  </si>
  <si>
    <t>NF:344132</t>
  </si>
  <si>
    <t>NF:344159</t>
  </si>
  <si>
    <t>NF:329104</t>
  </si>
  <si>
    <t>NF:344210</t>
  </si>
  <si>
    <t>NF:62945, NF:62946</t>
  </si>
  <si>
    <t>NF:329117</t>
  </si>
  <si>
    <t>NF:54291, NF:54292</t>
  </si>
  <si>
    <t>NF:329052</t>
  </si>
  <si>
    <t>NF:344180</t>
  </si>
  <si>
    <t>NF:54293</t>
  </si>
  <si>
    <t>NF:329087</t>
  </si>
  <si>
    <t>NF:329135</t>
  </si>
  <si>
    <t>NF:329128</t>
  </si>
  <si>
    <t>NF:344189</t>
  </si>
  <si>
    <t>NF:62949/62950</t>
  </si>
  <si>
    <t>NF:344151</t>
  </si>
  <si>
    <t>NF:344197</t>
  </si>
  <si>
    <t>TK:1327</t>
  </si>
  <si>
    <t>NF:62967, NF:62966</t>
  </si>
  <si>
    <t>NF:329103</t>
  </si>
  <si>
    <t>TK:1306</t>
  </si>
  <si>
    <t>TK:1324</t>
  </si>
  <si>
    <t>NF:344200</t>
  </si>
  <si>
    <t>NF:344465</t>
  </si>
  <si>
    <t>NF:344182</t>
  </si>
  <si>
    <t>NF:344204</t>
  </si>
  <si>
    <t>NF:344220</t>
  </si>
  <si>
    <t>TK:1325</t>
  </si>
  <si>
    <t>NF:344292</t>
  </si>
  <si>
    <t>NF:344277</t>
  </si>
  <si>
    <t>NF:344279</t>
  </si>
  <si>
    <t>NF:329151</t>
  </si>
  <si>
    <t>NF:329179</t>
  </si>
  <si>
    <t>TK:1326</t>
  </si>
  <si>
    <t>NF:344312</t>
  </si>
  <si>
    <t>NF:1335</t>
  </si>
  <si>
    <t>NF:329152</t>
  </si>
  <si>
    <t>NF:329180</t>
  </si>
  <si>
    <t>NF:63009, NF:63010</t>
  </si>
  <si>
    <t>NF:344336</t>
  </si>
  <si>
    <t>NF:62943, NF:62944</t>
  </si>
  <si>
    <t>NF:63005, NF:63006</t>
  </si>
  <si>
    <t>NF:344261</t>
  </si>
  <si>
    <t>NF:344295</t>
  </si>
  <si>
    <t>NF:344286</t>
  </si>
  <si>
    <t>NF:344330</t>
  </si>
  <si>
    <t>NF:63007/63008</t>
  </si>
  <si>
    <t>TK:1338</t>
  </si>
  <si>
    <t>NF:329206</t>
  </si>
  <si>
    <t>NF:329182</t>
  </si>
  <si>
    <t>NF:344273</t>
  </si>
  <si>
    <t>NF:344316</t>
  </si>
  <si>
    <t>NF:329143</t>
  </si>
  <si>
    <t>NF:344288</t>
  </si>
  <si>
    <t>NF:344319</t>
  </si>
  <si>
    <t>NF:329224</t>
  </si>
  <si>
    <t>NF:344397</t>
  </si>
  <si>
    <t>NF:344412</t>
  </si>
  <si>
    <t>TK:1346</t>
  </si>
  <si>
    <t>NF:54314, NF:54315</t>
  </si>
  <si>
    <t>TK:1347</t>
  </si>
  <si>
    <t>NF:329268</t>
  </si>
  <si>
    <t>NF:1351</t>
  </si>
  <si>
    <t>NF:329225</t>
  </si>
  <si>
    <t>NF:329269</t>
  </si>
  <si>
    <t>NF:344323</t>
  </si>
  <si>
    <t>NF:344332</t>
  </si>
  <si>
    <t>NF:344431</t>
  </si>
  <si>
    <t>NF:63058, NF:63059</t>
  </si>
  <si>
    <t>NF:329227</t>
  </si>
  <si>
    <t>NF:344414</t>
  </si>
  <si>
    <t>NF:0344180</t>
  </si>
  <si>
    <t>NF:344437</t>
  </si>
  <si>
    <t>NF:329291</t>
  </si>
  <si>
    <t>NF:329245</t>
  </si>
  <si>
    <t>TK:1353</t>
  </si>
  <si>
    <t>TK:1384</t>
  </si>
  <si>
    <t>NF:344417</t>
  </si>
  <si>
    <t>NF:344343</t>
  </si>
  <si>
    <t>NF:051327</t>
  </si>
  <si>
    <t>NF:63106, NF:63107</t>
  </si>
  <si>
    <t>NF:329310</t>
  </si>
  <si>
    <t>NF:0344518</t>
  </si>
  <si>
    <t>NF:349430</t>
  </si>
  <si>
    <t>NF:344509</t>
  </si>
  <si>
    <t>NF:63102, NF:63103</t>
  </si>
  <si>
    <t>NF:54329, NF:54330</t>
  </si>
  <si>
    <t>NF:329340</t>
  </si>
  <si>
    <t>TK:1364</t>
  </si>
  <si>
    <t>NF:344546</t>
  </si>
  <si>
    <t>NF:344496</t>
  </si>
  <si>
    <t>NF:344573</t>
  </si>
  <si>
    <t>NF:329311</t>
  </si>
  <si>
    <t>NF:329345</t>
  </si>
  <si>
    <t>TK:1372</t>
  </si>
  <si>
    <t>NF:63104/63105</t>
  </si>
  <si>
    <t>NF:344498</t>
  </si>
  <si>
    <t>NF:344539</t>
  </si>
  <si>
    <t>NF:0328556</t>
  </si>
  <si>
    <t>TK:1371</t>
  </si>
  <si>
    <t>NF:344464</t>
  </si>
  <si>
    <t>NF:54336</t>
  </si>
  <si>
    <t>NF:439319</t>
  </si>
  <si>
    <t>NF:329376</t>
  </si>
  <si>
    <t>NF:329363</t>
  </si>
  <si>
    <t>NF:329388</t>
  </si>
  <si>
    <t>NF:329366</t>
  </si>
  <si>
    <t>NF:63150, NF:63151</t>
  </si>
  <si>
    <t>NF:344550</t>
  </si>
  <si>
    <t>NF:344581</t>
  </si>
  <si>
    <t>NF:344611</t>
  </si>
  <si>
    <t>NF:0344261</t>
  </si>
  <si>
    <t>NF:63170 NF63171</t>
  </si>
  <si>
    <t>NF:344634</t>
  </si>
  <si>
    <t>TK:1381</t>
  </si>
  <si>
    <t>TK:1393</t>
  </si>
  <si>
    <t>TK:1390</t>
  </si>
  <si>
    <t>NF:344574</t>
  </si>
  <si>
    <t>NF:329365</t>
  </si>
  <si>
    <t>NF:329433</t>
  </si>
  <si>
    <t>TK:1400</t>
  </si>
  <si>
    <t>TK:1405</t>
  </si>
  <si>
    <t>NF:1395</t>
  </si>
  <si>
    <t>TK:1409</t>
  </si>
  <si>
    <t>TK:1407</t>
  </si>
  <si>
    <t>TK:1401</t>
  </si>
  <si>
    <t>NF:329452</t>
  </si>
  <si>
    <t>NF:344443</t>
  </si>
  <si>
    <t>NF:329476</t>
  </si>
  <si>
    <t>NF:1408</t>
  </si>
  <si>
    <t>NF:54343, NF:54344</t>
  </si>
  <si>
    <t>NF:344737</t>
  </si>
  <si>
    <t>TK:1413</t>
  </si>
  <si>
    <t>NF:344689</t>
  </si>
  <si>
    <t>NF:344755</t>
  </si>
  <si>
    <t>NF:344807</t>
  </si>
  <si>
    <t>NF:1418</t>
  </si>
  <si>
    <t>NF:344709</t>
  </si>
  <si>
    <t>NF:344774</t>
  </si>
  <si>
    <t>TK:1415</t>
  </si>
  <si>
    <t>TK:1420</t>
  </si>
  <si>
    <t>NF:344687</t>
  </si>
  <si>
    <t>NF:329480</t>
  </si>
  <si>
    <t>NF:344838</t>
  </si>
  <si>
    <t>NF:63213, NF:63214</t>
  </si>
  <si>
    <t>TK:6314</t>
  </si>
  <si>
    <t>NF:329457</t>
  </si>
  <si>
    <t>NF:329493</t>
  </si>
  <si>
    <t>NF:344720</t>
  </si>
  <si>
    <t>NF:344772</t>
  </si>
  <si>
    <t>NF:329453</t>
  </si>
  <si>
    <t>NF:329482</t>
  </si>
  <si>
    <t>NF:1410</t>
  </si>
  <si>
    <t>TK:1474</t>
  </si>
  <si>
    <t>NF:054356</t>
  </si>
  <si>
    <t>NF:054366</t>
  </si>
  <si>
    <t>TK:6320</t>
  </si>
  <si>
    <t>NF:344823</t>
  </si>
  <si>
    <t>NF:329509</t>
  </si>
  <si>
    <t>NF:63207, NF:63208</t>
  </si>
  <si>
    <t>TK:1424</t>
  </si>
  <si>
    <t>NF:344915</t>
  </si>
  <si>
    <t>NF:344920</t>
  </si>
  <si>
    <t>NF:329562</t>
  </si>
  <si>
    <t>NF:344935</t>
  </si>
  <si>
    <t>NF:54351</t>
  </si>
  <si>
    <t>TK:1428</t>
  </si>
  <si>
    <t>TK:1430</t>
  </si>
  <si>
    <t>NF:329588</t>
  </si>
  <si>
    <t>NF:329507</t>
  </si>
  <si>
    <t>NF:329566</t>
  </si>
  <si>
    <t>NF:344991</t>
  </si>
  <si>
    <t>NF:329533</t>
  </si>
  <si>
    <t>NF:0344611</t>
  </si>
  <si>
    <t>NF:63264, NF:63265</t>
  </si>
  <si>
    <t>NF:344914</t>
  </si>
  <si>
    <t>NF:344960</t>
  </si>
  <si>
    <t>NF:1433</t>
  </si>
  <si>
    <t>NF:329564</t>
  </si>
  <si>
    <t>NF:329609</t>
  </si>
  <si>
    <t>NF:329590</t>
  </si>
  <si>
    <t>NF:344893</t>
  </si>
  <si>
    <t>NF:344971, NF:344971</t>
  </si>
  <si>
    <t>PRAXIS OBRA JK</t>
  </si>
  <si>
    <t>NF:54186</t>
  </si>
  <si>
    <t>NF:63266, NF:63267</t>
  </si>
  <si>
    <t>NF:329617</t>
  </si>
  <si>
    <t>NF:63255, NF:63256</t>
  </si>
  <si>
    <t>NF:329615</t>
  </si>
  <si>
    <t>NF:329625</t>
  </si>
  <si>
    <t>NF:329629</t>
  </si>
  <si>
    <t>NF:54372, NF:54373</t>
  </si>
  <si>
    <t>NF:54376, NF:54377</t>
  </si>
  <si>
    <t>NF:54387</t>
  </si>
  <si>
    <t>NF:344993</t>
  </si>
  <si>
    <t>NF:345054</t>
  </si>
  <si>
    <t>TK:1444</t>
  </si>
  <si>
    <t>NF:329642</t>
  </si>
  <si>
    <t>TK:1439</t>
  </si>
  <si>
    <t>NF:63269/63270</t>
  </si>
  <si>
    <t>NF:329646</t>
  </si>
  <si>
    <t>TK:1445</t>
  </si>
  <si>
    <t>NF:345149</t>
  </si>
  <si>
    <t>NF:54239</t>
  </si>
  <si>
    <t>NF:1452</t>
  </si>
  <si>
    <t>NF:329614</t>
  </si>
  <si>
    <t>NF:329634</t>
  </si>
  <si>
    <t>NF:329623</t>
  </si>
  <si>
    <t>NF:345182</t>
  </si>
  <si>
    <t>TK:1451</t>
  </si>
  <si>
    <t>NF:329633</t>
  </si>
  <si>
    <t>NF:6355</t>
  </si>
  <si>
    <t>NF:345077</t>
  </si>
  <si>
    <t>NF:329591</t>
  </si>
  <si>
    <t>TK:6352</t>
  </si>
  <si>
    <t>NF:054405</t>
  </si>
  <si>
    <t>NF:63313, NF:63314</t>
  </si>
  <si>
    <t>NF:329676</t>
  </si>
  <si>
    <t>NF:345250</t>
  </si>
  <si>
    <t>NF:345256</t>
  </si>
  <si>
    <t>NF:54409, NF:54410</t>
  </si>
  <si>
    <t>NF:54407, NF:54408</t>
  </si>
  <si>
    <t>NF:54403</t>
  </si>
  <si>
    <t>TK:1460</t>
  </si>
  <si>
    <t>NF:345119</t>
  </si>
  <si>
    <t>NF:329672</t>
  </si>
  <si>
    <t>NF:329692</t>
  </si>
  <si>
    <t>NF:329698</t>
  </si>
  <si>
    <t>TK:1564</t>
  </si>
  <si>
    <t>NF:345291</t>
  </si>
  <si>
    <t>NF:63311/63312</t>
  </si>
  <si>
    <t>NF:54413</t>
  </si>
  <si>
    <t>NF:329713</t>
  </si>
  <si>
    <t>NF:329700</t>
  </si>
  <si>
    <t>NF:329680</t>
  </si>
  <si>
    <t>NF:1462</t>
  </si>
  <si>
    <t>NF:345151</t>
  </si>
  <si>
    <t>NF:345238</t>
  </si>
  <si>
    <t>NF:345297</t>
  </si>
  <si>
    <t>FAZENDA VALAGRO - BR226  KM145</t>
  </si>
  <si>
    <t>TK:1570</t>
  </si>
  <si>
    <t>NF:329678</t>
  </si>
  <si>
    <t>NF:329701</t>
  </si>
  <si>
    <t>NF:329745</t>
  </si>
  <si>
    <t>NF:54425</t>
  </si>
  <si>
    <t>NF:329673</t>
  </si>
  <si>
    <t>NF:329694</t>
  </si>
  <si>
    <t>NF:63334, NF:63335</t>
  </si>
  <si>
    <t>NF:329677</t>
  </si>
  <si>
    <t>TK:1434</t>
  </si>
  <si>
    <t>TK:1579</t>
  </si>
  <si>
    <t>NF:345234</t>
  </si>
  <si>
    <t>NF:345252</t>
  </si>
  <si>
    <t>NF:345289</t>
  </si>
  <si>
    <t>NF:63354, NF:63355</t>
  </si>
  <si>
    <t>NF:329756</t>
  </si>
  <si>
    <t>NF:329775</t>
  </si>
  <si>
    <t>NF:6385</t>
  </si>
  <si>
    <t>NF:329709</t>
  </si>
  <si>
    <t>NF:329741</t>
  </si>
  <si>
    <t>NF:329768</t>
  </si>
  <si>
    <t>NF:329790</t>
  </si>
  <si>
    <t>TK:1471</t>
  </si>
  <si>
    <t>NF:6390</t>
  </si>
  <si>
    <t>NF:345425</t>
  </si>
  <si>
    <t>NF:329815</t>
  </si>
  <si>
    <t>NF:63388, NF:63389</t>
  </si>
  <si>
    <t>NF:345360</t>
  </si>
  <si>
    <t>NF:329781</t>
  </si>
  <si>
    <t>NF:329808</t>
  </si>
  <si>
    <t>NF:329794</t>
  </si>
  <si>
    <t>NF:329773</t>
  </si>
  <si>
    <t>NF:54435</t>
  </si>
  <si>
    <t>NF:329755</t>
  </si>
  <si>
    <t>NF:0329694</t>
  </si>
  <si>
    <t>NF:63357/63358</t>
  </si>
  <si>
    <t>NF:239787</t>
  </si>
  <si>
    <t>NF:329843</t>
  </si>
  <si>
    <t>NF:329757</t>
  </si>
  <si>
    <t>NF:329786</t>
  </si>
  <si>
    <t>NF:6392</t>
  </si>
  <si>
    <t>NF:329763</t>
  </si>
  <si>
    <t>NF:329792</t>
  </si>
  <si>
    <t>NF:345387</t>
  </si>
  <si>
    <t>NF:322812</t>
  </si>
  <si>
    <t>TK:1465</t>
  </si>
  <si>
    <t>NF:1461, TK:1435</t>
  </si>
  <si>
    <t>NF:054453</t>
  </si>
  <si>
    <t>NF:63413, NF:63414</t>
  </si>
  <si>
    <t>NF:329814</t>
  </si>
  <si>
    <t>NF:329813</t>
  </si>
  <si>
    <t>NF:329847</t>
  </si>
  <si>
    <t>NF:329810</t>
  </si>
  <si>
    <t>NF:329798</t>
  </si>
  <si>
    <t>NF:329825</t>
  </si>
  <si>
    <t>NF:1479</t>
  </si>
  <si>
    <t>TK:1480</t>
  </si>
  <si>
    <t>NF:329865</t>
  </si>
  <si>
    <t>NF:63432, NF:63433</t>
  </si>
  <si>
    <t>NF:329867</t>
  </si>
  <si>
    <t>NF:329811</t>
  </si>
  <si>
    <t>NF:329816</t>
  </si>
  <si>
    <t>TK:1488</t>
  </si>
  <si>
    <t>NF:329846</t>
  </si>
  <si>
    <t>NF:63409/63410</t>
  </si>
  <si>
    <t>TK:1481</t>
  </si>
  <si>
    <t>NF:0329755</t>
  </si>
  <si>
    <t>TK:1498</t>
  </si>
  <si>
    <t>NF:1506</t>
  </si>
  <si>
    <t>NF:1491</t>
  </si>
  <si>
    <t>TK:6050</t>
  </si>
  <si>
    <t>TK:6056</t>
  </si>
  <si>
    <t>TK:6059</t>
  </si>
  <si>
    <t>TK:6061</t>
  </si>
  <si>
    <t>NF:54115, NF:54117</t>
  </si>
  <si>
    <t>TK:6069</t>
  </si>
  <si>
    <t>TK:6073</t>
  </si>
  <si>
    <t>TK:6080</t>
  </si>
  <si>
    <t>NF:54138</t>
  </si>
  <si>
    <t>TK:6082</t>
  </si>
  <si>
    <t>TK:6090</t>
  </si>
  <si>
    <t>TK:6094</t>
  </si>
  <si>
    <t>TK:6100</t>
  </si>
  <si>
    <t>NF:52420, NF:54135</t>
  </si>
  <si>
    <t>TK:6104</t>
  </si>
  <si>
    <t>TK:6108</t>
  </si>
  <si>
    <t>NF:54163, NF:54164</t>
  </si>
  <si>
    <t>TK:6110</t>
  </si>
  <si>
    <t>TK:6112</t>
  </si>
  <si>
    <t>TK:6117</t>
  </si>
  <si>
    <t>NF:54170, NF:54171</t>
  </si>
  <si>
    <t>NF:55176, NF:54177</t>
  </si>
  <si>
    <t>TK:6127</t>
  </si>
  <si>
    <t>NF:054156</t>
  </si>
  <si>
    <t>TK:6134</t>
  </si>
  <si>
    <t>TK:6142</t>
  </si>
  <si>
    <t>TK:6143</t>
  </si>
  <si>
    <t>TK:6151</t>
  </si>
  <si>
    <t>TK:6154</t>
  </si>
  <si>
    <t>NF:54200, NF:54201</t>
  </si>
  <si>
    <t>TK:6155</t>
  </si>
  <si>
    <t>TK:6160</t>
  </si>
  <si>
    <t>NF:54205</t>
  </si>
  <si>
    <t>NF:54222</t>
  </si>
  <si>
    <t>TK:6164</t>
  </si>
  <si>
    <t>TK:6172</t>
  </si>
  <si>
    <t>NF:54220</t>
  </si>
  <si>
    <t>NF:54234, NF:54235</t>
  </si>
  <si>
    <t>TK:6175</t>
  </si>
  <si>
    <t>TK:6181</t>
  </si>
  <si>
    <t>NF:54243</t>
  </si>
  <si>
    <t>TK:6184</t>
  </si>
  <si>
    <t>TK:6191</t>
  </si>
  <si>
    <t>TK:6194</t>
  </si>
  <si>
    <t>TK:6200</t>
  </si>
  <si>
    <t>NF:54255, NF:54256</t>
  </si>
  <si>
    <t>NF:6206</t>
  </si>
  <si>
    <t>NF:54265</t>
  </si>
  <si>
    <t>NF:6221</t>
  </si>
  <si>
    <t>NF:54276, NF:54277</t>
  </si>
  <si>
    <t>NF:6228</t>
  </si>
  <si>
    <t>NF:001154</t>
  </si>
  <si>
    <t>NF:6240</t>
  </si>
  <si>
    <t>NF:6243</t>
  </si>
  <si>
    <t>NF:54306, NF:54307</t>
  </si>
  <si>
    <t>NF:6245</t>
  </si>
  <si>
    <t>NF:6248</t>
  </si>
  <si>
    <t>NF:001159</t>
  </si>
  <si>
    <t>NF:54285, NF:54286</t>
  </si>
  <si>
    <t>NF:001168</t>
  </si>
  <si>
    <t>NF:54321, NF:54322</t>
  </si>
  <si>
    <t>NF:54316, NF:54317</t>
  </si>
  <si>
    <t>NF:001173</t>
  </si>
  <si>
    <t>NF:054299</t>
  </si>
  <si>
    <t>TK:6264</t>
  </si>
  <si>
    <t>TK:6268</t>
  </si>
  <si>
    <t>TK:6272</t>
  </si>
  <si>
    <t>TK:6279</t>
  </si>
  <si>
    <t>VILA QUIXABA-TO</t>
  </si>
  <si>
    <t>NF:001178</t>
  </si>
  <si>
    <t>NF:6287</t>
  </si>
  <si>
    <t>NF:054333</t>
  </si>
  <si>
    <t>NF:54331, NF:54332</t>
  </si>
  <si>
    <t>NF:54346, NF:54345</t>
  </si>
  <si>
    <t>NF:6310</t>
  </si>
  <si>
    <t>NF:6296</t>
  </si>
  <si>
    <t>NF:6315</t>
  </si>
  <si>
    <t>TK:6312</t>
  </si>
  <si>
    <t>TK:6319</t>
  </si>
  <si>
    <t>NF:54364, NF:54363</t>
  </si>
  <si>
    <t>NF:091185</t>
  </si>
  <si>
    <t>NF:54380, NF:54381</t>
  </si>
  <si>
    <t>NF:54389, NF:54390</t>
  </si>
  <si>
    <t>TK:6350</t>
  </si>
  <si>
    <t>TK:6357</t>
  </si>
  <si>
    <t>NF:001189</t>
  </si>
  <si>
    <t>NF:54399, NF:54400</t>
  </si>
  <si>
    <t>NF:001194</t>
  </si>
  <si>
    <t>NF:54422, NF:54423</t>
  </si>
  <si>
    <t>NF:54374, NF:54375</t>
  </si>
  <si>
    <t>NF:54436, NF:54437</t>
  </si>
  <si>
    <t>NF:001198</t>
  </si>
  <si>
    <t>NF:001205</t>
  </si>
  <si>
    <t>NF:0544362</t>
  </si>
  <si>
    <t>NF:054455</t>
  </si>
  <si>
    <t>FRETE CARRADA MAIO DE 2026</t>
  </si>
  <si>
    <t xml:space="preserve">AGRO </t>
  </si>
  <si>
    <t xml:space="preserve">UA OLINDA NOVA </t>
  </si>
  <si>
    <t xml:space="preserve">VETOR </t>
  </si>
  <si>
    <t>FRETE CARRADA JUNHO DE 2026</t>
  </si>
  <si>
    <t xml:space="preserve">DISTÂNCIA </t>
  </si>
  <si>
    <t>NF:54460, NF:54461</t>
  </si>
  <si>
    <t>MINERADORA PORTO FRANCOVALE KM 386BICA CORRIDA</t>
  </si>
  <si>
    <t>NF:329897</t>
  </si>
  <si>
    <t>NF:329914</t>
  </si>
  <si>
    <t>BRASIL MINERACAOBEIRA RIORACHÃOZINHO</t>
  </si>
  <si>
    <t>NF:54448, NF:54449</t>
  </si>
  <si>
    <t>NF:329922</t>
  </si>
  <si>
    <t>NF:329917</t>
  </si>
  <si>
    <t>BRASIL MINERACAOBEIRA RIOPULMÃOZINHO</t>
  </si>
  <si>
    <t>NF:329896</t>
  </si>
  <si>
    <t>GRANORTEVETORPULMÃOZINHO</t>
  </si>
  <si>
    <t>NF:329930</t>
  </si>
  <si>
    <t>NF:329905</t>
  </si>
  <si>
    <t>NF:329924</t>
  </si>
  <si>
    <t>NF:63441, NF:63442</t>
  </si>
  <si>
    <t>NF:345609</t>
  </si>
  <si>
    <t>NF:345635</t>
  </si>
  <si>
    <t>NF:54458</t>
  </si>
  <si>
    <t>MINERADORA PORTO FRANCO MAVALE KM324BGS</t>
  </si>
  <si>
    <t>NF:329891</t>
  </si>
  <si>
    <t>NF:329916</t>
  </si>
  <si>
    <t>NF:54477, NF:54478</t>
  </si>
  <si>
    <t>MINERADORA PORTO FRANCOAUGUSTINOPOLIS TO (EDEC)BGS</t>
  </si>
  <si>
    <t>NF:345588</t>
  </si>
  <si>
    <t>NF:345485</t>
  </si>
  <si>
    <t>NF:329945</t>
  </si>
  <si>
    <t>NF:345653</t>
  </si>
  <si>
    <t>NF:345580</t>
  </si>
  <si>
    <t>NF:329906</t>
  </si>
  <si>
    <t>NF:329925</t>
  </si>
  <si>
    <t>NF:345639</t>
  </si>
  <si>
    <t>NF:054485</t>
  </si>
  <si>
    <t>MINERADORA PORTO FRANCOVALE KM 386RACHÃO</t>
  </si>
  <si>
    <t>NF:329907</t>
  </si>
  <si>
    <t>NF:329928</t>
  </si>
  <si>
    <t>NF:345687</t>
  </si>
  <si>
    <t>NF:54483, NF:54484</t>
  </si>
  <si>
    <t>MINERADORA PORTO FRANCOAUGUSTINOPOLIS TO (EDEC)PÓ DE BRITA</t>
  </si>
  <si>
    <t>NF:329935</t>
  </si>
  <si>
    <t>NF:345758</t>
  </si>
  <si>
    <t>NF:329969</t>
  </si>
  <si>
    <t>NF:329959</t>
  </si>
  <si>
    <t>TK:1521</t>
  </si>
  <si>
    <t>FAZENDA PLATAFORMASILO PRODUCERESSOJA</t>
  </si>
  <si>
    <t>NF:54489, NF:54490</t>
  </si>
  <si>
    <t>NF:345794</t>
  </si>
  <si>
    <t xml:space="preserve">UA OLINDA NOVA - MA </t>
  </si>
  <si>
    <t>NF:329994</t>
  </si>
  <si>
    <t>NF:345744</t>
  </si>
  <si>
    <t>NF:345809</t>
  </si>
  <si>
    <t>TK:1679</t>
  </si>
  <si>
    <t>FAZENDA VALAGRO - BR226  KM145FAZENDA PLATAFORMASOJA</t>
  </si>
  <si>
    <t>NF:345762</t>
  </si>
  <si>
    <t>NF:329952</t>
  </si>
  <si>
    <t>NF:329981</t>
  </si>
  <si>
    <t>NF:0329846</t>
  </si>
  <si>
    <t>NF:329967</t>
  </si>
  <si>
    <t>NF:329995</t>
  </si>
  <si>
    <t>NF:330030</t>
  </si>
  <si>
    <t>NF:330000</t>
  </si>
  <si>
    <t>NF:329984</t>
  </si>
  <si>
    <t>NF:329960</t>
  </si>
  <si>
    <t>NF:329965</t>
  </si>
  <si>
    <t>NF:329991</t>
  </si>
  <si>
    <t>NF:329956</t>
  </si>
  <si>
    <t>NF:329986</t>
  </si>
  <si>
    <t>NF:345760</t>
  </si>
  <si>
    <t>NF:345671</t>
  </si>
  <si>
    <t>NF:329957</t>
  </si>
  <si>
    <t>NF:345788</t>
  </si>
  <si>
    <t>NF:345848</t>
  </si>
  <si>
    <t>NF:345869</t>
  </si>
  <si>
    <t>NF:345861</t>
  </si>
  <si>
    <t>NF:345847</t>
  </si>
  <si>
    <t>NF:330022</t>
  </si>
  <si>
    <t>NF:329998</t>
  </si>
  <si>
    <t>NF:330055</t>
  </si>
  <si>
    <t>NF:345887</t>
  </si>
  <si>
    <t>NF:330042</t>
  </si>
  <si>
    <t>NF:54504, NF:54505</t>
  </si>
  <si>
    <t>NF:330050</t>
  </si>
  <si>
    <t>NF:54508, NF:54509</t>
  </si>
  <si>
    <t>NF:54495</t>
  </si>
  <si>
    <t>MINERADORA PORTO FRANCOVALE KM 386RACHÃOZINHO</t>
  </si>
  <si>
    <t>NF:345927</t>
  </si>
  <si>
    <t>NF:330045</t>
  </si>
  <si>
    <t>NF:330039</t>
  </si>
  <si>
    <t>BRASIL MINERACAOBEIRA RIOPEDRA PULMÃO</t>
  </si>
  <si>
    <t>NF:54519</t>
  </si>
  <si>
    <t>NF:330052</t>
  </si>
  <si>
    <t>TK:1720</t>
  </si>
  <si>
    <t>FAZENDA PLATAFORMASITIO DO GUTO - SEN. ALEXANDRE COSTASOJA</t>
  </si>
  <si>
    <t>NF:330038</t>
  </si>
  <si>
    <t>NF:0329891</t>
  </si>
  <si>
    <t>NF:330054</t>
  </si>
  <si>
    <t>NF:345879</t>
  </si>
  <si>
    <t>TK:1526</t>
  </si>
  <si>
    <t>NF:330053</t>
  </si>
  <si>
    <t>NF:330037</t>
  </si>
  <si>
    <t>NF:330186</t>
  </si>
  <si>
    <t>NF:346004</t>
  </si>
  <si>
    <t>NF:330202</t>
  </si>
  <si>
    <t>NF:330211</t>
  </si>
  <si>
    <t>NF:63551, NF:63552</t>
  </si>
  <si>
    <t>NF:54530</t>
  </si>
  <si>
    <t>NF:330234</t>
  </si>
  <si>
    <t>NF:63556, NF:63557</t>
  </si>
  <si>
    <t>NF:329895</t>
  </si>
  <si>
    <t>NF:329835</t>
  </si>
  <si>
    <t>NF:330187</t>
  </si>
  <si>
    <t>NF:330216</t>
  </si>
  <si>
    <t>NF:330185</t>
  </si>
  <si>
    <t>NF:346037</t>
  </si>
  <si>
    <t>GRANORTEVETORBICA CORRIDA</t>
  </si>
  <si>
    <t>NF:330182</t>
  </si>
  <si>
    <t>NF:330212</t>
  </si>
  <si>
    <t>NF:330266</t>
  </si>
  <si>
    <t>NF:330267</t>
  </si>
  <si>
    <t>NF:330226</t>
  </si>
  <si>
    <t>NF:330200</t>
  </si>
  <si>
    <t>NF:330233</t>
  </si>
  <si>
    <t>NF:330201</t>
  </si>
  <si>
    <t>NF:330235</t>
  </si>
  <si>
    <t>NF:330196</t>
  </si>
  <si>
    <t>NF:330219</t>
  </si>
  <si>
    <t>NF:330188</t>
  </si>
  <si>
    <t>NF:330221</t>
  </si>
  <si>
    <t>NF:330197</t>
  </si>
  <si>
    <t>NF:330230</t>
  </si>
  <si>
    <t>NF:63558/63559</t>
  </si>
  <si>
    <t>NF:054553</t>
  </si>
  <si>
    <t>MINERADORA PORTO FRANCO MAVALE KM324BICA CORRIDA</t>
  </si>
  <si>
    <t>NF:330241</t>
  </si>
  <si>
    <t>NF:330273</t>
  </si>
  <si>
    <t>NF:346111</t>
  </si>
  <si>
    <t>NF:330263</t>
  </si>
  <si>
    <t>NF:330279</t>
  </si>
  <si>
    <t>NF:330242</t>
  </si>
  <si>
    <t>NF:330271</t>
  </si>
  <si>
    <t>NF:330289</t>
  </si>
  <si>
    <t>NF:63607, NF:63608</t>
  </si>
  <si>
    <t>NF:330301</t>
  </si>
  <si>
    <t>NF:346128</t>
  </si>
  <si>
    <t>NF:330305</t>
  </si>
  <si>
    <t>NF:346136</t>
  </si>
  <si>
    <t>NF:330269</t>
  </si>
  <si>
    <t>NF:0329981</t>
  </si>
  <si>
    <t>NF:330286</t>
  </si>
  <si>
    <t>NF:330275</t>
  </si>
  <si>
    <t>TK:1562</t>
  </si>
  <si>
    <t>NF:330240</t>
  </si>
  <si>
    <t>TK:1782</t>
  </si>
  <si>
    <t>NF:54543, NF:54544</t>
  </si>
  <si>
    <t>TK:1739</t>
  </si>
  <si>
    <t>NF:330336</t>
  </si>
  <si>
    <t>NF:330283</t>
  </si>
  <si>
    <t>NF:346206</t>
  </si>
  <si>
    <t>NF:330352</t>
  </si>
  <si>
    <t>NF:330335</t>
  </si>
  <si>
    <t>NF:54535, NF:54536</t>
  </si>
  <si>
    <t>NF:54546</t>
  </si>
  <si>
    <t>NF:330362</t>
  </si>
  <si>
    <t>NF:330357</t>
  </si>
  <si>
    <t>NF:346265</t>
  </si>
  <si>
    <t>NF:63633, NF:63634</t>
  </si>
  <si>
    <t>NF:346207</t>
  </si>
  <si>
    <t>NF:330353</t>
  </si>
  <si>
    <t>NF:330387</t>
  </si>
  <si>
    <t>NF:330347</t>
  </si>
  <si>
    <t>NF:330372</t>
  </si>
  <si>
    <t>NF:330338</t>
  </si>
  <si>
    <t>NF:346262</t>
  </si>
  <si>
    <t>NF:330328</t>
  </si>
  <si>
    <t>NF:330365</t>
  </si>
  <si>
    <t>NF:0330037</t>
  </si>
  <si>
    <t>NF:330374</t>
  </si>
  <si>
    <t>NF:330395</t>
  </si>
  <si>
    <t>NF:330333</t>
  </si>
  <si>
    <t>NF:330361</t>
  </si>
  <si>
    <t>NF:330349</t>
  </si>
  <si>
    <t>NF:330384</t>
  </si>
  <si>
    <t>NF:330411</t>
  </si>
  <si>
    <t>NF:330424</t>
  </si>
  <si>
    <t>NF:330400</t>
  </si>
  <si>
    <t>NF:330427</t>
  </si>
  <si>
    <t>NF:346379</t>
  </si>
  <si>
    <t>NF:54579, NF:54580</t>
  </si>
  <si>
    <t>NF:330459</t>
  </si>
  <si>
    <t>NF:346345</t>
  </si>
  <si>
    <t>NF:346384</t>
  </si>
  <si>
    <t>NF:54554</t>
  </si>
  <si>
    <t>MINERADORA PORTO FRANCO MAVALE KM324MATACO</t>
  </si>
  <si>
    <t>NF:330426</t>
  </si>
  <si>
    <t>NF:0330212</t>
  </si>
  <si>
    <t>NF:54573</t>
  </si>
  <si>
    <t>NF:330423</t>
  </si>
  <si>
    <t>NF:330463</t>
  </si>
  <si>
    <t>NF:346319</t>
  </si>
  <si>
    <t>NF:346375</t>
  </si>
  <si>
    <t>NF:330422</t>
  </si>
  <si>
    <t>NF:330425</t>
  </si>
  <si>
    <t>NF:330471</t>
  </si>
  <si>
    <t>TK:1800</t>
  </si>
  <si>
    <t>NF:54574</t>
  </si>
  <si>
    <t>NF:054609</t>
  </si>
  <si>
    <t>NF:330464</t>
  </si>
  <si>
    <t>NF:330465</t>
  </si>
  <si>
    <t>NF:063670, NF:063671</t>
  </si>
  <si>
    <t>NF:63660, NF:63661</t>
  </si>
  <si>
    <t>NF:330467</t>
  </si>
  <si>
    <t>NF:330494</t>
  </si>
  <si>
    <t>NF:330521</t>
  </si>
  <si>
    <t>NF:330513</t>
  </si>
  <si>
    <t>NF:346491</t>
  </si>
  <si>
    <t>NF:330512</t>
  </si>
  <si>
    <t>NF:344179</t>
  </si>
  <si>
    <t>NF:346699</t>
  </si>
  <si>
    <t>NF:63679, NF:63680</t>
  </si>
  <si>
    <t>NF:346481</t>
  </si>
  <si>
    <t>NF:339088</t>
  </si>
  <si>
    <t>NF:327033</t>
  </si>
  <si>
    <t>NF:330543</t>
  </si>
  <si>
    <t>NF:330548</t>
  </si>
  <si>
    <t>NF:346477</t>
  </si>
  <si>
    <t>NF:346509</t>
  </si>
  <si>
    <t>NF:330510</t>
  </si>
  <si>
    <t>NF:330544</t>
  </si>
  <si>
    <t>NF:54411</t>
  </si>
  <si>
    <t>NF:330503</t>
  </si>
  <si>
    <t>NF:330531</t>
  </si>
  <si>
    <t>NF:330522</t>
  </si>
  <si>
    <t>NF:330547</t>
  </si>
  <si>
    <t>NF:330528</t>
  </si>
  <si>
    <t>NF:330565</t>
  </si>
  <si>
    <t>NF:346482</t>
  </si>
  <si>
    <t>NF:330527</t>
  </si>
  <si>
    <t>NF:330557</t>
  </si>
  <si>
    <t>NF:330520</t>
  </si>
  <si>
    <t>NF:054623</t>
  </si>
  <si>
    <t>NF:63688, NF:63689</t>
  </si>
  <si>
    <t>NF:330546</t>
  </si>
  <si>
    <t>NF:330593</t>
  </si>
  <si>
    <t>NF:330599</t>
  </si>
  <si>
    <t>NF:330606</t>
  </si>
  <si>
    <t>NF:346642</t>
  </si>
  <si>
    <t>NF:346708</t>
  </si>
  <si>
    <t>FAZENDA BYETA BURITICUPU</t>
  </si>
  <si>
    <t>RESÍDUOS DE SOJA</t>
  </si>
  <si>
    <t>NF:1949</t>
  </si>
  <si>
    <t>FAZENDA BYETA BURITICUPUFAZENDA PLATAFORMARESÍDUOS DE SOJA</t>
  </si>
  <si>
    <t>NF:330635</t>
  </si>
  <si>
    <t>NF:063699, NF:063700</t>
  </si>
  <si>
    <t>NF:63694, NF:63695</t>
  </si>
  <si>
    <t>NF:346693</t>
  </si>
  <si>
    <t>NF:54634</t>
  </si>
  <si>
    <t>NF:346628</t>
  </si>
  <si>
    <t>NF:346671</t>
  </si>
  <si>
    <t>NF:330654</t>
  </si>
  <si>
    <t>NF:330623</t>
  </si>
  <si>
    <t>NF:330668</t>
  </si>
  <si>
    <t>NF:330567</t>
  </si>
  <si>
    <t>NF:346679</t>
  </si>
  <si>
    <t>NF:346573</t>
  </si>
  <si>
    <t>NF:346561</t>
  </si>
  <si>
    <t>NF:6543</t>
  </si>
  <si>
    <t>TK:1818</t>
  </si>
  <si>
    <t>NF:330598</t>
  </si>
  <si>
    <t>NF:0330426</t>
  </si>
  <si>
    <t>NF:330580</t>
  </si>
  <si>
    <t>NF:330626</t>
  </si>
  <si>
    <t>NF:330651</t>
  </si>
  <si>
    <t>NF:63715, NF:63716</t>
  </si>
  <si>
    <t>NF:330673</t>
  </si>
  <si>
    <t>NF:330672</t>
  </si>
  <si>
    <t>NF:330684</t>
  </si>
  <si>
    <t>NF:346828</t>
  </si>
  <si>
    <t>NF:63747, NF:63748</t>
  </si>
  <si>
    <t>NF:330690</t>
  </si>
  <si>
    <t>NF:330709</t>
  </si>
  <si>
    <t>NF:346834</t>
  </si>
  <si>
    <t>TK:6550</t>
  </si>
  <si>
    <t>NF:330708</t>
  </si>
  <si>
    <t>NF:346858</t>
  </si>
  <si>
    <t>NF:330718</t>
  </si>
  <si>
    <t>NF:63749, NF:63750</t>
  </si>
  <si>
    <t>NF:330683</t>
  </si>
  <si>
    <t>NF:330711</t>
  </si>
  <si>
    <t>NF:063755, NF:063756</t>
  </si>
  <si>
    <t>NF:063736, NF:063737</t>
  </si>
  <si>
    <t>NF:63742, NF:63743</t>
  </si>
  <si>
    <t>NF:346716</t>
  </si>
  <si>
    <t>NF:346838</t>
  </si>
  <si>
    <t>NF:330732</t>
  </si>
  <si>
    <t>NF:346726</t>
  </si>
  <si>
    <t>NF:054659</t>
  </si>
  <si>
    <t>MINERADORA PORTO FRANCOAUGUSTINOPOLIS TO (EDEC)BRITA 1</t>
  </si>
  <si>
    <t>NF:63725, NF:63726</t>
  </si>
  <si>
    <t>NF:330696</t>
  </si>
  <si>
    <t>NF:330738</t>
  </si>
  <si>
    <t>TK:6562</t>
  </si>
  <si>
    <t>NF:330733</t>
  </si>
  <si>
    <t>NF:330755</t>
  </si>
  <si>
    <t>NF:330754</t>
  </si>
  <si>
    <t>NF:330770</t>
  </si>
  <si>
    <t>NF:54661</t>
  </si>
  <si>
    <t>NF:063801, NF:063802</t>
  </si>
  <si>
    <t>NF:063810, NF:063811</t>
  </si>
  <si>
    <t>NF:330790</t>
  </si>
  <si>
    <t>NF:054660</t>
  </si>
  <si>
    <t>CONDOMINIO JOMAR MORAES</t>
  </si>
  <si>
    <t>BRASIL MINERACAOCONDOMINIO JOMAR MORAESBRITA 0</t>
  </si>
  <si>
    <t>NF:0330598</t>
  </si>
  <si>
    <t>NF:346868</t>
  </si>
  <si>
    <t>NF:330809</t>
  </si>
  <si>
    <t>NF:330605</t>
  </si>
  <si>
    <t>NF:346961</t>
  </si>
  <si>
    <t>NF:330759</t>
  </si>
  <si>
    <t>NF:330824</t>
  </si>
  <si>
    <t>NF:330806</t>
  </si>
  <si>
    <t>NF:3405</t>
  </si>
  <si>
    <t>NF:330833</t>
  </si>
  <si>
    <t>NF:330825</t>
  </si>
  <si>
    <t>NF:330858</t>
  </si>
  <si>
    <t>NF:63831, NF:63832</t>
  </si>
  <si>
    <t>NF:330851</t>
  </si>
  <si>
    <t>NF:63845, NF:63846</t>
  </si>
  <si>
    <t>NF:330883</t>
  </si>
  <si>
    <t>NF:330874</t>
  </si>
  <si>
    <t>NF:330832</t>
  </si>
  <si>
    <t>NF:330859</t>
  </si>
  <si>
    <t>NF:0330768</t>
  </si>
  <si>
    <t>RODOVIARIA PINHEIRO</t>
  </si>
  <si>
    <t>NF:63849, NF:63850</t>
  </si>
  <si>
    <t>SERVENGRODOVIARIA PINHEIROPÓ DE BRITA</t>
  </si>
  <si>
    <t>NF:330903</t>
  </si>
  <si>
    <t>NF:, 330778</t>
  </si>
  <si>
    <t>NF:330857</t>
  </si>
  <si>
    <t>NF:63759, NF:63760</t>
  </si>
  <si>
    <t>NF:63784, NF:63785</t>
  </si>
  <si>
    <t>NF:330847</t>
  </si>
  <si>
    <t>NF:347059</t>
  </si>
  <si>
    <t>NF:347096</t>
  </si>
  <si>
    <t>NF:054680</t>
  </si>
  <si>
    <t>MINERADORA PORTO FRANCOVALE NOVA VIDA KM356RACHÃOZINHO</t>
  </si>
  <si>
    <t>NF:330860</t>
  </si>
  <si>
    <t>NF:330877</t>
  </si>
  <si>
    <t>NF:330901</t>
  </si>
  <si>
    <t>TK:1827</t>
  </si>
  <si>
    <t>NF:347084</t>
  </si>
  <si>
    <t>NF:330846</t>
  </si>
  <si>
    <t>NF:63822, NF:63823</t>
  </si>
  <si>
    <t>NF:063838, NF:063839</t>
  </si>
  <si>
    <t>NF:330906</t>
  </si>
  <si>
    <t>NF:330900</t>
  </si>
  <si>
    <t>NF:63855, NF:63856</t>
  </si>
  <si>
    <t>NF:63682</t>
  </si>
  <si>
    <t>NF:3408</t>
  </si>
  <si>
    <t>NF:347187</t>
  </si>
  <si>
    <t>NF:347190</t>
  </si>
  <si>
    <t>NF:330917</t>
  </si>
  <si>
    <t>TK:6604</t>
  </si>
  <si>
    <t>NF:330948</t>
  </si>
  <si>
    <t>NF:347226</t>
  </si>
  <si>
    <t>NF:347220</t>
  </si>
  <si>
    <t>TK:6608</t>
  </si>
  <si>
    <t>NF:348218</t>
  </si>
  <si>
    <t>TK:6615</t>
  </si>
  <si>
    <t>NF:51329</t>
  </si>
  <si>
    <t>NF:330911</t>
  </si>
  <si>
    <t>NF:0330683</t>
  </si>
  <si>
    <t>NF:330923</t>
  </si>
  <si>
    <t>NF:347217</t>
  </si>
  <si>
    <t>NF:347267</t>
  </si>
  <si>
    <t>NF:330981</t>
  </si>
  <si>
    <t>NF:063841, NF:063842</t>
  </si>
  <si>
    <t>NF:347251</t>
  </si>
  <si>
    <t>NF:330607</t>
  </si>
  <si>
    <t>NF:347247</t>
  </si>
  <si>
    <t>NF:63875, NF:63876</t>
  </si>
  <si>
    <t>NF:347098</t>
  </si>
  <si>
    <t>NF:347209</t>
  </si>
  <si>
    <t>NF:347194</t>
  </si>
  <si>
    <t>NF:347231</t>
  </si>
  <si>
    <t>NF:054714</t>
  </si>
  <si>
    <t>MINERADORA PORTO FRANCOVALE NOVA VIDA KM356BGS</t>
  </si>
  <si>
    <t>NF:347218</t>
  </si>
  <si>
    <t>NF:330996</t>
  </si>
  <si>
    <t>NF:63893, NF:63894</t>
  </si>
  <si>
    <t>NF:063927, NF:063928</t>
  </si>
  <si>
    <t>NF:330979</t>
  </si>
  <si>
    <t>NF:347331</t>
  </si>
  <si>
    <t>NF:347341</t>
  </si>
  <si>
    <t>NF:347381</t>
  </si>
  <si>
    <t>NF:331012</t>
  </si>
  <si>
    <t>LUCENA BOM JESUS DAS SELVAS</t>
  </si>
  <si>
    <t>NF:347403</t>
  </si>
  <si>
    <t>MINERADORA PORTO FRANCOLUCENA BOM JESUS DAS SELVASBICA CORRIDA</t>
  </si>
  <si>
    <t>NF:347397</t>
  </si>
  <si>
    <t>NF:63915, NF:63916</t>
  </si>
  <si>
    <t>NF:347322</t>
  </si>
  <si>
    <t>NF:347387</t>
  </si>
  <si>
    <t>NF:63919, NF:63920</t>
  </si>
  <si>
    <t>NF:347245</t>
  </si>
  <si>
    <t>NF:347447</t>
  </si>
  <si>
    <t>NF:347440</t>
  </si>
  <si>
    <t>NF:54717</t>
  </si>
  <si>
    <t>NF:347324</t>
  </si>
  <si>
    <t>NF:347367</t>
  </si>
  <si>
    <t>NF:63880</t>
  </si>
  <si>
    <t>NF:63941, NF:63940</t>
  </si>
  <si>
    <t>NF:63922, NF:63923</t>
  </si>
  <si>
    <t>NF:331023</t>
  </si>
  <si>
    <t>NF:331006</t>
  </si>
  <si>
    <t>NF:347416</t>
  </si>
  <si>
    <t>NF:63917, NF:63918</t>
  </si>
  <si>
    <t>NF:347380</t>
  </si>
  <si>
    <t>NF:347415</t>
  </si>
  <si>
    <t>NF:331056</t>
  </si>
  <si>
    <t>NF:347348</t>
  </si>
  <si>
    <t>NF:347345</t>
  </si>
  <si>
    <t>NF:347378</t>
  </si>
  <si>
    <t>NF:331037</t>
  </si>
  <si>
    <t>NF:063925, NF:063926</t>
  </si>
  <si>
    <t>NF:63933</t>
  </si>
  <si>
    <t>NF:063951, NF:0639522</t>
  </si>
  <si>
    <t>NF:331016</t>
  </si>
  <si>
    <t>NF:331036</t>
  </si>
  <si>
    <t>NF:347510</t>
  </si>
  <si>
    <t>NF:331068</t>
  </si>
  <si>
    <t>NF:3410</t>
  </si>
  <si>
    <t>NF:347560</t>
  </si>
  <si>
    <t>NF:63957, NF:63958</t>
  </si>
  <si>
    <t>NF:347550</t>
  </si>
  <si>
    <t>NF:331088</t>
  </si>
  <si>
    <t>NF:347509</t>
  </si>
  <si>
    <t>NF:347556</t>
  </si>
  <si>
    <t>NF:331086</t>
  </si>
  <si>
    <t>NF:347557</t>
  </si>
  <si>
    <t>NF:331102</t>
  </si>
  <si>
    <t>NF:63983, NF:63984</t>
  </si>
  <si>
    <t>NF:347501</t>
  </si>
  <si>
    <t>NF:347417</t>
  </si>
  <si>
    <t>NF:347610</t>
  </si>
  <si>
    <t>NF:347653</t>
  </si>
  <si>
    <t>NF:347514</t>
  </si>
  <si>
    <t>NF:347571</t>
  </si>
  <si>
    <t>NF:54744</t>
  </si>
  <si>
    <t>MINERADORA PORTO FRANCO MAVALE CIDELANDIA KM591RACHÃOZINHO</t>
  </si>
  <si>
    <t>NF:331144</t>
  </si>
  <si>
    <t>NF:347495, NF:347495</t>
  </si>
  <si>
    <t>NF:347530</t>
  </si>
  <si>
    <t>NF:054758</t>
  </si>
  <si>
    <t>MINERADORA PORTO FRANCO - MACIDELANDIARACHÃO</t>
  </si>
  <si>
    <t>NF:347634</t>
  </si>
  <si>
    <t>NF:63976, NF:63977</t>
  </si>
  <si>
    <t>NF:63981, NF:63982</t>
  </si>
  <si>
    <t>NF:347615</t>
  </si>
  <si>
    <t>NF:347626</t>
  </si>
  <si>
    <t>NF:331155</t>
  </si>
  <si>
    <t>NF:063972, NF:063973</t>
  </si>
  <si>
    <t>NF:33157</t>
  </si>
  <si>
    <t>NF:347691</t>
  </si>
  <si>
    <t>NF:331160</t>
  </si>
  <si>
    <t>NF:63969, NF:63970</t>
  </si>
  <si>
    <t>NF:63967, NF:63968</t>
  </si>
  <si>
    <t>NF:63979, NF:63980</t>
  </si>
  <si>
    <t>NF:54771</t>
  </si>
  <si>
    <t>NF:54757</t>
  </si>
  <si>
    <t>NF:347746</t>
  </si>
  <si>
    <t>NF:347749</t>
  </si>
  <si>
    <t>NF:331140</t>
  </si>
  <si>
    <t>NF:347739</t>
  </si>
  <si>
    <t>NF:347799</t>
  </si>
  <si>
    <t>NF:347793</t>
  </si>
  <si>
    <t>NF:064003, NF:064004</t>
  </si>
  <si>
    <t>NF:331183</t>
  </si>
  <si>
    <t>NF:331159</t>
  </si>
  <si>
    <t>NF:331177</t>
  </si>
  <si>
    <t>NF:347754</t>
  </si>
  <si>
    <t>347841</t>
  </si>
  <si>
    <t>NF:347747</t>
  </si>
  <si>
    <t>NF:347817</t>
  </si>
  <si>
    <t>NF:347624</t>
  </si>
  <si>
    <t>NF:331227</t>
  </si>
  <si>
    <t>NF:331243</t>
  </si>
  <si>
    <t>NF:331206</t>
  </si>
  <si>
    <t>NF:64034, NF:64035</t>
  </si>
  <si>
    <t>NF:331200</t>
  </si>
  <si>
    <t>NF:331184</t>
  </si>
  <si>
    <t>NF:064032, NF:064033</t>
  </si>
  <si>
    <t>NF:377885</t>
  </si>
  <si>
    <t>NF:347876</t>
  </si>
  <si>
    <t>NF:0347501</t>
  </si>
  <si>
    <t>NF:331239</t>
  </si>
  <si>
    <t>NF:064045, NF:064046</t>
  </si>
  <si>
    <t>NF:347909</t>
  </si>
  <si>
    <t>NF:63998</t>
  </si>
  <si>
    <t>NF:64007, NF:64008</t>
  </si>
  <si>
    <t>NF:347692</t>
  </si>
  <si>
    <t>NF:331244</t>
  </si>
  <si>
    <t>NF:331288</t>
  </si>
  <si>
    <t>NF:347966</t>
  </si>
  <si>
    <t>NF:348018</t>
  </si>
  <si>
    <t>NF:331281</t>
  </si>
  <si>
    <t>NF:347989</t>
  </si>
  <si>
    <t>NF:331328</t>
  </si>
  <si>
    <t>NF:331287</t>
  </si>
  <si>
    <t>NF:348001</t>
  </si>
  <si>
    <t>NF:348038</t>
  </si>
  <si>
    <t>NF:348007</t>
  </si>
  <si>
    <t>NF:348035</t>
  </si>
  <si>
    <t>NF:348070</t>
  </si>
  <si>
    <t>NF:347952</t>
  </si>
  <si>
    <t>NF:348014</t>
  </si>
  <si>
    <t>NF:348083</t>
  </si>
  <si>
    <t>NF:348044</t>
  </si>
  <si>
    <t>NF:347954</t>
  </si>
  <si>
    <t>NF:348016</t>
  </si>
  <si>
    <t>NF:348075</t>
  </si>
  <si>
    <t>NF:64061</t>
  </si>
  <si>
    <t>NF:0331159</t>
  </si>
  <si>
    <t>NF:347980</t>
  </si>
  <si>
    <t>NF:348034</t>
  </si>
  <si>
    <t>NF:64091, NF:64092</t>
  </si>
  <si>
    <t>NF:64093, NF:64094</t>
  </si>
  <si>
    <t>NF:64089, NF:64090</t>
  </si>
  <si>
    <t>NF:064087, NF:064088</t>
  </si>
  <si>
    <t>NF:331394</t>
  </si>
  <si>
    <t>NF:348149</t>
  </si>
  <si>
    <t>NF:348172</t>
  </si>
  <si>
    <t>NF:331370</t>
  </si>
  <si>
    <t>NF:348152</t>
  </si>
  <si>
    <t>NF:348193</t>
  </si>
  <si>
    <t>NF:331442</t>
  </si>
  <si>
    <t>NF:331451</t>
  </si>
  <si>
    <t>NF:348227</t>
  </si>
  <si>
    <t>NF:348205</t>
  </si>
  <si>
    <t>NF:348223</t>
  </si>
  <si>
    <t>NF:64110, NF:64111</t>
  </si>
  <si>
    <t>NF:348142</t>
  </si>
  <si>
    <t>NF:348187</t>
  </si>
  <si>
    <t>NF:331474</t>
  </si>
  <si>
    <t>NF:54791</t>
  </si>
  <si>
    <t>MINERADORA PORTO FRANCOVALE NOVA VIDA KM356RACHÃO</t>
  </si>
  <si>
    <t>NF:348131</t>
  </si>
  <si>
    <t>NF:0331177</t>
  </si>
  <si>
    <t>NF:331499</t>
  </si>
  <si>
    <t>NF:64083, NF:64084</t>
  </si>
  <si>
    <t>NF:348150</t>
  </si>
  <si>
    <t>NF:348212</t>
  </si>
  <si>
    <t>NF:331448</t>
  </si>
  <si>
    <t>NF:331489</t>
  </si>
  <si>
    <t>NF:348067</t>
  </si>
  <si>
    <t>NF:348197</t>
  </si>
  <si>
    <t>NF:348138</t>
  </si>
  <si>
    <t>NF:348194</t>
  </si>
  <si>
    <t>NF:331481</t>
  </si>
  <si>
    <t>NF:64116</t>
  </si>
  <si>
    <t>NF:348171</t>
  </si>
  <si>
    <t>NF:348226</t>
  </si>
  <si>
    <t>NF:054814</t>
  </si>
  <si>
    <t>NF:64085/64086</t>
  </si>
  <si>
    <t>NF:331504</t>
  </si>
  <si>
    <t>NF:331503</t>
  </si>
  <si>
    <t>NF:331518</t>
  </si>
  <si>
    <t>NF:348353</t>
  </si>
  <si>
    <t>NF:331527</t>
  </si>
  <si>
    <t>NF:331472</t>
  </si>
  <si>
    <t>NF:348305</t>
  </si>
  <si>
    <t>NF:331554</t>
  </si>
  <si>
    <t>NF:348369</t>
  </si>
  <si>
    <t>NF:348397</t>
  </si>
  <si>
    <t>NF:348374</t>
  </si>
  <si>
    <t>GRANORTEBEIRA RIOBRITA 1</t>
  </si>
  <si>
    <t>NF:331560</t>
  </si>
  <si>
    <t>NF:348416</t>
  </si>
  <si>
    <t>NF:348426</t>
  </si>
  <si>
    <t>NF:348307</t>
  </si>
  <si>
    <t>NF:331564</t>
  </si>
  <si>
    <t>NF:331565</t>
  </si>
  <si>
    <t>NF:348377</t>
  </si>
  <si>
    <t>NF:348431</t>
  </si>
  <si>
    <t>NF:348304</t>
  </si>
  <si>
    <t>NF:348380</t>
  </si>
  <si>
    <t>TK:6717</t>
  </si>
  <si>
    <t>NF:348342</t>
  </si>
  <si>
    <t>NF:348406</t>
  </si>
  <si>
    <t>NF:331587</t>
  </si>
  <si>
    <t>NF:348354</t>
  </si>
  <si>
    <t>NF:348417</t>
  </si>
  <si>
    <t>NF:348244</t>
  </si>
  <si>
    <t>NF:348359</t>
  </si>
  <si>
    <t>NF:331593</t>
  </si>
  <si>
    <t>NF:340302</t>
  </si>
  <si>
    <t>NF:348370</t>
  </si>
  <si>
    <t>NF:331576</t>
  </si>
  <si>
    <t>NF:348313</t>
  </si>
  <si>
    <t>NF:348333</t>
  </si>
  <si>
    <t>NF:348408</t>
  </si>
  <si>
    <t>NF:348365</t>
  </si>
  <si>
    <t>NF:348451</t>
  </si>
  <si>
    <t>NF:348448</t>
  </si>
  <si>
    <t>NF:331609</t>
  </si>
  <si>
    <t>NF:348500</t>
  </si>
  <si>
    <t>NF:348398</t>
  </si>
  <si>
    <t>NF:348348</t>
  </si>
  <si>
    <t>NF:348551</t>
  </si>
  <si>
    <t>NF:331650</t>
  </si>
  <si>
    <t>NF:331647</t>
  </si>
  <si>
    <t>NF:348593</t>
  </si>
  <si>
    <t>NF:348537</t>
  </si>
  <si>
    <t>NF:348521</t>
  </si>
  <si>
    <t>NF:348485</t>
  </si>
  <si>
    <t>NF:348606</t>
  </si>
  <si>
    <t>NF:348604</t>
  </si>
  <si>
    <t>NF:348484</t>
  </si>
  <si>
    <t>NF:348517</t>
  </si>
  <si>
    <t>NF:0347952</t>
  </si>
  <si>
    <t>NF:348505</t>
  </si>
  <si>
    <t>NF:348569</t>
  </si>
  <si>
    <t>NF:438350</t>
  </si>
  <si>
    <t>NF:348486</t>
  </si>
  <si>
    <t>NF:348550</t>
  </si>
  <si>
    <t>NF:331673</t>
  </si>
  <si>
    <t>NF:331678</t>
  </si>
  <si>
    <t>NF:331681</t>
  </si>
  <si>
    <t>NF:331640</t>
  </si>
  <si>
    <t>NF:331634</t>
  </si>
  <si>
    <t>NF:348427</t>
  </si>
  <si>
    <t>NF:348534</t>
  </si>
  <si>
    <t>NF:331697</t>
  </si>
  <si>
    <t>NF:348666</t>
  </si>
  <si>
    <t>NF:348669</t>
  </si>
  <si>
    <t>NF:348673</t>
  </si>
  <si>
    <t>NF:348674</t>
  </si>
  <si>
    <t>NF:331722</t>
  </si>
  <si>
    <t>NF:348646</t>
  </si>
  <si>
    <t>NF:331713</t>
  </si>
  <si>
    <t>NF:331709</t>
  </si>
  <si>
    <t>NF:348716</t>
  </si>
  <si>
    <t>NF:54840</t>
  </si>
  <si>
    <t>NF:331718</t>
  </si>
  <si>
    <t>NF:348736</t>
  </si>
  <si>
    <t>NF:348746</t>
  </si>
  <si>
    <t>NF:64182, NF:64183</t>
  </si>
  <si>
    <t>NF:331740</t>
  </si>
  <si>
    <t>NF:64065, NF:64066</t>
  </si>
  <si>
    <t>NF:358670</t>
  </si>
  <si>
    <t>NF:348740</t>
  </si>
  <si>
    <t>NF:348745</t>
  </si>
  <si>
    <t>NF:331752</t>
  </si>
  <si>
    <t>NF:348561</t>
  </si>
  <si>
    <t>NF:348664</t>
  </si>
  <si>
    <t>NF:331763</t>
  </si>
  <si>
    <t>NF:348722</t>
  </si>
  <si>
    <t>NF:348761</t>
  </si>
  <si>
    <t>NF:348650</t>
  </si>
  <si>
    <t>NF:348687</t>
  </si>
  <si>
    <t>NF:348719</t>
  </si>
  <si>
    <t>NF:348520</t>
  </si>
  <si>
    <t>NF:348592</t>
  </si>
  <si>
    <t>NF:348691</t>
  </si>
  <si>
    <t>NF:348739</t>
  </si>
  <si>
    <t>NF:348677</t>
  </si>
  <si>
    <t>NF:348652</t>
  </si>
  <si>
    <t>NF:341730</t>
  </si>
  <si>
    <t>BRASIL MINERACAODEPOSITO DISTRITOPÓ DE BRITA</t>
  </si>
  <si>
    <t>NF:331750</t>
  </si>
  <si>
    <t>NF:348641</t>
  </si>
  <si>
    <t>NF:348727</t>
  </si>
  <si>
    <t>NF:348595</t>
  </si>
  <si>
    <t>NF:331744</t>
  </si>
  <si>
    <t>NF:54831</t>
  </si>
  <si>
    <t>NF:331783</t>
  </si>
  <si>
    <t>NF:348738</t>
  </si>
  <si>
    <t>NF:64243, NF:64254</t>
  </si>
  <si>
    <t>NF:348776</t>
  </si>
  <si>
    <t>NF:438844</t>
  </si>
  <si>
    <t>NF:348828</t>
  </si>
  <si>
    <t>NF:348837</t>
  </si>
  <si>
    <t>NF:348782</t>
  </si>
  <si>
    <t>NF:331795</t>
  </si>
  <si>
    <t>NF:331760</t>
  </si>
  <si>
    <t>NF:348814</t>
  </si>
  <si>
    <t>NF:348843</t>
  </si>
  <si>
    <t>NF:331778</t>
  </si>
  <si>
    <t>NF:348851</t>
  </si>
  <si>
    <t>NF:331802</t>
  </si>
  <si>
    <t>NF:348826</t>
  </si>
  <si>
    <t>NF:348975</t>
  </si>
  <si>
    <t>NF:331741</t>
  </si>
  <si>
    <t>NF:331837</t>
  </si>
  <si>
    <t>NF:331844</t>
  </si>
  <si>
    <t>NF:331827</t>
  </si>
  <si>
    <t>NF:348748</t>
  </si>
  <si>
    <t>NF:054863</t>
  </si>
  <si>
    <t>NF:331882</t>
  </si>
  <si>
    <t>NF:348747</t>
  </si>
  <si>
    <t>NF:331883</t>
  </si>
  <si>
    <t>NF:331847</t>
  </si>
  <si>
    <t>NF:348959</t>
  </si>
  <si>
    <t>NF:348969</t>
  </si>
  <si>
    <t>NF:64336, NF:64337</t>
  </si>
  <si>
    <t>NF:348998</t>
  </si>
  <si>
    <t>NF:348989</t>
  </si>
  <si>
    <t>NF:331914</t>
  </si>
  <si>
    <t>NF:331894</t>
  </si>
  <si>
    <t>NF:64340, NF:64341</t>
  </si>
  <si>
    <t>NF:348853</t>
  </si>
  <si>
    <t>NF:348971</t>
  </si>
  <si>
    <t>NF:64351</t>
  </si>
  <si>
    <t>NF:348996</t>
  </si>
  <si>
    <t>NF:331872</t>
  </si>
  <si>
    <t>GRANORTEVETORBRITA 0</t>
  </si>
  <si>
    <t>NF:348968</t>
  </si>
  <si>
    <t>NF:349036</t>
  </si>
  <si>
    <t>NF:64369, NF:64370</t>
  </si>
  <si>
    <t>NF:349059</t>
  </si>
  <si>
    <t>NF:064373, NF:064374</t>
  </si>
  <si>
    <t>NF:64371, NF:64372</t>
  </si>
  <si>
    <t>NF:54861</t>
  </si>
  <si>
    <t>NF:331884</t>
  </si>
  <si>
    <t>NF:348963</t>
  </si>
  <si>
    <t>NF:0348014</t>
  </si>
  <si>
    <t>NF:348958</t>
  </si>
  <si>
    <t>NF:349028</t>
  </si>
  <si>
    <t>NF:348960</t>
  </si>
  <si>
    <t>NF:349003</t>
  </si>
  <si>
    <t>NF:331902</t>
  </si>
  <si>
    <t>NF:349056</t>
  </si>
  <si>
    <t>TK:331901</t>
  </si>
  <si>
    <t>NF:349071</t>
  </si>
  <si>
    <t>NF:054875</t>
  </si>
  <si>
    <t>NF:348991</t>
  </si>
  <si>
    <t>NF:349047</t>
  </si>
  <si>
    <t>NF:54456, NF:54497</t>
  </si>
  <si>
    <t>NF:54462, NF:54463</t>
  </si>
  <si>
    <t>NF:001206</t>
  </si>
  <si>
    <t>CBM MINERADORAPALMEIROPOLIS-TOPÓ DE BRITA</t>
  </si>
  <si>
    <t xml:space="preserve">GURUPI -TO </t>
  </si>
  <si>
    <t>NF:054469</t>
  </si>
  <si>
    <t>NF:054480</t>
  </si>
  <si>
    <t>NF:054475</t>
  </si>
  <si>
    <t>NF:001210</t>
  </si>
  <si>
    <t>NF:054500</t>
  </si>
  <si>
    <t>NF:6405</t>
  </si>
  <si>
    <t>NF:6308</t>
  </si>
  <si>
    <t>AGUIARNOPOLIS</t>
  </si>
  <si>
    <t>NF:6388</t>
  </si>
  <si>
    <t>MINERADORA PORTO FRANCOAGUIARNOPOLISPÓ DE BRITA</t>
  </si>
  <si>
    <t>NF:6377</t>
  </si>
  <si>
    <t>NF:54493, NF:54494</t>
  </si>
  <si>
    <t>NF:001214</t>
  </si>
  <si>
    <t>NF:001219</t>
  </si>
  <si>
    <t>NF:001223</t>
  </si>
  <si>
    <t>NF:6477</t>
  </si>
  <si>
    <t>NF:6479</t>
  </si>
  <si>
    <t>NF:6483</t>
  </si>
  <si>
    <t>NF:54539</t>
  </si>
  <si>
    <t>NF:001111</t>
  </si>
  <si>
    <t>MINERADORA CBM GURUPI -TOTAIPAS - TOMATERIAL</t>
  </si>
  <si>
    <t>NF:54547</t>
  </si>
  <si>
    <t>NF:54537</t>
  </si>
  <si>
    <t>NF:54567, NF:54568</t>
  </si>
  <si>
    <t>NF:054588</t>
  </si>
  <si>
    <t>NF:001112</t>
  </si>
  <si>
    <t>NF:6501</t>
  </si>
  <si>
    <t>NF:54591</t>
  </si>
  <si>
    <t>MINERADORA PORTO FRANCO - MAGRAJAU IDAN TORRESBRITA 1</t>
  </si>
  <si>
    <t>NF:001113</t>
  </si>
  <si>
    <t>NF:54603, NF:54604</t>
  </si>
  <si>
    <t>NF:54607, NF:54608</t>
  </si>
  <si>
    <t>NF:6521</t>
  </si>
  <si>
    <t>NF:6522</t>
  </si>
  <si>
    <t>NF:6523</t>
  </si>
  <si>
    <t>NF:54613</t>
  </si>
  <si>
    <t>MINERADORA PORTO FRANCOAUGUSTINOPOLIS TO (EDEC)BRITA 0</t>
  </si>
  <si>
    <t>NF:54605</t>
  </si>
  <si>
    <t>VILA QUIXABATUCUMA DUEREMATERIAL</t>
  </si>
  <si>
    <t>NF:54549</t>
  </si>
  <si>
    <t>NF:54626, NF:54627</t>
  </si>
  <si>
    <t>NF:54635</t>
  </si>
  <si>
    <t>NF:54640, NF:54641</t>
  </si>
  <si>
    <t>NF:6551</t>
  </si>
  <si>
    <t>NF:054630</t>
  </si>
  <si>
    <t>NF:54645</t>
  </si>
  <si>
    <t>MINERADORA PORTO FRANCOVALE KM 386BGS</t>
  </si>
  <si>
    <t>NF:001224</t>
  </si>
  <si>
    <t>NF:054647</t>
  </si>
  <si>
    <t>NF:001225</t>
  </si>
  <si>
    <t>NF:001246</t>
  </si>
  <si>
    <t>NF:001247</t>
  </si>
  <si>
    <t>NF:54669, NF:54670</t>
  </si>
  <si>
    <t>MINERADORA PORTO FRANCOVALE NOVA VIDA KM356MATACO</t>
  </si>
  <si>
    <t>NF:54665, NF:54666</t>
  </si>
  <si>
    <t>NF:054688</t>
  </si>
  <si>
    <t>NF:54675, NF:54676</t>
  </si>
  <si>
    <t>NF:54662</t>
  </si>
  <si>
    <t>NF:54704</t>
  </si>
  <si>
    <t>NF:054696</t>
  </si>
  <si>
    <t>NF:54699</t>
  </si>
  <si>
    <t>NF:54702</t>
  </si>
  <si>
    <t>NF:6537</t>
  </si>
  <si>
    <t>NF:54705, NF:54706</t>
  </si>
  <si>
    <t>NF:6611</t>
  </si>
  <si>
    <t>NF:54726, NF:54727</t>
  </si>
  <si>
    <t>NF:6618</t>
  </si>
  <si>
    <t>NF:001251</t>
  </si>
  <si>
    <t>NF:001253</t>
  </si>
  <si>
    <t>NF:001254</t>
  </si>
  <si>
    <t>NF:001256</t>
  </si>
  <si>
    <t>NF:54736, NF:54737</t>
  </si>
  <si>
    <t>NF:54724, NF:54725</t>
  </si>
  <si>
    <t>NF:54760, NF:54761</t>
  </si>
  <si>
    <t>NF:54780</t>
  </si>
  <si>
    <t>MINERADORA PORTO FRANCO - MAVALE KM 438RACHÃO</t>
  </si>
  <si>
    <t>NF:54783, NF:54384</t>
  </si>
  <si>
    <t>NF:054743</t>
  </si>
  <si>
    <t>NF:054732</t>
  </si>
  <si>
    <t>NF:054768</t>
  </si>
  <si>
    <t>NF:054788</t>
  </si>
  <si>
    <t>VLI IMPERATRIZIMPERATRIZBRITA 0</t>
  </si>
  <si>
    <t>NF:54787</t>
  </si>
  <si>
    <t>NF:054755</t>
  </si>
  <si>
    <t>NF:54793, NF:54794</t>
  </si>
  <si>
    <t>NF:054797</t>
  </si>
  <si>
    <t>NF:001220</t>
  </si>
  <si>
    <t>NF:054795</t>
  </si>
  <si>
    <t>NF:001221</t>
  </si>
  <si>
    <t>NF:54807, NF:54808</t>
  </si>
  <si>
    <t>NF:54816, NF:54817</t>
  </si>
  <si>
    <t>NF:054838</t>
  </si>
  <si>
    <t>NF:054809</t>
  </si>
  <si>
    <t>NF:001227</t>
  </si>
  <si>
    <t>VILA QUIXABA-TODUERE-TOMATERIAL</t>
  </si>
  <si>
    <t>NF:54835, NF:54836</t>
  </si>
  <si>
    <t>NF:001228</t>
  </si>
  <si>
    <t>NF:001229</t>
  </si>
  <si>
    <t>NF:001266</t>
  </si>
  <si>
    <t>CBM MINERADORAPALMEIROPOLIS-TOBRITA 0</t>
  </si>
  <si>
    <t>NF:54857, NF:54858</t>
  </si>
  <si>
    <t>FRETE CARRADAS JUNHO 2026</t>
  </si>
  <si>
    <t>VALOR</t>
  </si>
  <si>
    <t>% TOTAL</t>
  </si>
  <si>
    <t>GURUPI - TO</t>
  </si>
  <si>
    <t>FRETE CARRADA JULHO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</si>
</sst>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0"/>
      <color rgb="FF3F3F3F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6"/>
      <color rgb="FFFFC000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i/>
      <sz val="18"/>
      <color theme="0"/>
      <name val="Aptos Narrow"/>
      <family val="2"/>
      <scheme val="minor"/>
    </font>
    <font>
      <sz val="12"/>
      <color rgb="FFFFC000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sz val="11"/>
      <color rgb="FF062A8A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0.5"/>
      <color rgb="FF00206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062A8A"/>
        <bgColor indexed="64"/>
      </patternFill>
    </fill>
    <fill>
      <patternFill patternType="solid">
        <fgColor rgb="FFFCC919"/>
        <bgColor indexed="64"/>
      </patternFill>
    </fill>
    <fill>
      <patternFill patternType="solid">
        <fgColor rgb="FFFDCD1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9" tint="0.79998168889431442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2060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indexed="64"/>
      </bottom>
      <diagonal/>
    </border>
    <border>
      <left/>
      <right style="thin">
        <color theme="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theme="0"/>
      </left>
      <right style="thin">
        <color theme="0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theme="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9" fillId="34" borderId="10" xfId="0" applyFont="1" applyFill="1" applyBorder="1" applyAlignment="1">
      <alignment horizontal="left" vertical="center"/>
    </xf>
    <xf numFmtId="0" fontId="0" fillId="34" borderId="10" xfId="0" applyFill="1" applyBorder="1"/>
    <xf numFmtId="0" fontId="10" fillId="34" borderId="10" xfId="10" applyNumberFormat="1" applyFill="1" applyBorder="1" applyAlignment="1">
      <alignment horizontal="left" vertical="center"/>
    </xf>
    <xf numFmtId="0" fontId="10" fillId="34" borderId="14" xfId="10" applyNumberForma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4" fontId="19" fillId="34" borderId="26" xfId="0" applyNumberFormat="1" applyFont="1" applyFill="1" applyBorder="1" applyAlignment="1">
      <alignment horizontal="center" vertical="center"/>
    </xf>
    <xf numFmtId="0" fontId="19" fillId="34" borderId="26" xfId="0" applyFont="1" applyFill="1" applyBorder="1" applyAlignment="1">
      <alignment horizontal="center" vertical="center"/>
    </xf>
    <xf numFmtId="0" fontId="19" fillId="36" borderId="26" xfId="0" applyFont="1" applyFill="1" applyBorder="1" applyAlignment="1">
      <alignment horizontal="center" vertical="center"/>
    </xf>
    <xf numFmtId="164" fontId="19" fillId="34" borderId="10" xfId="0" applyNumberFormat="1" applyFont="1" applyFill="1" applyBorder="1" applyAlignment="1">
      <alignment horizontal="center" vertical="center"/>
    </xf>
    <xf numFmtId="14" fontId="19" fillId="36" borderId="26" xfId="0" applyNumberFormat="1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3" fontId="19" fillId="36" borderId="26" xfId="0" applyNumberFormat="1" applyFont="1" applyFill="1" applyBorder="1" applyAlignment="1">
      <alignment horizontal="center" vertical="center"/>
    </xf>
    <xf numFmtId="3" fontId="19" fillId="34" borderId="26" xfId="0" applyNumberFormat="1" applyFont="1" applyFill="1" applyBorder="1" applyAlignment="1">
      <alignment horizontal="center" vertical="center"/>
    </xf>
    <xf numFmtId="0" fontId="13" fillId="35" borderId="27" xfId="0" applyFont="1" applyFill="1" applyBorder="1" applyAlignment="1">
      <alignment horizontal="center"/>
    </xf>
    <xf numFmtId="0" fontId="13" fillId="35" borderId="28" xfId="0" applyFont="1" applyFill="1" applyBorder="1" applyAlignment="1">
      <alignment horizontal="center"/>
    </xf>
    <xf numFmtId="164" fontId="13" fillId="35" borderId="28" xfId="0" applyNumberFormat="1" applyFont="1" applyFill="1" applyBorder="1" applyAlignment="1">
      <alignment horizontal="center"/>
    </xf>
    <xf numFmtId="0" fontId="13" fillId="35" borderId="29" xfId="0" applyFont="1" applyFill="1" applyBorder="1" applyAlignment="1">
      <alignment horizontal="center"/>
    </xf>
    <xf numFmtId="164" fontId="19" fillId="34" borderId="13" xfId="0" applyNumberFormat="1" applyFont="1" applyFill="1" applyBorder="1" applyAlignment="1">
      <alignment horizontal="center" vertical="center"/>
    </xf>
    <xf numFmtId="0" fontId="13" fillId="35" borderId="30" xfId="0" applyFont="1" applyFill="1" applyBorder="1" applyAlignment="1">
      <alignment horizontal="center"/>
    </xf>
    <xf numFmtId="0" fontId="13" fillId="35" borderId="31" xfId="0" applyFont="1" applyFill="1" applyBorder="1" applyAlignment="1">
      <alignment horizontal="center"/>
    </xf>
    <xf numFmtId="14" fontId="22" fillId="34" borderId="15" xfId="10" applyNumberFormat="1" applyFont="1" applyFill="1" applyBorder="1" applyAlignment="1">
      <alignment horizontal="center" vertical="center"/>
    </xf>
    <xf numFmtId="0" fontId="22" fillId="34" borderId="15" xfId="1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64" fontId="0" fillId="0" borderId="15" xfId="0" applyNumberFormat="1" applyBorder="1"/>
    <xf numFmtId="0" fontId="22" fillId="0" borderId="15" xfId="10" applyNumberFormat="1" applyFont="1" applyFill="1" applyBorder="1" applyAlignment="1">
      <alignment horizontal="center" vertical="center"/>
    </xf>
    <xf numFmtId="2" fontId="22" fillId="34" borderId="15" xfId="10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" fontId="22" fillId="34" borderId="15" xfId="10" applyNumberFormat="1" applyFont="1" applyFill="1" applyBorder="1" applyAlignment="1">
      <alignment horizontal="center" vertical="center"/>
    </xf>
    <xf numFmtId="0" fontId="22" fillId="34" borderId="15" xfId="10" applyFont="1" applyFill="1" applyBorder="1" applyAlignment="1">
      <alignment horizontal="center"/>
    </xf>
    <xf numFmtId="0" fontId="22" fillId="0" borderId="15" xfId="10" applyNumberFormat="1" applyFont="1" applyFill="1" applyBorder="1" applyAlignment="1">
      <alignment horizontal="center"/>
    </xf>
    <xf numFmtId="2" fontId="22" fillId="34" borderId="15" xfId="10" applyNumberFormat="1" applyFont="1" applyFill="1" applyBorder="1" applyAlignment="1">
      <alignment horizontal="center"/>
    </xf>
    <xf numFmtId="14" fontId="22" fillId="0" borderId="15" xfId="10" applyNumberFormat="1" applyFont="1" applyFill="1" applyBorder="1" applyAlignment="1">
      <alignment horizontal="center" vertical="center"/>
    </xf>
    <xf numFmtId="0" fontId="22" fillId="0" borderId="15" xfId="10" applyFont="1" applyFill="1" applyBorder="1" applyAlignment="1">
      <alignment horizontal="center" vertical="center"/>
    </xf>
    <xf numFmtId="0" fontId="10" fillId="34" borderId="14" xfId="0" applyFont="1" applyFill="1" applyBorder="1" applyAlignment="1">
      <alignment horizontal="left" vertical="center"/>
    </xf>
    <xf numFmtId="164" fontId="16" fillId="0" borderId="0" xfId="0" applyNumberFormat="1" applyFont="1" applyAlignment="1">
      <alignment horizontal="center"/>
    </xf>
    <xf numFmtId="0" fontId="21" fillId="0" borderId="10" xfId="1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0" fillId="34" borderId="10" xfId="10" applyNumberFormat="1" applyFill="1" applyBorder="1" applyAlignment="1">
      <alignment horizontal="center" vertical="center"/>
    </xf>
    <xf numFmtId="14" fontId="10" fillId="34" borderId="10" xfId="10" applyNumberFormat="1" applyFill="1" applyBorder="1" applyAlignment="1">
      <alignment horizontal="center" vertical="center"/>
    </xf>
    <xf numFmtId="0" fontId="10" fillId="34" borderId="5" xfId="10" applyFill="1" applyAlignment="1">
      <alignment horizontal="center"/>
    </xf>
    <xf numFmtId="0" fontId="10" fillId="34" borderId="5" xfId="10" applyFill="1" applyAlignment="1">
      <alignment horizontal="center" vertical="center"/>
    </xf>
    <xf numFmtId="2" fontId="10" fillId="34" borderId="5" xfId="10" applyNumberFormat="1" applyFill="1" applyAlignment="1">
      <alignment horizontal="center"/>
    </xf>
    <xf numFmtId="2" fontId="10" fillId="34" borderId="5" xfId="10" applyNumberFormat="1" applyFill="1" applyAlignment="1">
      <alignment horizontal="center" vertical="center"/>
    </xf>
    <xf numFmtId="0" fontId="24" fillId="34" borderId="5" xfId="10" applyFont="1" applyFill="1" applyAlignment="1">
      <alignment horizontal="center"/>
    </xf>
    <xf numFmtId="0" fontId="24" fillId="34" borderId="5" xfId="10" applyFont="1" applyFill="1" applyAlignment="1">
      <alignment horizontal="center" vertical="center"/>
    </xf>
    <xf numFmtId="0" fontId="24" fillId="0" borderId="5" xfId="10" applyFont="1" applyFill="1" applyAlignment="1">
      <alignment horizontal="center"/>
    </xf>
    <xf numFmtId="0" fontId="23" fillId="38" borderId="33" xfId="0" applyFont="1" applyFill="1" applyBorder="1" applyAlignment="1">
      <alignment horizontal="center"/>
    </xf>
    <xf numFmtId="0" fontId="23" fillId="38" borderId="0" xfId="0" applyFont="1" applyFill="1" applyAlignment="1">
      <alignment horizontal="center"/>
    </xf>
    <xf numFmtId="164" fontId="23" fillId="38" borderId="0" xfId="0" applyNumberFormat="1" applyFont="1" applyFill="1" applyAlignment="1">
      <alignment horizontal="center"/>
    </xf>
    <xf numFmtId="0" fontId="23" fillId="38" borderId="12" xfId="0" applyFont="1" applyFill="1" applyBorder="1" applyAlignment="1">
      <alignment horizontal="center"/>
    </xf>
    <xf numFmtId="0" fontId="28" fillId="33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0" fontId="0" fillId="34" borderId="0" xfId="0" applyFill="1"/>
    <xf numFmtId="14" fontId="0" fillId="34" borderId="0" xfId="0" applyNumberFormat="1" applyFill="1" applyAlignment="1">
      <alignment horizontal="center"/>
    </xf>
    <xf numFmtId="14" fontId="25" fillId="34" borderId="35" xfId="0" applyNumberFormat="1" applyFont="1" applyFill="1" applyBorder="1" applyAlignment="1">
      <alignment horizontal="center"/>
    </xf>
    <xf numFmtId="0" fontId="0" fillId="34" borderId="0" xfId="0" applyFill="1" applyAlignment="1">
      <alignment horizontal="left"/>
    </xf>
    <xf numFmtId="164" fontId="24" fillId="37" borderId="0" xfId="0" applyNumberFormat="1" applyFont="1" applyFill="1" applyAlignment="1">
      <alignment horizontal="center"/>
    </xf>
    <xf numFmtId="0" fontId="21" fillId="34" borderId="37" xfId="0" applyFont="1" applyFill="1" applyBorder="1" applyAlignment="1">
      <alignment horizontal="left" vertical="center"/>
    </xf>
    <xf numFmtId="0" fontId="21" fillId="34" borderId="36" xfId="0" applyFont="1" applyFill="1" applyBorder="1" applyAlignment="1">
      <alignment horizontal="center"/>
    </xf>
    <xf numFmtId="0" fontId="0" fillId="0" borderId="3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16" fillId="0" borderId="41" xfId="0" applyNumberFormat="1" applyFont="1" applyBorder="1"/>
    <xf numFmtId="0" fontId="0" fillId="34" borderId="10" xfId="0" applyFill="1" applyBorder="1" applyAlignment="1">
      <alignment horizontal="left"/>
    </xf>
    <xf numFmtId="0" fontId="21" fillId="34" borderId="36" xfId="10" applyNumberFormat="1" applyFont="1" applyFill="1" applyBorder="1" applyAlignment="1">
      <alignment horizontal="center"/>
    </xf>
    <xf numFmtId="0" fontId="13" fillId="39" borderId="12" xfId="0" applyFont="1" applyFill="1" applyBorder="1" applyAlignment="1">
      <alignment horizontal="center" vertical="center"/>
    </xf>
    <xf numFmtId="0" fontId="18" fillId="39" borderId="32" xfId="0" applyFont="1" applyFill="1" applyBorder="1" applyAlignment="1">
      <alignment vertical="center"/>
    </xf>
    <xf numFmtId="164" fontId="18" fillId="39" borderId="32" xfId="0" applyNumberFormat="1" applyFont="1" applyFill="1" applyBorder="1" applyAlignment="1">
      <alignment horizontal="right" vertical="center"/>
    </xf>
    <xf numFmtId="0" fontId="23" fillId="40" borderId="0" xfId="0" applyFont="1" applyFill="1" applyAlignment="1">
      <alignment horizontal="center"/>
    </xf>
    <xf numFmtId="164" fontId="23" fillId="40" borderId="0" xfId="0" applyNumberFormat="1" applyFont="1" applyFill="1" applyAlignment="1">
      <alignment horizontal="center"/>
    </xf>
    <xf numFmtId="0" fontId="23" fillId="41" borderId="0" xfId="0" applyFont="1" applyFill="1" applyAlignment="1">
      <alignment horizontal="center"/>
    </xf>
    <xf numFmtId="0" fontId="0" fillId="34" borderId="36" xfId="0" applyFill="1" applyBorder="1" applyAlignment="1">
      <alignment horizontal="center"/>
    </xf>
    <xf numFmtId="14" fontId="0" fillId="34" borderId="40" xfId="0" applyNumberFormat="1" applyFill="1" applyBorder="1"/>
    <xf numFmtId="0" fontId="0" fillId="34" borderId="42" xfId="0" applyFill="1" applyBorder="1" applyAlignment="1">
      <alignment horizontal="center"/>
    </xf>
    <xf numFmtId="0" fontId="0" fillId="34" borderId="42" xfId="0" applyFill="1" applyBorder="1"/>
    <xf numFmtId="164" fontId="0" fillId="34" borderId="42" xfId="0" applyNumberFormat="1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14" fontId="0" fillId="34" borderId="35" xfId="0" applyNumberFormat="1" applyFill="1" applyBorder="1"/>
    <xf numFmtId="14" fontId="0" fillId="34" borderId="44" xfId="0" applyNumberFormat="1" applyFill="1" applyBorder="1"/>
    <xf numFmtId="0" fontId="0" fillId="34" borderId="45" xfId="0" applyFill="1" applyBorder="1" applyAlignment="1">
      <alignment horizontal="center"/>
    </xf>
    <xf numFmtId="0" fontId="0" fillId="34" borderId="45" xfId="0" applyFill="1" applyBorder="1"/>
    <xf numFmtId="164" fontId="0" fillId="34" borderId="45" xfId="0" applyNumberFormat="1" applyFill="1" applyBorder="1" applyAlignment="1">
      <alignment horizontal="center"/>
    </xf>
    <xf numFmtId="0" fontId="0" fillId="34" borderId="46" xfId="0" applyFill="1" applyBorder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31" fillId="33" borderId="0" xfId="0" applyFont="1" applyFill="1"/>
    <xf numFmtId="0" fontId="31" fillId="33" borderId="0" xfId="0" applyFont="1" applyFill="1" applyAlignment="1">
      <alignment horizontal="center"/>
    </xf>
    <xf numFmtId="164" fontId="32" fillId="33" borderId="0" xfId="0" applyNumberFormat="1" applyFont="1" applyFill="1"/>
    <xf numFmtId="164" fontId="18" fillId="33" borderId="32" xfId="0" applyNumberFormat="1" applyFont="1" applyFill="1" applyBorder="1" applyAlignment="1">
      <alignment horizontal="right" vertical="center"/>
    </xf>
    <xf numFmtId="0" fontId="18" fillId="33" borderId="32" xfId="0" applyFont="1" applyFill="1" applyBorder="1" applyAlignment="1">
      <alignment vertical="center"/>
    </xf>
    <xf numFmtId="164" fontId="18" fillId="33" borderId="32" xfId="0" applyNumberFormat="1" applyFont="1" applyFill="1" applyBorder="1" applyAlignment="1">
      <alignment vertical="center"/>
    </xf>
    <xf numFmtId="0" fontId="13" fillId="33" borderId="12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6" fillId="41" borderId="0" xfId="0" applyNumberFormat="1" applyFont="1" applyFill="1" applyAlignment="1">
      <alignment horizontal="center"/>
    </xf>
    <xf numFmtId="164" fontId="16" fillId="0" borderId="47" xfId="0" applyNumberFormat="1" applyFont="1" applyBorder="1"/>
    <xf numFmtId="164" fontId="16" fillId="0" borderId="10" xfId="0" applyNumberFormat="1" applyFont="1" applyBorder="1"/>
    <xf numFmtId="0" fontId="0" fillId="0" borderId="10" xfId="0" applyBorder="1" applyAlignment="1">
      <alignment horizontal="left"/>
    </xf>
    <xf numFmtId="0" fontId="13" fillId="33" borderId="0" xfId="0" applyFont="1" applyFill="1" applyAlignment="1">
      <alignment vertical="center"/>
    </xf>
    <xf numFmtId="0" fontId="13" fillId="33" borderId="12" xfId="0" applyFont="1" applyFill="1" applyBorder="1" applyAlignment="1">
      <alignment vertical="center"/>
    </xf>
    <xf numFmtId="0" fontId="13" fillId="33" borderId="0" xfId="0" applyFont="1" applyFill="1" applyAlignment="1">
      <alignment horizontal="center" vertical="center"/>
    </xf>
    <xf numFmtId="0" fontId="13" fillId="33" borderId="48" xfId="0" applyFont="1" applyFill="1" applyBorder="1" applyAlignment="1">
      <alignment horizontal="center" vertical="center"/>
    </xf>
    <xf numFmtId="0" fontId="0" fillId="42" borderId="3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2" borderId="3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2" borderId="1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2" borderId="4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3" borderId="49" xfId="0" applyFont="1" applyFill="1" applyBorder="1" applyAlignment="1">
      <alignment horizontal="center" vertical="center"/>
    </xf>
    <xf numFmtId="0" fontId="0" fillId="42" borderId="50" xfId="0" applyFill="1" applyBorder="1"/>
    <xf numFmtId="0" fontId="0" fillId="42" borderId="11" xfId="0" applyFill="1" applyBorder="1" applyAlignment="1">
      <alignment horizontal="center"/>
    </xf>
    <xf numFmtId="164" fontId="0" fillId="0" borderId="0" xfId="0" applyNumberFormat="1"/>
    <xf numFmtId="164" fontId="0" fillId="42" borderId="50" xfId="0" applyNumberFormat="1" applyFill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0" fillId="42" borderId="40" xfId="0" applyFill="1" applyBorder="1" applyAlignment="1">
      <alignment horizontal="center"/>
    </xf>
    <xf numFmtId="164" fontId="18" fillId="33" borderId="52" xfId="0" applyNumberFormat="1" applyFont="1" applyFill="1" applyBorder="1" applyAlignment="1">
      <alignment horizontal="center" vertical="center"/>
    </xf>
    <xf numFmtId="0" fontId="24" fillId="0" borderId="0" xfId="0" applyFont="1"/>
    <xf numFmtId="0" fontId="24" fillId="0" borderId="17" xfId="0" applyFont="1" applyBorder="1"/>
    <xf numFmtId="0" fontId="24" fillId="0" borderId="20" xfId="0" applyFont="1" applyBorder="1"/>
    <xf numFmtId="0" fontId="24" fillId="0" borderId="22" xfId="0" applyFont="1" applyBorder="1"/>
    <xf numFmtId="164" fontId="18" fillId="33" borderId="51" xfId="0" applyNumberFormat="1" applyFont="1" applyFill="1" applyBorder="1" applyAlignment="1">
      <alignment vertical="center"/>
    </xf>
    <xf numFmtId="164" fontId="18" fillId="33" borderId="53" xfId="0" applyNumberFormat="1" applyFont="1" applyFill="1" applyBorder="1" applyAlignment="1">
      <alignment vertical="center"/>
    </xf>
    <xf numFmtId="164" fontId="18" fillId="33" borderId="57" xfId="0" applyNumberFormat="1" applyFont="1" applyFill="1" applyBorder="1" applyAlignment="1">
      <alignment vertical="center"/>
    </xf>
    <xf numFmtId="14" fontId="0" fillId="43" borderId="50" xfId="0" applyNumberFormat="1" applyFill="1" applyBorder="1"/>
    <xf numFmtId="0" fontId="0" fillId="43" borderId="50" xfId="0" applyFill="1" applyBorder="1"/>
    <xf numFmtId="14" fontId="0" fillId="34" borderId="50" xfId="0" applyNumberFormat="1" applyFill="1" applyBorder="1"/>
    <xf numFmtId="0" fontId="0" fillId="34" borderId="50" xfId="0" applyFill="1" applyBorder="1"/>
    <xf numFmtId="0" fontId="0" fillId="43" borderId="50" xfId="0" applyFill="1" applyBorder="1" applyAlignment="1">
      <alignment horizontal="center"/>
    </xf>
    <xf numFmtId="0" fontId="0" fillId="34" borderId="50" xfId="0" applyFill="1" applyBorder="1" applyAlignment="1">
      <alignment horizontal="center"/>
    </xf>
    <xf numFmtId="164" fontId="0" fillId="43" borderId="50" xfId="0" applyNumberFormat="1" applyFill="1" applyBorder="1" applyAlignment="1">
      <alignment horizontal="center"/>
    </xf>
    <xf numFmtId="164" fontId="0" fillId="34" borderId="50" xfId="0" applyNumberFormat="1" applyFill="1" applyBorder="1" applyAlignment="1">
      <alignment horizontal="center"/>
    </xf>
    <xf numFmtId="164" fontId="35" fillId="40" borderId="0" xfId="0" applyNumberFormat="1" applyFont="1" applyFill="1" applyAlignment="1">
      <alignment horizontal="center"/>
    </xf>
    <xf numFmtId="0" fontId="0" fillId="0" borderId="0" xfId="0" quotePrefix="1"/>
    <xf numFmtId="0" fontId="36" fillId="33" borderId="38" xfId="0" applyFont="1" applyFill="1" applyBorder="1" applyAlignment="1">
      <alignment vertical="center" wrapText="1"/>
    </xf>
    <xf numFmtId="8" fontId="24" fillId="0" borderId="66" xfId="0" applyNumberFormat="1" applyFont="1" applyBorder="1" applyAlignment="1">
      <alignment horizontal="center" vertical="center" wrapText="1"/>
    </xf>
    <xf numFmtId="0" fontId="0" fillId="0" borderId="6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8" fontId="36" fillId="33" borderId="16" xfId="0" applyNumberFormat="1" applyFont="1" applyFill="1" applyBorder="1" applyAlignment="1">
      <alignment horizontal="center" vertical="center" wrapText="1"/>
    </xf>
    <xf numFmtId="8" fontId="24" fillId="0" borderId="32" xfId="0" applyNumberFormat="1" applyFont="1" applyBorder="1" applyAlignment="1">
      <alignment horizontal="center" vertical="center" wrapText="1"/>
    </xf>
    <xf numFmtId="0" fontId="0" fillId="0" borderId="6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23" fillId="37" borderId="0" xfId="0" applyNumberFormat="1" applyFont="1" applyFill="1" applyAlignment="1">
      <alignment horizontal="center"/>
    </xf>
    <xf numFmtId="0" fontId="23" fillId="40" borderId="14" xfId="0" applyFont="1" applyFill="1" applyBorder="1" applyAlignment="1">
      <alignment horizontal="center"/>
    </xf>
    <xf numFmtId="0" fontId="23" fillId="40" borderId="40" xfId="0" applyFont="1" applyFill="1" applyBorder="1" applyAlignment="1">
      <alignment horizontal="center"/>
    </xf>
    <xf numFmtId="0" fontId="23" fillId="40" borderId="43" xfId="0" applyFont="1" applyFill="1" applyBorder="1" applyAlignment="1">
      <alignment horizontal="center"/>
    </xf>
    <xf numFmtId="164" fontId="23" fillId="40" borderId="14" xfId="0" applyNumberFormat="1" applyFont="1" applyFill="1" applyBorder="1" applyAlignment="1">
      <alignment horizontal="center"/>
    </xf>
    <xf numFmtId="0" fontId="13" fillId="33" borderId="59" xfId="0" applyFont="1" applyFill="1" applyBorder="1" applyAlignment="1">
      <alignment horizontal="center" vertical="center" wrapText="1"/>
    </xf>
    <xf numFmtId="0" fontId="0" fillId="0" borderId="59" xfId="0" applyBorder="1"/>
    <xf numFmtId="0" fontId="0" fillId="0" borderId="47" xfId="0" applyBorder="1"/>
    <xf numFmtId="9" fontId="0" fillId="0" borderId="0" xfId="0" applyNumberFormat="1"/>
    <xf numFmtId="0" fontId="0" fillId="0" borderId="61" xfId="0" applyBorder="1"/>
    <xf numFmtId="10" fontId="36" fillId="33" borderId="63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64" xfId="0" applyBorder="1"/>
    <xf numFmtId="0" fontId="13" fillId="33" borderId="65" xfId="0" applyFont="1" applyFill="1" applyBorder="1" applyAlignment="1">
      <alignment horizontal="center" vertical="center" wrapText="1"/>
    </xf>
    <xf numFmtId="10" fontId="24" fillId="0" borderId="61" xfId="0" applyNumberFormat="1" applyFont="1" applyBorder="1" applyAlignment="1">
      <alignment horizontal="center" vertical="center" wrapText="1"/>
    </xf>
    <xf numFmtId="10" fontId="24" fillId="0" borderId="64" xfId="0" applyNumberFormat="1" applyFont="1" applyBorder="1" applyAlignment="1">
      <alignment horizontal="center" vertical="center" wrapText="1"/>
    </xf>
    <xf numFmtId="0" fontId="37" fillId="0" borderId="61" xfId="0" applyFont="1" applyBorder="1" applyAlignment="1">
      <alignment vertical="center" wrapText="1"/>
    </xf>
    <xf numFmtId="0" fontId="37" fillId="0" borderId="64" xfId="0" applyFont="1" applyBorder="1" applyAlignment="1">
      <alignment vertical="center" wrapText="1"/>
    </xf>
    <xf numFmtId="14" fontId="0" fillId="0" borderId="15" xfId="0" applyNumberFormat="1" applyBorder="1"/>
    <xf numFmtId="0" fontId="0" fillId="0" borderId="15" xfId="0" applyBorder="1"/>
    <xf numFmtId="0" fontId="33" fillId="33" borderId="11" xfId="0" applyFont="1" applyFill="1" applyBorder="1" applyAlignment="1">
      <alignment horizontal="center"/>
    </xf>
    <xf numFmtId="0" fontId="34" fillId="33" borderId="25" xfId="0" applyFont="1" applyFill="1" applyBorder="1" applyAlignment="1">
      <alignment horizontal="center"/>
    </xf>
    <xf numFmtId="0" fontId="34" fillId="33" borderId="34" xfId="0" applyFont="1" applyFill="1" applyBorder="1" applyAlignment="1">
      <alignment horizontal="center"/>
    </xf>
    <xf numFmtId="0" fontId="29" fillId="39" borderId="0" xfId="0" applyFont="1" applyFill="1" applyAlignment="1">
      <alignment horizontal="center" vertical="center"/>
    </xf>
    <xf numFmtId="0" fontId="27" fillId="33" borderId="11" xfId="0" applyFont="1" applyFill="1" applyBorder="1" applyAlignment="1">
      <alignment horizontal="center"/>
    </xf>
    <xf numFmtId="0" fontId="27" fillId="33" borderId="25" xfId="0" applyFont="1" applyFill="1" applyBorder="1" applyAlignment="1">
      <alignment horizontal="center"/>
    </xf>
    <xf numFmtId="0" fontId="27" fillId="33" borderId="34" xfId="0" applyFont="1" applyFill="1" applyBorder="1" applyAlignment="1">
      <alignment horizontal="center"/>
    </xf>
    <xf numFmtId="0" fontId="30" fillId="39" borderId="11" xfId="0" applyFont="1" applyFill="1" applyBorder="1" applyAlignment="1">
      <alignment horizontal="center" vertical="center"/>
    </xf>
    <xf numFmtId="0" fontId="30" fillId="39" borderId="25" xfId="0" applyFont="1" applyFill="1" applyBorder="1" applyAlignment="1">
      <alignment horizontal="center" vertical="center"/>
    </xf>
    <xf numFmtId="0" fontId="13" fillId="39" borderId="16" xfId="0" applyFont="1" applyFill="1" applyBorder="1" applyAlignment="1">
      <alignment horizontal="center" vertical="center"/>
    </xf>
    <xf numFmtId="0" fontId="13" fillId="39" borderId="12" xfId="0" applyFont="1" applyFill="1" applyBorder="1" applyAlignment="1">
      <alignment horizontal="center" vertical="center"/>
    </xf>
    <xf numFmtId="0" fontId="29" fillId="33" borderId="0" xfId="0" applyFont="1" applyFill="1" applyAlignment="1">
      <alignment horizontal="center" vertical="center"/>
    </xf>
    <xf numFmtId="0" fontId="30" fillId="33" borderId="11" xfId="0" applyFont="1" applyFill="1" applyBorder="1" applyAlignment="1">
      <alignment horizontal="center" vertical="center"/>
    </xf>
    <xf numFmtId="0" fontId="30" fillId="33" borderId="25" xfId="0" applyFont="1" applyFill="1" applyBorder="1" applyAlignment="1">
      <alignment horizontal="center" vertical="center"/>
    </xf>
    <xf numFmtId="0" fontId="13" fillId="33" borderId="16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30" fillId="33" borderId="54" xfId="0" applyFont="1" applyFill="1" applyBorder="1" applyAlignment="1">
      <alignment horizontal="center" vertical="center"/>
    </xf>
    <xf numFmtId="0" fontId="30" fillId="33" borderId="55" xfId="0" applyFont="1" applyFill="1" applyBorder="1" applyAlignment="1">
      <alignment horizontal="center" vertical="center"/>
    </xf>
    <xf numFmtId="0" fontId="30" fillId="33" borderId="56" xfId="0" applyFont="1" applyFill="1" applyBorder="1" applyAlignment="1">
      <alignment horizontal="center" vertical="center"/>
    </xf>
    <xf numFmtId="0" fontId="33" fillId="33" borderId="0" xfId="0" applyFont="1" applyFill="1" applyAlignment="1">
      <alignment horizontal="center" vertical="center"/>
    </xf>
    <xf numFmtId="0" fontId="33" fillId="33" borderId="36" xfId="0" applyFont="1" applyFill="1" applyBorder="1" applyAlignment="1">
      <alignment horizontal="center" vertical="center"/>
    </xf>
    <xf numFmtId="0" fontId="13" fillId="33" borderId="39" xfId="0" quotePrefix="1" applyFont="1" applyFill="1" applyBorder="1" applyAlignment="1">
      <alignment horizontal="center" vertical="center" wrapText="1"/>
    </xf>
    <xf numFmtId="0" fontId="13" fillId="33" borderId="58" xfId="0" quotePrefix="1" applyFont="1" applyFill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color rgb="FF3F3F3F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/>
      </border>
    </dxf>
    <dxf>
      <font>
        <b val="0"/>
        <color rgb="FF3F3F3F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fill>
        <patternFill patternType="solid">
          <fgColor indexed="64"/>
          <bgColor rgb="FFFDCD1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62A8A"/>
      <color rgb="FFFCC919"/>
      <color rgb="FFFDCD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JAN-26'!$E$6</c:f>
              <c:strCache>
                <c:ptCount val="1"/>
                <c:pt idx="0">
                  <c:v>VALOR </c:v>
                </c:pt>
              </c:strCache>
            </c:strRef>
          </c:tx>
          <c:spPr>
            <a:solidFill>
              <a:srgbClr val="062A8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'RESUMO JAN-26'!$D$7:$D$15</c:f>
              <c:strCache>
                <c:ptCount val="9"/>
                <c:pt idx="0">
                  <c:v>BEIRA RIO</c:v>
                </c:pt>
                <c:pt idx="1">
                  <c:v>FAC</c:v>
                </c:pt>
                <c:pt idx="2">
                  <c:v>METROPOLITANA</c:v>
                </c:pt>
                <c:pt idx="3">
                  <c:v>MINERADORA PF</c:v>
                </c:pt>
                <c:pt idx="4">
                  <c:v>OLINDA NOVA - MA</c:v>
                </c:pt>
                <c:pt idx="5">
                  <c:v>TUCUMA DUERE</c:v>
                </c:pt>
                <c:pt idx="6">
                  <c:v>UA PINHEIRO</c:v>
                </c:pt>
                <c:pt idx="7">
                  <c:v>UA SAO LUIS</c:v>
                </c:pt>
                <c:pt idx="8">
                  <c:v>TOTAL </c:v>
                </c:pt>
              </c:strCache>
            </c:strRef>
          </c:cat>
          <c:val>
            <c:numRef>
              <c:f>'RESUMO JAN-26'!$E$7:$E$15</c:f>
              <c:numCache>
                <c:formatCode>"R$"\ #,##0.00</c:formatCode>
                <c:ptCount val="9"/>
                <c:pt idx="0">
                  <c:v>32869.709999999992</c:v>
                </c:pt>
                <c:pt idx="1">
                  <c:v>1788.43</c:v>
                </c:pt>
                <c:pt idx="2">
                  <c:v>16921.939999999999</c:v>
                </c:pt>
                <c:pt idx="3">
                  <c:v>260136.47999999992</c:v>
                </c:pt>
                <c:pt idx="4">
                  <c:v>26047.31</c:v>
                </c:pt>
                <c:pt idx="5">
                  <c:v>62005.29</c:v>
                </c:pt>
                <c:pt idx="6">
                  <c:v>137884.96000000002</c:v>
                </c:pt>
                <c:pt idx="7">
                  <c:v>547286.59000000032</c:v>
                </c:pt>
                <c:pt idx="8">
                  <c:v>1084940.7100000002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0-40A2-B813-F7538B4AB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439816"/>
        <c:axId val="437435496"/>
      </c:barChart>
      <c:catAx>
        <c:axId val="4374398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435496"/>
        <c:crosses val="autoZero"/>
        <c:auto val="1"/>
        <c:lblAlgn val="ctr"/>
        <c:lblOffset val="100"/>
        <c:noMultiLvlLbl val="0"/>
      </c:catAx>
      <c:valAx>
        <c:axId val="437435496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43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CC919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FEV-26'!$E$6</c:f>
              <c:strCache>
                <c:ptCount val="1"/>
                <c:pt idx="0">
                  <c:v>VALOR </c:v>
                </c:pt>
              </c:strCache>
            </c:strRef>
          </c:tx>
          <c:spPr>
            <a:solidFill>
              <a:srgbClr val="062A8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'RESUMO FEV-26'!$D$7:$D$16</c:f>
              <c:strCache>
                <c:ptCount val="10"/>
                <c:pt idx="0">
                  <c:v>BEIRA RIO</c:v>
                </c:pt>
                <c:pt idx="1">
                  <c:v>DUERE-TO</c:v>
                </c:pt>
                <c:pt idx="2">
                  <c:v>FAC</c:v>
                </c:pt>
                <c:pt idx="3">
                  <c:v>METROPOLITANA</c:v>
                </c:pt>
                <c:pt idx="4">
                  <c:v>MINERADORA-PF</c:v>
                </c:pt>
                <c:pt idx="5">
                  <c:v>OLINDA NOVA-MA</c:v>
                </c:pt>
                <c:pt idx="6">
                  <c:v>TAIPAS-TO</c:v>
                </c:pt>
                <c:pt idx="7">
                  <c:v>UA DISTRITO</c:v>
                </c:pt>
                <c:pt idx="8">
                  <c:v>UA PINHEIRO</c:v>
                </c:pt>
                <c:pt idx="9">
                  <c:v>TOTAL</c:v>
                </c:pt>
              </c:strCache>
            </c:strRef>
          </c:cat>
          <c:val>
            <c:numRef>
              <c:f>'RESUMO FEV-26'!$E$7:$E$16</c:f>
              <c:numCache>
                <c:formatCode>"R$"\ #,##0.00</c:formatCode>
                <c:ptCount val="10"/>
                <c:pt idx="0">
                  <c:v>116717.49999999997</c:v>
                </c:pt>
                <c:pt idx="1">
                  <c:v>597.79999999999995</c:v>
                </c:pt>
                <c:pt idx="2">
                  <c:v>6456</c:v>
                </c:pt>
                <c:pt idx="3">
                  <c:v>11099.619999999999</c:v>
                </c:pt>
                <c:pt idx="4">
                  <c:v>277160.22000000003</c:v>
                </c:pt>
                <c:pt idx="5">
                  <c:v>11022.97</c:v>
                </c:pt>
                <c:pt idx="6">
                  <c:v>55220.990000000005</c:v>
                </c:pt>
                <c:pt idx="7">
                  <c:v>451681.01</c:v>
                </c:pt>
                <c:pt idx="8">
                  <c:v>9587.39</c:v>
                </c:pt>
                <c:pt idx="9">
                  <c:v>939543.5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E-4C4B-9ADC-161BE5FD9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439816"/>
        <c:axId val="437435496"/>
      </c:barChart>
      <c:catAx>
        <c:axId val="437439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435496"/>
        <c:crosses val="autoZero"/>
        <c:auto val="1"/>
        <c:lblAlgn val="ctr"/>
        <c:lblOffset val="100"/>
        <c:noMultiLvlLbl val="0"/>
      </c:catAx>
      <c:valAx>
        <c:axId val="43743549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43743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CC919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MAR-26'!$E$6</c:f>
              <c:strCache>
                <c:ptCount val="1"/>
                <c:pt idx="0">
                  <c:v>VALOR </c:v>
                </c:pt>
              </c:strCache>
            </c:strRef>
          </c:tx>
          <c:spPr>
            <a:solidFill>
              <a:srgbClr val="062A8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'RESUMO MAR-26'!$D$7:$D$18</c:f>
              <c:strCache>
                <c:ptCount val="12"/>
                <c:pt idx="0">
                  <c:v>MANUTENÇAO DE VIAS AGETO(AUGUSTINOPOLIS -TO </c:v>
                </c:pt>
                <c:pt idx="1">
                  <c:v>BEIRA RIO</c:v>
                </c:pt>
                <c:pt idx="2">
                  <c:v>DUERÉ-TO </c:v>
                </c:pt>
                <c:pt idx="3">
                  <c:v>METROPOLITANA</c:v>
                </c:pt>
                <c:pt idx="4">
                  <c:v>MINERADORA PF </c:v>
                </c:pt>
                <c:pt idx="5">
                  <c:v>EDECOMINAS </c:v>
                </c:pt>
                <c:pt idx="6">
                  <c:v>OLINDA NOVA - MA (PINHEIRO)</c:v>
                </c:pt>
                <c:pt idx="7">
                  <c:v>CONSORCIO TOCANTIS (PALMEIROPOLIS-TO)</c:v>
                </c:pt>
                <c:pt idx="8">
                  <c:v>SEMOSP SLZ </c:v>
                </c:pt>
                <c:pt idx="9">
                  <c:v>UA DISTRITO </c:v>
                </c:pt>
                <c:pt idx="10">
                  <c:v>UA PINHEIRO - MA</c:v>
                </c:pt>
                <c:pt idx="11">
                  <c:v>TOTAL</c:v>
                </c:pt>
              </c:strCache>
            </c:strRef>
          </c:cat>
          <c:val>
            <c:numRef>
              <c:f>'RESUMO MAR-26'!$E$7:$E$18</c:f>
              <c:numCache>
                <c:formatCode>"R$"\ #,##0.00</c:formatCode>
                <c:ptCount val="12"/>
                <c:pt idx="0">
                  <c:v>2251.1999999999998</c:v>
                </c:pt>
                <c:pt idx="1">
                  <c:v>100547.32</c:v>
                </c:pt>
                <c:pt idx="2">
                  <c:v>1520.55</c:v>
                </c:pt>
                <c:pt idx="3">
                  <c:v>69562</c:v>
                </c:pt>
                <c:pt idx="4">
                  <c:v>541995.13</c:v>
                </c:pt>
                <c:pt idx="5">
                  <c:v>3665.98</c:v>
                </c:pt>
                <c:pt idx="6">
                  <c:v>272743.96000000002</c:v>
                </c:pt>
                <c:pt idx="7">
                  <c:v>34282.75</c:v>
                </c:pt>
                <c:pt idx="8">
                  <c:v>40728.28</c:v>
                </c:pt>
                <c:pt idx="9">
                  <c:v>399691.78</c:v>
                </c:pt>
                <c:pt idx="10">
                  <c:v>93338.34</c:v>
                </c:pt>
                <c:pt idx="11">
                  <c:v>1560327.29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7-4758-8F0C-1FF655DE2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439816"/>
        <c:axId val="437435496"/>
      </c:barChart>
      <c:catAx>
        <c:axId val="437439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435496"/>
        <c:crosses val="autoZero"/>
        <c:auto val="1"/>
        <c:lblAlgn val="ctr"/>
        <c:lblOffset val="100"/>
        <c:noMultiLvlLbl val="0"/>
      </c:catAx>
      <c:valAx>
        <c:axId val="43743549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43743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CC919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ABR-26'!$F$6</c:f>
              <c:strCache>
                <c:ptCount val="1"/>
                <c:pt idx="0">
                  <c:v>VALOR </c:v>
                </c:pt>
              </c:strCache>
            </c:strRef>
          </c:tx>
          <c:spPr>
            <a:solidFill>
              <a:srgbClr val="062A8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strRef>
              <c:f>'RESUMO ABR-26'!$E$7:$E$18</c:f>
              <c:strCache>
                <c:ptCount val="12"/>
                <c:pt idx="0">
                  <c:v>AGRO</c:v>
                </c:pt>
                <c:pt idx="1">
                  <c:v>AUGUSTINOPOLIS-TO </c:v>
                </c:pt>
                <c:pt idx="2">
                  <c:v>BEIRA RIO</c:v>
                </c:pt>
                <c:pt idx="3">
                  <c:v>DUERE-TO</c:v>
                </c:pt>
                <c:pt idx="4">
                  <c:v>METROPOLITANA</c:v>
                </c:pt>
                <c:pt idx="5">
                  <c:v>MINERADORA PF </c:v>
                </c:pt>
                <c:pt idx="6">
                  <c:v>PALMEIROPOLIS-TO</c:v>
                </c:pt>
                <c:pt idx="7">
                  <c:v>UA DISTRITO </c:v>
                </c:pt>
                <c:pt idx="8">
                  <c:v>UA OLINDA NOVA - MA</c:v>
                </c:pt>
                <c:pt idx="9">
                  <c:v>UA PINHEIRO - MA</c:v>
                </c:pt>
                <c:pt idx="10">
                  <c:v>VETOR </c:v>
                </c:pt>
                <c:pt idx="11">
                  <c:v>TOTAL </c:v>
                </c:pt>
              </c:strCache>
            </c:strRef>
          </c:cat>
          <c:val>
            <c:numRef>
              <c:f>'RESUMO ABR-26'!$F$7:$F$18</c:f>
              <c:numCache>
                <c:formatCode>"R$"\ #,##0.00</c:formatCode>
                <c:ptCount val="12"/>
                <c:pt idx="0">
                  <c:v>147298.31</c:v>
                </c:pt>
                <c:pt idx="1">
                  <c:v>59379.040000000001</c:v>
                </c:pt>
                <c:pt idx="2">
                  <c:v>133931.92000000001</c:v>
                </c:pt>
                <c:pt idx="3">
                  <c:v>976.45</c:v>
                </c:pt>
                <c:pt idx="4">
                  <c:v>3114</c:v>
                </c:pt>
                <c:pt idx="5">
                  <c:v>481174.96</c:v>
                </c:pt>
                <c:pt idx="6">
                  <c:v>28825.040000000001</c:v>
                </c:pt>
                <c:pt idx="7">
                  <c:v>292605.15000000002</c:v>
                </c:pt>
                <c:pt idx="8">
                  <c:v>49717.48</c:v>
                </c:pt>
                <c:pt idx="9">
                  <c:v>168052.16</c:v>
                </c:pt>
                <c:pt idx="10">
                  <c:v>13143.62</c:v>
                </c:pt>
                <c:pt idx="11">
                  <c:v>1378218.13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9-43B8-B336-F9E3ECC9C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439816"/>
        <c:axId val="437435496"/>
      </c:barChart>
      <c:catAx>
        <c:axId val="4374398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435496"/>
        <c:crosses val="autoZero"/>
        <c:auto val="1"/>
        <c:lblAlgn val="ctr"/>
        <c:lblOffset val="100"/>
        <c:noMultiLvlLbl val="0"/>
      </c:catAx>
      <c:valAx>
        <c:axId val="437435496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43743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CC919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none"/>
              <a:t>Frete Carradas - Junho/2026</a:t>
            </a:r>
          </a:p>
        </c:rich>
      </c:tx>
      <c:layout>
        <c:manualLayout>
          <c:xMode val="edge"/>
          <c:yMode val="edge"/>
          <c:x val="0.30556941190081433"/>
          <c:y val="1.3445375778843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6C-419C-9971-2ABB44AEB0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6C-419C-9971-2ABB44AEB0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6C-419C-9971-2ABB44AEB0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6C-419C-9971-2ABB44AEB03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6C-419C-9971-2ABB44AEB03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A6C-419C-9971-2ABB44AEB03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A6C-419C-9971-2ABB44AEB03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A6C-419C-9971-2ABB44AEB03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A6C-419C-9971-2ABB44AEB0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A6C-419C-9971-2ABB44AEB0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A6C-419C-9971-2ABB44AEB0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A6C-419C-9971-2ABB44AEB03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A6C-419C-9971-2ABB44AEB03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A6C-419C-9971-2ABB44AEB031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46505875077303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A6C-419C-9971-2ABB44AEB031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46505875077303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A6C-419C-9971-2ABB44AEB031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46505875077303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A6C-419C-9971-2ABB44AEB031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46505875077303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A6C-419C-9971-2ABB44AEB031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46505875077303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A6C-419C-9971-2ABB44AEB031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1849103277674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A6C-419C-9971-2ABB44AEB031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1849103277674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0A6C-419C-9971-2ABB44AEB031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1849103277674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A6C-419C-9971-2ABB44AEB031}"/>
                </c:ext>
              </c:extLst>
            </c:dLbl>
            <c:dLbl>
              <c:idx val="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1849103277674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0A6C-419C-9971-2ABB44AEB031}"/>
                </c:ext>
              </c:extLst>
            </c:dLbl>
            <c:dLbl>
              <c:idx val="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1849103277674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0A6C-419C-9971-2ABB44AEB031}"/>
                </c:ext>
              </c:extLst>
            </c:dLbl>
            <c:dLbl>
              <c:idx val="1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1849103277674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0A6C-419C-9971-2ABB44AEB031}"/>
                </c:ext>
              </c:extLst>
            </c:dLbl>
            <c:dLbl>
              <c:idx val="1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9047619047619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0A6C-419C-9971-2ABB44AEB031}"/>
                </c:ext>
              </c:extLst>
            </c:dLbl>
            <c:dLbl>
              <c:idx val="1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8361162646877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9-0A6C-419C-9971-2ABB44AEB031}"/>
                </c:ext>
              </c:extLst>
            </c:dLbl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53370439084724"/>
                      <c:h val="6.2678036537544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0A6C-419C-9971-2ABB44AEB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b" anchorCtr="0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'[1]RESUMO FRETE CARRADAS MAI-26'!$C$6:$C$19</c:f>
              <c:strCache>
                <c:ptCount val="14"/>
                <c:pt idx="0">
                  <c:v>MINERADORA PF</c:v>
                </c:pt>
                <c:pt idx="1">
                  <c:v>UA PINHEIRO - MA</c:v>
                </c:pt>
                <c:pt idx="2">
                  <c:v>UA DISTRITO</c:v>
                </c:pt>
                <c:pt idx="3">
                  <c:v>BEIRA RIO</c:v>
                </c:pt>
                <c:pt idx="4">
                  <c:v>UA OLINDA NOVA - MA</c:v>
                </c:pt>
                <c:pt idx="5">
                  <c:v>TAIPAS - TO</c:v>
                </c:pt>
                <c:pt idx="6">
                  <c:v>AUGUSTINOPOLIS TO (EDEC)</c:v>
                </c:pt>
                <c:pt idx="7">
                  <c:v>AGRO</c:v>
                </c:pt>
                <c:pt idx="8">
                  <c:v>SEMOSP SLZ</c:v>
                </c:pt>
                <c:pt idx="9">
                  <c:v>GURUPI - TO</c:v>
                </c:pt>
                <c:pt idx="10">
                  <c:v>DUERE-TO</c:v>
                </c:pt>
                <c:pt idx="11">
                  <c:v>METROPOLITANA</c:v>
                </c:pt>
                <c:pt idx="12">
                  <c:v>FAC</c:v>
                </c:pt>
                <c:pt idx="13">
                  <c:v>TOTAL</c:v>
                </c:pt>
              </c:strCache>
            </c:strRef>
          </c:cat>
          <c:val>
            <c:numRef>
              <c:f>'[1]RESUMO FRETE CARRADAS MAI-26'!$D$6:$D$19</c:f>
              <c:numCache>
                <c:formatCode>General</c:formatCode>
                <c:ptCount val="14"/>
                <c:pt idx="0">
                  <c:v>467209.3</c:v>
                </c:pt>
                <c:pt idx="1">
                  <c:v>375254.76</c:v>
                </c:pt>
                <c:pt idx="2">
                  <c:v>236621.73</c:v>
                </c:pt>
                <c:pt idx="3">
                  <c:v>162271.6</c:v>
                </c:pt>
                <c:pt idx="4">
                  <c:v>138214.29999999999</c:v>
                </c:pt>
                <c:pt idx="5">
                  <c:v>65333.94</c:v>
                </c:pt>
                <c:pt idx="6">
                  <c:v>58726.080000000002</c:v>
                </c:pt>
                <c:pt idx="7">
                  <c:v>21391.91</c:v>
                </c:pt>
                <c:pt idx="8">
                  <c:v>42948.22</c:v>
                </c:pt>
                <c:pt idx="9">
                  <c:v>16169.94</c:v>
                </c:pt>
                <c:pt idx="10">
                  <c:v>14696.45</c:v>
                </c:pt>
                <c:pt idx="11">
                  <c:v>4700.49</c:v>
                </c:pt>
                <c:pt idx="12">
                  <c:v>589.89</c:v>
                </c:pt>
                <c:pt idx="13">
                  <c:v>1604128.6099999999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A6C-419C-9971-2ABB44AEB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94205352"/>
        <c:axId val="1394204296"/>
      </c:barChart>
      <c:catAx>
        <c:axId val="1394205352"/>
        <c:scaling>
          <c:orientation val="maxMin"/>
        </c:scaling>
        <c:delete val="0"/>
        <c:axPos val="l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204296"/>
        <c:crossesAt val="0"/>
        <c:auto val="1"/>
        <c:lblAlgn val="ctr"/>
        <c:lblOffset val="100"/>
        <c:noMultiLvlLbl val="0"/>
      </c:catAx>
      <c:valAx>
        <c:axId val="139420429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394205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  <a:alpha val="30000"/>
      </a:schemeClr>
    </a:solidFill>
    <a:ln w="9525" cap="flat" cmpd="sng" algn="ctr">
      <a:solidFill>
        <a:srgbClr val="002060"/>
      </a:solidFill>
      <a:round/>
    </a:ln>
    <a:effectLst>
      <a:softEdge rad="12700"/>
    </a:effectLst>
  </c:spPr>
  <c:txPr>
    <a:bodyPr/>
    <a:lstStyle/>
    <a:p>
      <a:pPr>
        <a:defRPr>
          <a:solidFill>
            <a:srgbClr val="00206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128587</xdr:rowOff>
    </xdr:from>
    <xdr:to>
      <xdr:col>14</xdr:col>
      <xdr:colOff>38100</xdr:colOff>
      <xdr:row>16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954D40-FF02-0BF7-8329-2B388D3B0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66676</xdr:colOff>
      <xdr:row>2</xdr:row>
      <xdr:rowOff>47625</xdr:rowOff>
    </xdr:from>
    <xdr:to>
      <xdr:col>3</xdr:col>
      <xdr:colOff>194347</xdr:colOff>
      <xdr:row>2</xdr:row>
      <xdr:rowOff>342900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F49BB93-79A2-7975-DB54-1C45EE86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257175"/>
          <a:ext cx="642021" cy="29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128587</xdr:rowOff>
    </xdr:from>
    <xdr:to>
      <xdr:col>14</xdr:col>
      <xdr:colOff>38100</xdr:colOff>
      <xdr:row>16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3F2F3F-15EC-43D0-8D94-52AABF6EA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</xdr:row>
      <xdr:rowOff>35046</xdr:rowOff>
    </xdr:from>
    <xdr:to>
      <xdr:col>3</xdr:col>
      <xdr:colOff>118146</xdr:colOff>
      <xdr:row>2</xdr:row>
      <xdr:rowOff>295275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728E24A-46F6-454A-9156-81C39C6AB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44596"/>
          <a:ext cx="565821" cy="2602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128587</xdr:rowOff>
    </xdr:from>
    <xdr:to>
      <xdr:col>14</xdr:col>
      <xdr:colOff>38100</xdr:colOff>
      <xdr:row>18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30E329-6D7D-4EEC-913E-242A9EBEB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</xdr:row>
      <xdr:rowOff>35046</xdr:rowOff>
    </xdr:from>
    <xdr:to>
      <xdr:col>3</xdr:col>
      <xdr:colOff>118146</xdr:colOff>
      <xdr:row>2</xdr:row>
      <xdr:rowOff>295275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F5D459-04A1-433C-BFFB-768F79326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44596"/>
          <a:ext cx="565821" cy="2602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4</xdr:row>
      <xdr:rowOff>128587</xdr:rowOff>
    </xdr:from>
    <xdr:to>
      <xdr:col>15</xdr:col>
      <xdr:colOff>38100</xdr:colOff>
      <xdr:row>18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F6C232-A964-40EF-AB42-53218C54C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76200</xdr:colOff>
      <xdr:row>2</xdr:row>
      <xdr:rowOff>35046</xdr:rowOff>
    </xdr:from>
    <xdr:to>
      <xdr:col>3</xdr:col>
      <xdr:colOff>194346</xdr:colOff>
      <xdr:row>2</xdr:row>
      <xdr:rowOff>295275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AEE66A-E4B7-4528-8FB5-5D489222E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244596"/>
          <a:ext cx="565821" cy="260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133349</xdr:colOff>
      <xdr:row>2</xdr:row>
      <xdr:rowOff>21440</xdr:rowOff>
    </xdr:from>
    <xdr:to>
      <xdr:col>2</xdr:col>
      <xdr:colOff>457200</xdr:colOff>
      <xdr:row>2</xdr:row>
      <xdr:rowOff>249995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90FC4F-6C73-4513-929B-E7634F63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49" y="402440"/>
          <a:ext cx="323851" cy="228555"/>
        </a:xfrm>
        <a:prstGeom prst="rect">
          <a:avLst/>
        </a:prstGeom>
      </xdr:spPr>
    </xdr:pic>
    <xdr:clientData/>
  </xdr:twoCellAnchor>
  <xdr:twoCellAnchor>
    <xdr:from>
      <xdr:col>6</xdr:col>
      <xdr:colOff>152399</xdr:colOff>
      <xdr:row>4</xdr:row>
      <xdr:rowOff>33337</xdr:rowOff>
    </xdr:from>
    <xdr:to>
      <xdr:col>15</xdr:col>
      <xdr:colOff>47625</xdr:colOff>
      <xdr:row>18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40ED42-F863-409F-9998-04CA8E438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EDE\CCOP\CONTROLE%20OPERACIONAL\4.%20FRETE%20CARRADAS\FRETE%20CARRADA%202026\BASE%20FRETE%20CARRADAS%20ENVIO%20JUN%20-%2026.xlsx" TargetMode="External"/><Relationship Id="rId1" Type="http://schemas.openxmlformats.org/officeDocument/2006/relationships/externalLinkPath" Target="BASE%20FRETE%20CARRADAS%20ENVIO%20JUN%20-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FRETE CARRADAS MAI-26"/>
      <sheetName val="FRETE CARRADAS JUN-26"/>
    </sheetNames>
    <sheetDataSet>
      <sheetData sheetId="0">
        <row r="6">
          <cell r="C6" t="str">
            <v>MINERADORA PF</v>
          </cell>
          <cell r="D6">
            <v>467209.3</v>
          </cell>
        </row>
        <row r="7">
          <cell r="C7" t="str">
            <v>UA PINHEIRO - MA</v>
          </cell>
          <cell r="D7">
            <v>375254.76</v>
          </cell>
        </row>
        <row r="8">
          <cell r="C8" t="str">
            <v>UA DISTRITO</v>
          </cell>
          <cell r="D8">
            <v>236621.73</v>
          </cell>
        </row>
        <row r="9">
          <cell r="C9" t="str">
            <v>BEIRA RIO</v>
          </cell>
          <cell r="D9">
            <v>162271.6</v>
          </cell>
        </row>
        <row r="10">
          <cell r="C10" t="str">
            <v>UA OLINDA NOVA - MA</v>
          </cell>
          <cell r="D10">
            <v>138214.29999999999</v>
          </cell>
        </row>
        <row r="11">
          <cell r="C11" t="str">
            <v>TAIPAS - TO</v>
          </cell>
          <cell r="D11">
            <v>65333.94</v>
          </cell>
        </row>
        <row r="12">
          <cell r="C12" t="str">
            <v>AUGUSTINOPOLIS TO (EDEC)</v>
          </cell>
          <cell r="D12">
            <v>58726.080000000002</v>
          </cell>
        </row>
        <row r="13">
          <cell r="C13" t="str">
            <v>AGRO</v>
          </cell>
          <cell r="D13">
            <v>21391.91</v>
          </cell>
        </row>
        <row r="14">
          <cell r="C14" t="str">
            <v>SEMOSP SLZ</v>
          </cell>
          <cell r="D14">
            <v>42948.22</v>
          </cell>
        </row>
        <row r="15">
          <cell r="C15" t="str">
            <v>GURUPI - TO</v>
          </cell>
          <cell r="D15">
            <v>16169.94</v>
          </cell>
        </row>
        <row r="16">
          <cell r="C16" t="str">
            <v>DUERE-TO</v>
          </cell>
          <cell r="D16">
            <v>14696.45</v>
          </cell>
        </row>
        <row r="17">
          <cell r="C17" t="str">
            <v>METROPOLITANA</v>
          </cell>
          <cell r="D17">
            <v>4700.49</v>
          </cell>
        </row>
        <row r="18">
          <cell r="C18" t="str">
            <v>FAC</v>
          </cell>
          <cell r="D18">
            <v>589.89</v>
          </cell>
        </row>
        <row r="19">
          <cell r="C19" t="str">
            <v>TOTAL</v>
          </cell>
          <cell r="D19">
            <v>1604128.6099999999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AABD7A-1A63-4F65-A2CB-62A755676AF2}" autoFormatId="16" applyNumberFormats="0" applyBorderFormats="0" applyFontFormats="0" applyPatternFormats="0" applyAlignmentFormats="0" applyWidthHeightFormats="0">
  <queryTableRefresh nextId="23" unboundColumnsRight="2">
    <queryTableFields count="14">
      <queryTableField id="1" name="DATA" tableColumnId="1"/>
      <queryTableField id="2" name="TRANSPORTADOR" tableColumnId="2"/>
      <queryTableField id="3" name="VEÍCULO" tableColumnId="3"/>
      <queryTableField id="4" name="MOTORISTA" tableColumnId="4"/>
      <queryTableField id="5" name="ORIGEM" tableColumnId="5"/>
      <queryTableField id="6" name="DESTINO" tableColumnId="6"/>
      <queryTableField id="7" name="DISTÂNCIA" tableColumnId="7"/>
      <queryTableField id="8" name="MATERIAL" tableColumnId="8"/>
      <queryTableField id="9" name="QUANTIDADE" tableColumnId="9"/>
      <queryTableField id="10" name="FRETE" tableColumnId="10"/>
      <queryTableField id="11" name="NOTA FISCAL" tableColumnId="11"/>
      <queryTableField id="22" name="OBSERVAÇÃO" tableColumnId="12"/>
      <queryTableField id="13" dataBound="0" tableColumnId="13"/>
      <queryTableField id="15" dataBound="0" tableColumnId="15"/>
    </queryTableFields>
    <queryTableDeletedFields count="3">
      <deletedField name="OBSERVAÇÃO"/>
      <deletedField name="OBSERVAÇÃO"/>
      <deletedField name="OBSERVAÇÃO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C753D2-C703-46A2-BD0D-96971FE455F0}" name="Tabela4" displayName="Tabela4" ref="A1:B94" totalsRowCount="1" headerRowDxfId="63" dataDxfId="62" tableBorderDxfId="61" dataCellStyle="Saída">
  <autoFilter ref="A1:B93" xr:uid="{97C753D2-C703-46A2-BD0D-96971FE455F0}">
    <filterColumn colId="0">
      <filters>
        <filter val="Granorte S/AUA-03-Olinda novaBica Corrida"/>
        <filter val="Granorte S/AUA-03-Olinda novaPó de Brita"/>
        <filter val="Granorte S/AUA-06 -PinheiroPó de Brita"/>
        <filter val="GRANORTE S/AUA-11 DistritoBica Corrida"/>
        <filter val="GRANORTE S/AUA-11 DistritoPó de Brita"/>
        <filter val="GRANORTE S/AUA-11 DistritoPulmaozinho"/>
        <filter val="GRANORTEARACAGY - SAO LUISBICA CORRIDA"/>
        <filter val="GRANORTEARACAGY - SAO LUISBRITA 3"/>
        <filter val="GRANORTEARACAGY - SAO LUISRACHÃOZINHO"/>
        <filter val="GRANORTEDEPOSITO DISTRITOBICA CORRIDA"/>
        <filter val="GRANORTEDEPOSITO DISTRITOPULMÃOZINHO"/>
        <filter val="GRANORTEDEPOSITO DISTRITORACHÃOZINHO"/>
        <filter val="GRANORTEEXPOEMABICA CORRIDA"/>
        <filter val="GRANORTEEXPOEMABRITA 3"/>
        <filter val="GRANORTEEXPOEMAPULMÃOZINHO"/>
        <filter val="GRANORTEEXPOEMARACHÃOZINHO"/>
        <filter val="GRANORTEMETROPOLITANABICA CORRIDA"/>
        <filter val="GRANORTEMETROPOLITANAPULMÃOZINHO"/>
        <filter val="GRANORTEOLINDA NOVA - MABGS"/>
        <filter val="GRANORTEOLINDA NOVA - MABICA CORRIDA"/>
        <filter val="GRANORTEOLINDA NOVA - MAPÓ DE BRITA"/>
        <filter val="GRANORTERAPOSABRITA 3"/>
        <filter val="GRANORTERAPOSAPULMÃOZINHO"/>
        <filter val="GRANORTEREGIONAL SAO LUIS (DEPOSITO DISTRITO)PÓ DE BRITA"/>
        <filter val="GRANORTEREGIONAL SAO LUIS (DEPOSITO DISTRITO)RACHÃOZINHO"/>
        <filter val="GRANORTESANTA RITA - MABRITA 3"/>
        <filter val="GRANORTESANTA RITA - MAPULMÃOZINHO"/>
        <filter val="GRANORTEUA PINHEIRO - MAPÓ DE BRITA"/>
        <filter val="GRANORTEUA SAO LUISBICA CORRIDA"/>
        <filter val="GRANORTEUA SAO LUISBRITA 0"/>
        <filter val="GRANORTEUA SAO LUISBRITA 1"/>
        <filter val="GRANORTEUA SAO LUISBRITA 3"/>
        <filter val="GRANORTEUA SAO LUISPÓ DE BRITA"/>
        <filter val="GRANORTEUA SAO LUISPULMÃOZINHO"/>
        <filter val="GRANORTEUA SAO LUISRACHÃOZINHO"/>
        <filter val="GRANORTEVETORPÓ DE BRITA"/>
      </filters>
    </filterColumn>
  </autoFilter>
  <tableColumns count="2">
    <tableColumn id="1" xr3:uid="{D57C928A-6509-489D-86C9-C12E643C82A1}" name="MATERIAL " totalsRowFunction="custom" dataDxfId="60" totalsRowDxfId="59" dataCellStyle="Saída">
      <totalsRowFormula>_xlfn.CONCAT(queryCARRADAS_20250905_83647[[#This Row],[ORIGEM]]&amp;queryCARRADAS_20250905_83647[[#This Row],[DESTINO]]&amp;queryCARRADAS_20250905_83647[[#This Row],[MATERIAL]])</totalsRowFormula>
    </tableColumn>
    <tableColumn id="2" xr3:uid="{E3636528-61F5-412C-9992-EEC8840DE20E}" name="CR" totalsRowLabel="UA-DISTRITO" dataDxfId="58" totalsRowDxfId="57" dataCellStyle="Saíd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426363-D0B8-422B-BB16-8EE730FF1D37}" name="Tabela43" displayName="Tabela43" ref="B2:C775" totalsRowShown="0" headerRowDxfId="56" dataDxfId="55" tableBorderDxfId="54" dataCellStyle="Saída">
  <autoFilter ref="B2:C775" xr:uid="{D9426363-D0B8-422B-BB16-8EE730FF1D37}"/>
  <tableColumns count="2">
    <tableColumn id="1" xr3:uid="{9A914BBF-0CA1-4597-84B2-8DA035D2D03D}" name="MATERIAL " dataDxfId="53" totalsRowDxfId="52" dataCellStyle="Saída"/>
    <tableColumn id="2" xr3:uid="{B316E687-337B-40A4-A514-9ED2E1CAE576}" name="CR" dataDxfId="51" totalsRowDxfId="50" dataCellStyle="Saíd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0B0CF-FD1F-448E-BDEF-0F9EA69026E2}" name="queryCARRADAS_20250905_83647" displayName="queryCARRADAS_20250905_83647" ref="B3:O716" tableType="queryTable" totalsRowCount="1" headerRowDxfId="49" dataDxfId="48">
  <autoFilter ref="B3:O715" xr:uid="{02A0B0CF-FD1F-448E-BDEF-0F9EA69026E2}"/>
  <sortState xmlns:xlrd2="http://schemas.microsoft.com/office/spreadsheetml/2017/richdata2" ref="B4:O715">
    <sortCondition ref="B3:B4"/>
  </sortState>
  <tableColumns count="14">
    <tableColumn id="1" xr3:uid="{3BA92AA5-482C-4873-8004-D3EF41E8E2C3}" uniqueName="1" name="DATA" queryTableFieldId="1" dataDxfId="47" totalsRowDxfId="46"/>
    <tableColumn id="2" xr3:uid="{D06560C6-9465-4B9A-89AB-8A5D39B5FE3B}" uniqueName="2" name="TRANSPORTADOR" queryTableFieldId="2" dataDxfId="45" totalsRowDxfId="44"/>
    <tableColumn id="3" xr3:uid="{D0004031-CC21-43A4-93A4-C17FEC67A24C}" uniqueName="3" name="VEÍCULO" queryTableFieldId="3" dataDxfId="43" totalsRowDxfId="42"/>
    <tableColumn id="4" xr3:uid="{C419AEB9-1205-4C00-AA1E-20328BD4CA35}" uniqueName="4" name="MOTORISTA" queryTableFieldId="4" dataDxfId="41" totalsRowDxfId="40"/>
    <tableColumn id="5" xr3:uid="{0CDA8B8D-8A1D-443A-A48B-6973D223093F}" uniqueName="5" name="ORIGEM" queryTableFieldId="5" dataDxfId="39" totalsRowDxfId="38"/>
    <tableColumn id="6" xr3:uid="{77CEED31-4336-496E-8D28-2585584F81F1}" uniqueName="6" name="DESTINO" queryTableFieldId="6" dataDxfId="37" totalsRowDxfId="36"/>
    <tableColumn id="7" xr3:uid="{D9A48CA8-08C0-4F87-9EFF-E1FD39B46387}" uniqueName="7" name="DISTÂNCIA" queryTableFieldId="7" dataDxfId="35" totalsRowDxfId="34"/>
    <tableColumn id="8" xr3:uid="{E7F7361B-02D9-4A38-9770-F5DAE311D1EE}" uniqueName="8" name="MATERIAL" queryTableFieldId="8" dataDxfId="33" totalsRowDxfId="32"/>
    <tableColumn id="9" xr3:uid="{A37FE997-27C1-4A19-A084-C2C745EFB04F}" uniqueName="9" name="QUANTIDADE" queryTableFieldId="9" dataDxfId="31" totalsRowDxfId="30"/>
    <tableColumn id="10" xr3:uid="{1048E606-08E4-4076-BC03-2DC390B66E91}" uniqueName="10" name="FRETE" totalsRowFunction="custom" queryTableFieldId="10" dataDxfId="29" totalsRowDxfId="28">
      <totalsRowFormula>SUM(K4:K715)</totalsRowFormula>
    </tableColumn>
    <tableColumn id="11" xr3:uid="{AE9CB496-56E9-4FCE-909E-5DA070183161}" uniqueName="11" name="NOTA FISCAL" queryTableFieldId="11" dataDxfId="27" totalsRowDxfId="26"/>
    <tableColumn id="12" xr3:uid="{78A801AD-779B-4CFD-9465-2C1AC820C342}" uniqueName="12" name="OBSERVAÇÃO" queryTableFieldId="22" dataDxfId="25"/>
    <tableColumn id="13" xr3:uid="{7357254E-74A3-4827-944A-1449A0EC7C4E}" uniqueName="13" name="MATERIAL " queryTableFieldId="13" dataDxfId="24" totalsRowDxfId="23" dataCellStyle="Saída">
      <calculatedColumnFormula>queryCARRADAS_20250905_83647[[#This Row],[ORIGEM]]&amp;queryCARRADAS_20250905_83647[[#This Row],[DESTINO]]&amp;queryCARRADAS_20250905_83647[[#This Row],[MATERIAL]]</calculatedColumnFormula>
    </tableColumn>
    <tableColumn id="15" xr3:uid="{550E3D63-C004-4752-8EE1-01F987D1867D}" uniqueName="15" name="CR" queryTableFieldId="15" dataDxfId="22" totalsRowDxfId="21" dataCellStyle="Saí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8D42-7B49-48F2-A2EE-A73B9D2D580C}">
  <dimension ref="A1:B296"/>
  <sheetViews>
    <sheetView showGridLines="0" topLeftCell="A48" workbookViewId="0">
      <selection activeCell="B98" sqref="B98"/>
    </sheetView>
  </sheetViews>
  <sheetFormatPr defaultRowHeight="15" x14ac:dyDescent="0.25"/>
  <cols>
    <col min="1" max="1" width="72.42578125" bestFit="1" customWidth="1"/>
    <col min="2" max="2" width="45.140625" customWidth="1"/>
  </cols>
  <sheetData>
    <row r="1" spans="1:2" x14ac:dyDescent="0.25">
      <c r="A1" s="1" t="s">
        <v>12</v>
      </c>
      <c r="B1" s="1" t="s">
        <v>13</v>
      </c>
    </row>
    <row r="2" spans="1:2" x14ac:dyDescent="0.25">
      <c r="A2" s="4" t="s">
        <v>18</v>
      </c>
      <c r="B2" s="4" t="s">
        <v>11</v>
      </c>
    </row>
    <row r="3" spans="1:2" hidden="1" x14ac:dyDescent="0.25">
      <c r="A3" s="2" t="s">
        <v>19</v>
      </c>
      <c r="B3" s="2" t="s">
        <v>84</v>
      </c>
    </row>
    <row r="4" spans="1:2" hidden="1" x14ac:dyDescent="0.25">
      <c r="A4" s="4" t="s">
        <v>20</v>
      </c>
      <c r="B4" s="4" t="s">
        <v>85</v>
      </c>
    </row>
    <row r="5" spans="1:2" hidden="1" x14ac:dyDescent="0.25">
      <c r="A5" s="4" t="s">
        <v>21</v>
      </c>
      <c r="B5" s="4" t="s">
        <v>85</v>
      </c>
    </row>
    <row r="6" spans="1:2" hidden="1" x14ac:dyDescent="0.25">
      <c r="A6" s="4" t="s">
        <v>22</v>
      </c>
      <c r="B6" s="4" t="s">
        <v>84</v>
      </c>
    </row>
    <row r="7" spans="1:2" hidden="1" x14ac:dyDescent="0.25">
      <c r="A7" s="4" t="s">
        <v>23</v>
      </c>
      <c r="B7" s="4" t="s">
        <v>154</v>
      </c>
    </row>
    <row r="8" spans="1:2" hidden="1" x14ac:dyDescent="0.25">
      <c r="A8" s="4" t="s">
        <v>24</v>
      </c>
      <c r="B8" s="4" t="s">
        <v>154</v>
      </c>
    </row>
    <row r="9" spans="1:2" hidden="1" x14ac:dyDescent="0.25">
      <c r="A9" s="4" t="s">
        <v>25</v>
      </c>
      <c r="B9" s="4" t="s">
        <v>85</v>
      </c>
    </row>
    <row r="10" spans="1:2" hidden="1" x14ac:dyDescent="0.25">
      <c r="A10" s="4" t="s">
        <v>26</v>
      </c>
      <c r="B10" s="4" t="s">
        <v>82</v>
      </c>
    </row>
    <row r="11" spans="1:2" x14ac:dyDescent="0.25">
      <c r="A11" s="4" t="s">
        <v>27</v>
      </c>
      <c r="B11" s="4" t="s">
        <v>85</v>
      </c>
    </row>
    <row r="12" spans="1:2" x14ac:dyDescent="0.25">
      <c r="A12" s="4" t="s">
        <v>28</v>
      </c>
      <c r="B12" s="4" t="s">
        <v>11</v>
      </c>
    </row>
    <row r="13" spans="1:2" x14ac:dyDescent="0.25">
      <c r="A13" s="4" t="s">
        <v>29</v>
      </c>
      <c r="B13" s="4" t="s">
        <v>84</v>
      </c>
    </row>
    <row r="14" spans="1:2" hidden="1" x14ac:dyDescent="0.25">
      <c r="A14" s="4" t="s">
        <v>30</v>
      </c>
      <c r="B14" s="4" t="s">
        <v>85</v>
      </c>
    </row>
    <row r="15" spans="1:2" hidden="1" x14ac:dyDescent="0.25">
      <c r="A15" s="4" t="s">
        <v>31</v>
      </c>
      <c r="B15" s="4" t="s">
        <v>85</v>
      </c>
    </row>
    <row r="16" spans="1:2" hidden="1" x14ac:dyDescent="0.25">
      <c r="A16" s="4" t="s">
        <v>32</v>
      </c>
      <c r="B16" s="4" t="s">
        <v>82</v>
      </c>
    </row>
    <row r="17" spans="1:2" hidden="1" x14ac:dyDescent="0.25">
      <c r="A17" s="4" t="s">
        <v>33</v>
      </c>
      <c r="B17" s="4" t="s">
        <v>82</v>
      </c>
    </row>
    <row r="18" spans="1:2" x14ac:dyDescent="0.25">
      <c r="A18" s="4" t="s">
        <v>34</v>
      </c>
      <c r="B18" s="4" t="s">
        <v>11</v>
      </c>
    </row>
    <row r="19" spans="1:2" x14ac:dyDescent="0.25">
      <c r="A19" s="4" t="s">
        <v>35</v>
      </c>
      <c r="B19" s="4" t="s">
        <v>11</v>
      </c>
    </row>
    <row r="20" spans="1:2" x14ac:dyDescent="0.25">
      <c r="A20" s="4" t="s">
        <v>36</v>
      </c>
      <c r="B20" s="4" t="s">
        <v>84</v>
      </c>
    </row>
    <row r="21" spans="1:2" x14ac:dyDescent="0.25">
      <c r="A21" s="4" t="s">
        <v>37</v>
      </c>
      <c r="B21" s="4" t="s">
        <v>84</v>
      </c>
    </row>
    <row r="22" spans="1:2" x14ac:dyDescent="0.25">
      <c r="A22" s="4" t="s">
        <v>38</v>
      </c>
      <c r="B22" s="4" t="s">
        <v>85</v>
      </c>
    </row>
    <row r="23" spans="1:2" hidden="1" x14ac:dyDescent="0.25">
      <c r="A23" s="4" t="s">
        <v>31</v>
      </c>
      <c r="B23" s="4" t="s">
        <v>11</v>
      </c>
    </row>
    <row r="24" spans="1:2" x14ac:dyDescent="0.25">
      <c r="A24" s="4" t="s">
        <v>39</v>
      </c>
      <c r="B24" s="4" t="s">
        <v>85</v>
      </c>
    </row>
    <row r="25" spans="1:2" hidden="1" x14ac:dyDescent="0.25">
      <c r="A25" s="4" t="s">
        <v>40</v>
      </c>
      <c r="B25" s="4" t="s">
        <v>154</v>
      </c>
    </row>
    <row r="26" spans="1:2" hidden="1" x14ac:dyDescent="0.25">
      <c r="A26" s="4" t="s">
        <v>41</v>
      </c>
      <c r="B26" s="4" t="s">
        <v>154</v>
      </c>
    </row>
    <row r="27" spans="1:2" x14ac:dyDescent="0.25">
      <c r="A27" s="4" t="s">
        <v>42</v>
      </c>
      <c r="B27" s="4" t="s">
        <v>84</v>
      </c>
    </row>
    <row r="28" spans="1:2" hidden="1" x14ac:dyDescent="0.25">
      <c r="A28" s="4" t="s">
        <v>43</v>
      </c>
      <c r="B28" s="4" t="s">
        <v>85</v>
      </c>
    </row>
    <row r="29" spans="1:2" x14ac:dyDescent="0.25">
      <c r="A29" s="4" t="s">
        <v>27</v>
      </c>
      <c r="B29" s="4" t="s">
        <v>84</v>
      </c>
    </row>
    <row r="30" spans="1:2" x14ac:dyDescent="0.25">
      <c r="A30" s="4" t="s">
        <v>44</v>
      </c>
      <c r="B30" s="4" t="s">
        <v>85</v>
      </c>
    </row>
    <row r="31" spans="1:2" x14ac:dyDescent="0.25">
      <c r="A31" s="4" t="s">
        <v>45</v>
      </c>
      <c r="B31" s="4" t="s">
        <v>11</v>
      </c>
    </row>
    <row r="32" spans="1:2" hidden="1" x14ac:dyDescent="0.25">
      <c r="A32" s="4" t="s">
        <v>46</v>
      </c>
      <c r="B32" s="4" t="s">
        <v>85</v>
      </c>
    </row>
    <row r="33" spans="1:2" x14ac:dyDescent="0.25">
      <c r="A33" s="4" t="s">
        <v>47</v>
      </c>
      <c r="B33" s="4" t="s">
        <v>11</v>
      </c>
    </row>
    <row r="34" spans="1:2" x14ac:dyDescent="0.25">
      <c r="A34" s="4" t="s">
        <v>42</v>
      </c>
      <c r="B34" s="4" t="s">
        <v>85</v>
      </c>
    </row>
    <row r="35" spans="1:2" hidden="1" x14ac:dyDescent="0.25">
      <c r="A35" s="4" t="s">
        <v>22</v>
      </c>
      <c r="B35" s="4" t="s">
        <v>85</v>
      </c>
    </row>
    <row r="36" spans="1:2" x14ac:dyDescent="0.25">
      <c r="A36" s="4" t="s">
        <v>48</v>
      </c>
      <c r="B36" s="4" t="s">
        <v>85</v>
      </c>
    </row>
    <row r="37" spans="1:2" x14ac:dyDescent="0.25">
      <c r="A37" s="4" t="s">
        <v>49</v>
      </c>
      <c r="B37" s="4" t="s">
        <v>85</v>
      </c>
    </row>
    <row r="38" spans="1:2" x14ac:dyDescent="0.25">
      <c r="A38" s="4" t="s">
        <v>50</v>
      </c>
      <c r="B38" s="4" t="s">
        <v>85</v>
      </c>
    </row>
    <row r="39" spans="1:2" x14ac:dyDescent="0.25">
      <c r="A39" s="4" t="s">
        <v>51</v>
      </c>
      <c r="B39" s="4" t="s">
        <v>85</v>
      </c>
    </row>
    <row r="40" spans="1:2" hidden="1" x14ac:dyDescent="0.25">
      <c r="A40" s="4" t="s">
        <v>52</v>
      </c>
      <c r="B40" s="4" t="s">
        <v>154</v>
      </c>
    </row>
    <row r="41" spans="1:2" x14ac:dyDescent="0.25">
      <c r="A41" s="4" t="s">
        <v>53</v>
      </c>
      <c r="B41" s="4" t="s">
        <v>85</v>
      </c>
    </row>
    <row r="42" spans="1:2" x14ac:dyDescent="0.25">
      <c r="A42" s="4" t="s">
        <v>54</v>
      </c>
      <c r="B42" s="4" t="s">
        <v>85</v>
      </c>
    </row>
    <row r="43" spans="1:2" hidden="1" x14ac:dyDescent="0.25">
      <c r="A43" s="4" t="s">
        <v>55</v>
      </c>
      <c r="B43" s="4" t="s">
        <v>154</v>
      </c>
    </row>
    <row r="44" spans="1:2" x14ac:dyDescent="0.25">
      <c r="A44" s="4" t="s">
        <v>56</v>
      </c>
      <c r="B44" s="4" t="s">
        <v>85</v>
      </c>
    </row>
    <row r="45" spans="1:2" x14ac:dyDescent="0.25">
      <c r="A45" s="4" t="s">
        <v>57</v>
      </c>
      <c r="B45" s="4" t="s">
        <v>85</v>
      </c>
    </row>
    <row r="46" spans="1:2" x14ac:dyDescent="0.25">
      <c r="A46" s="4" t="s">
        <v>58</v>
      </c>
      <c r="B46" s="4" t="s">
        <v>85</v>
      </c>
    </row>
    <row r="47" spans="1:2" hidden="1" x14ac:dyDescent="0.25">
      <c r="A47" s="4" t="s">
        <v>59</v>
      </c>
      <c r="B47" s="4" t="s">
        <v>85</v>
      </c>
    </row>
    <row r="48" spans="1:2" x14ac:dyDescent="0.25">
      <c r="A48" s="4" t="s">
        <v>60</v>
      </c>
      <c r="B48" s="4" t="s">
        <v>85</v>
      </c>
    </row>
    <row r="49" spans="1:2" hidden="1" x14ac:dyDescent="0.25">
      <c r="A49" s="4" t="s">
        <v>61</v>
      </c>
      <c r="B49" s="4" t="s">
        <v>82</v>
      </c>
    </row>
    <row r="50" spans="1:2" x14ac:dyDescent="0.25">
      <c r="A50" s="4" t="s">
        <v>62</v>
      </c>
      <c r="B50" s="4" t="s">
        <v>85</v>
      </c>
    </row>
    <row r="51" spans="1:2" hidden="1" x14ac:dyDescent="0.25">
      <c r="A51" s="4" t="s">
        <v>63</v>
      </c>
      <c r="B51" s="4" t="s">
        <v>84</v>
      </c>
    </row>
    <row r="52" spans="1:2" hidden="1" x14ac:dyDescent="0.25">
      <c r="A52" s="4" t="s">
        <v>64</v>
      </c>
      <c r="B52" s="4" t="s">
        <v>154</v>
      </c>
    </row>
    <row r="53" spans="1:2" hidden="1" x14ac:dyDescent="0.25">
      <c r="A53" s="4" t="s">
        <v>23</v>
      </c>
      <c r="B53" s="4" t="s">
        <v>154</v>
      </c>
    </row>
    <row r="54" spans="1:2" hidden="1" x14ac:dyDescent="0.25">
      <c r="A54" s="4" t="s">
        <v>65</v>
      </c>
      <c r="B54" s="4" t="s">
        <v>154</v>
      </c>
    </row>
    <row r="55" spans="1:2" hidden="1" x14ac:dyDescent="0.25">
      <c r="A55" s="4" t="s">
        <v>66</v>
      </c>
      <c r="B55" s="4" t="s">
        <v>154</v>
      </c>
    </row>
    <row r="56" spans="1:2" hidden="1" x14ac:dyDescent="0.25">
      <c r="A56" s="4" t="s">
        <v>67</v>
      </c>
      <c r="B56" s="4" t="s">
        <v>154</v>
      </c>
    </row>
    <row r="57" spans="1:2" hidden="1" x14ac:dyDescent="0.25">
      <c r="A57" s="4" t="s">
        <v>24</v>
      </c>
      <c r="B57" s="4" t="s">
        <v>154</v>
      </c>
    </row>
    <row r="58" spans="1:2" hidden="1" x14ac:dyDescent="0.25">
      <c r="A58" s="4" t="s">
        <v>68</v>
      </c>
      <c r="B58" s="4" t="s">
        <v>83</v>
      </c>
    </row>
    <row r="59" spans="1:2" hidden="1" x14ac:dyDescent="0.25">
      <c r="A59" s="4" t="s">
        <v>69</v>
      </c>
      <c r="B59" s="4" t="s">
        <v>83</v>
      </c>
    </row>
    <row r="60" spans="1:2" hidden="1" x14ac:dyDescent="0.25">
      <c r="A60" s="4" t="s">
        <v>70</v>
      </c>
      <c r="B60" s="4" t="s">
        <v>154</v>
      </c>
    </row>
    <row r="61" spans="1:2" hidden="1" x14ac:dyDescent="0.25">
      <c r="A61" s="4" t="s">
        <v>71</v>
      </c>
      <c r="B61" s="4" t="s">
        <v>154</v>
      </c>
    </row>
    <row r="62" spans="1:2" hidden="1" x14ac:dyDescent="0.25">
      <c r="A62" s="4" t="s">
        <v>72</v>
      </c>
      <c r="B62" s="4" t="s">
        <v>154</v>
      </c>
    </row>
    <row r="63" spans="1:2" ht="15.75" x14ac:dyDescent="0.25">
      <c r="A63" s="3" t="s">
        <v>73</v>
      </c>
      <c r="B63" s="3" t="s">
        <v>84</v>
      </c>
    </row>
    <row r="64" spans="1:2" ht="15.75" x14ac:dyDescent="0.25">
      <c r="A64" s="3" t="s">
        <v>74</v>
      </c>
      <c r="B64" s="3" t="s">
        <v>84</v>
      </c>
    </row>
    <row r="65" spans="1:2" ht="15.75" x14ac:dyDescent="0.25">
      <c r="A65" s="3" t="s">
        <v>75</v>
      </c>
      <c r="B65" s="3" t="s">
        <v>84</v>
      </c>
    </row>
    <row r="66" spans="1:2" x14ac:dyDescent="0.25">
      <c r="A66" s="5" t="s">
        <v>76</v>
      </c>
      <c r="B66" s="4" t="s">
        <v>85</v>
      </c>
    </row>
    <row r="67" spans="1:2" hidden="1" x14ac:dyDescent="0.25">
      <c r="A67" s="5" t="s">
        <v>77</v>
      </c>
      <c r="B67" s="4" t="s">
        <v>85</v>
      </c>
    </row>
    <row r="68" spans="1:2" hidden="1" x14ac:dyDescent="0.25">
      <c r="A68" s="5" t="s">
        <v>78</v>
      </c>
      <c r="B68" s="4" t="s">
        <v>85</v>
      </c>
    </row>
    <row r="69" spans="1:2" x14ac:dyDescent="0.25">
      <c r="A69" s="5" t="s">
        <v>79</v>
      </c>
      <c r="B69" s="4" t="s">
        <v>85</v>
      </c>
    </row>
    <row r="70" spans="1:2" hidden="1" x14ac:dyDescent="0.25">
      <c r="A70" s="5" t="s">
        <v>80</v>
      </c>
      <c r="B70" s="4" t="s">
        <v>85</v>
      </c>
    </row>
    <row r="71" spans="1:2" x14ac:dyDescent="0.25">
      <c r="A71" s="5" t="s">
        <v>81</v>
      </c>
      <c r="B71" s="4" t="s">
        <v>85</v>
      </c>
    </row>
    <row r="72" spans="1:2" x14ac:dyDescent="0.25">
      <c r="A72" s="6" t="s">
        <v>86</v>
      </c>
      <c r="B72" s="4" t="s">
        <v>85</v>
      </c>
    </row>
    <row r="73" spans="1:2" hidden="1" x14ac:dyDescent="0.25">
      <c r="A73" s="6" t="s">
        <v>87</v>
      </c>
      <c r="B73" s="4" t="s">
        <v>154</v>
      </c>
    </row>
    <row r="74" spans="1:2" ht="15.75" hidden="1" x14ac:dyDescent="0.25">
      <c r="A74" s="6" t="s">
        <v>88</v>
      </c>
      <c r="B74" s="3" t="s">
        <v>84</v>
      </c>
    </row>
    <row r="75" spans="1:2" hidden="1" x14ac:dyDescent="0.25">
      <c r="A75" s="6" t="s">
        <v>89</v>
      </c>
      <c r="B75" s="6" t="s">
        <v>82</v>
      </c>
    </row>
    <row r="76" spans="1:2" hidden="1" x14ac:dyDescent="0.25">
      <c r="A76" s="4" t="s">
        <v>90</v>
      </c>
      <c r="B76" s="4" t="s">
        <v>82</v>
      </c>
    </row>
    <row r="77" spans="1:2" x14ac:dyDescent="0.25">
      <c r="A77" s="5" t="s">
        <v>91</v>
      </c>
      <c r="B77" s="4" t="s">
        <v>85</v>
      </c>
    </row>
    <row r="78" spans="1:2" hidden="1" x14ac:dyDescent="0.25">
      <c r="A78" s="5" t="s">
        <v>92</v>
      </c>
      <c r="B78" s="4" t="s">
        <v>154</v>
      </c>
    </row>
    <row r="79" spans="1:2" hidden="1" x14ac:dyDescent="0.25">
      <c r="A79" s="5" t="s">
        <v>93</v>
      </c>
      <c r="B79" s="4" t="s">
        <v>82</v>
      </c>
    </row>
    <row r="80" spans="1:2" x14ac:dyDescent="0.25">
      <c r="A80" s="5" t="s">
        <v>94</v>
      </c>
      <c r="B80" s="4" t="s">
        <v>108</v>
      </c>
    </row>
    <row r="81" spans="1:2" hidden="1" x14ac:dyDescent="0.25">
      <c r="A81" s="5" t="s">
        <v>95</v>
      </c>
      <c r="B81" s="4" t="s">
        <v>154</v>
      </c>
    </row>
    <row r="82" spans="1:2" hidden="1" x14ac:dyDescent="0.25">
      <c r="A82" s="5" t="s">
        <v>96</v>
      </c>
      <c r="B82" s="4" t="s">
        <v>82</v>
      </c>
    </row>
    <row r="83" spans="1:2" x14ac:dyDescent="0.25">
      <c r="A83" s="5" t="s">
        <v>97</v>
      </c>
      <c r="B83" s="4" t="s">
        <v>108</v>
      </c>
    </row>
    <row r="84" spans="1:2" x14ac:dyDescent="0.25">
      <c r="A84" s="5" t="s">
        <v>98</v>
      </c>
      <c r="B84" s="4" t="s">
        <v>85</v>
      </c>
    </row>
    <row r="85" spans="1:2" hidden="1" x14ac:dyDescent="0.25">
      <c r="A85" s="5" t="s">
        <v>99</v>
      </c>
      <c r="B85" s="4" t="s">
        <v>154</v>
      </c>
    </row>
    <row r="86" spans="1:2" hidden="1" x14ac:dyDescent="0.25">
      <c r="A86" s="5" t="s">
        <v>100</v>
      </c>
      <c r="B86" s="4" t="s">
        <v>154</v>
      </c>
    </row>
    <row r="87" spans="1:2" hidden="1" x14ac:dyDescent="0.25">
      <c r="A87" s="5" t="s">
        <v>101</v>
      </c>
      <c r="B87" s="4" t="s">
        <v>154</v>
      </c>
    </row>
    <row r="88" spans="1:2" hidden="1" x14ac:dyDescent="0.25">
      <c r="A88" s="5" t="s">
        <v>102</v>
      </c>
      <c r="B88" s="4" t="s">
        <v>154</v>
      </c>
    </row>
    <row r="89" spans="1:2" hidden="1" x14ac:dyDescent="0.25">
      <c r="A89" s="5" t="s">
        <v>103</v>
      </c>
      <c r="B89" s="4" t="s">
        <v>154</v>
      </c>
    </row>
    <row r="90" spans="1:2" hidden="1" x14ac:dyDescent="0.25">
      <c r="A90" s="5" t="s">
        <v>104</v>
      </c>
      <c r="B90" s="4" t="s">
        <v>154</v>
      </c>
    </row>
    <row r="91" spans="1:2" hidden="1" x14ac:dyDescent="0.25">
      <c r="A91" s="5" t="s">
        <v>105</v>
      </c>
      <c r="B91" s="4" t="s">
        <v>154</v>
      </c>
    </row>
    <row r="92" spans="1:2" hidden="1" x14ac:dyDescent="0.25">
      <c r="A92" s="5" t="s">
        <v>106</v>
      </c>
      <c r="B92" s="4" t="s">
        <v>154</v>
      </c>
    </row>
    <row r="93" spans="1:2" hidden="1" x14ac:dyDescent="0.25">
      <c r="A93" s="5" t="s">
        <v>107</v>
      </c>
      <c r="B93" s="4" t="s">
        <v>154</v>
      </c>
    </row>
    <row r="94" spans="1:2" x14ac:dyDescent="0.25">
      <c r="A94" s="43" t="str">
        <f>_xlfn.CONCAT(queryCARRADAS_20250905_83647[[#This Row],[ORIGEM]]&amp;queryCARRADAS_20250905_83647[[#This Row],[DESTINO]]&amp;queryCARRADAS_20250905_83647[[#This Row],[MATERIAL]])</f>
        <v>GRANORTEEXPOEMABICA CORRIDA</v>
      </c>
      <c r="B94" s="43" t="s">
        <v>85</v>
      </c>
    </row>
    <row r="95" spans="1:2" x14ac:dyDescent="0.25">
      <c r="A95" s="5" t="s">
        <v>109</v>
      </c>
      <c r="B95" s="6" t="s">
        <v>85</v>
      </c>
    </row>
    <row r="96" spans="1:2" x14ac:dyDescent="0.25">
      <c r="A96" s="4" t="s">
        <v>112</v>
      </c>
      <c r="B96" s="6" t="s">
        <v>156</v>
      </c>
    </row>
    <row r="97" spans="1:2" x14ac:dyDescent="0.25">
      <c r="A97" s="4" t="s">
        <v>113</v>
      </c>
      <c r="B97" s="6" t="s">
        <v>157</v>
      </c>
    </row>
    <row r="98" spans="1:2" x14ac:dyDescent="0.25">
      <c r="A98" s="4" t="s">
        <v>114</v>
      </c>
      <c r="B98" s="6" t="s">
        <v>15</v>
      </c>
    </row>
    <row r="99" spans="1:2" x14ac:dyDescent="0.25">
      <c r="A99" s="4" t="s">
        <v>115</v>
      </c>
      <c r="B99" s="6" t="s">
        <v>85</v>
      </c>
    </row>
    <row r="100" spans="1:2" x14ac:dyDescent="0.25">
      <c r="A100" s="4" t="s">
        <v>116</v>
      </c>
      <c r="B100" s="6" t="s">
        <v>85</v>
      </c>
    </row>
    <row r="101" spans="1:2" x14ac:dyDescent="0.25">
      <c r="A101" s="4" t="s">
        <v>117</v>
      </c>
      <c r="B101" s="6" t="s">
        <v>85</v>
      </c>
    </row>
    <row r="102" spans="1:2" x14ac:dyDescent="0.25">
      <c r="A102" s="4" t="s">
        <v>115</v>
      </c>
      <c r="B102" s="6" t="s">
        <v>85</v>
      </c>
    </row>
    <row r="103" spans="1:2" x14ac:dyDescent="0.25">
      <c r="A103" s="4" t="s">
        <v>117</v>
      </c>
      <c r="B103" s="6" t="s">
        <v>85</v>
      </c>
    </row>
    <row r="104" spans="1:2" x14ac:dyDescent="0.25">
      <c r="A104" s="5" t="s">
        <v>117</v>
      </c>
      <c r="B104" s="6" t="s">
        <v>85</v>
      </c>
    </row>
    <row r="105" spans="1:2" x14ac:dyDescent="0.25">
      <c r="A105" s="5" t="s">
        <v>115</v>
      </c>
      <c r="B105" s="6" t="s">
        <v>85</v>
      </c>
    </row>
    <row r="106" spans="1:2" x14ac:dyDescent="0.25">
      <c r="A106" s="4" t="s">
        <v>117</v>
      </c>
      <c r="B106" s="6" t="s">
        <v>85</v>
      </c>
    </row>
    <row r="107" spans="1:2" x14ac:dyDescent="0.25">
      <c r="A107" s="4" t="s">
        <v>114</v>
      </c>
      <c r="B107" s="6" t="s">
        <v>15</v>
      </c>
    </row>
    <row r="108" spans="1:2" x14ac:dyDescent="0.25">
      <c r="A108" s="4" t="s">
        <v>118</v>
      </c>
      <c r="B108" s="6" t="s">
        <v>15</v>
      </c>
    </row>
    <row r="109" spans="1:2" x14ac:dyDescent="0.25">
      <c r="A109" s="4" t="s">
        <v>118</v>
      </c>
      <c r="B109" s="6" t="s">
        <v>15</v>
      </c>
    </row>
    <row r="110" spans="1:2" x14ac:dyDescent="0.25">
      <c r="A110" s="4" t="s">
        <v>119</v>
      </c>
      <c r="B110" s="6" t="s">
        <v>15</v>
      </c>
    </row>
    <row r="111" spans="1:2" x14ac:dyDescent="0.25">
      <c r="A111" s="4" t="s">
        <v>119</v>
      </c>
      <c r="B111" s="6" t="s">
        <v>15</v>
      </c>
    </row>
    <row r="112" spans="1:2" x14ac:dyDescent="0.25">
      <c r="A112" s="4" t="s">
        <v>119</v>
      </c>
      <c r="B112" s="6" t="s">
        <v>15</v>
      </c>
    </row>
    <row r="113" spans="1:2" x14ac:dyDescent="0.25">
      <c r="A113" s="4" t="s">
        <v>119</v>
      </c>
      <c r="B113" s="6" t="s">
        <v>15</v>
      </c>
    </row>
    <row r="114" spans="1:2" x14ac:dyDescent="0.25">
      <c r="A114" s="4" t="s">
        <v>120</v>
      </c>
      <c r="B114" s="6" t="s">
        <v>15</v>
      </c>
    </row>
    <row r="115" spans="1:2" x14ac:dyDescent="0.25">
      <c r="A115" s="4" t="s">
        <v>121</v>
      </c>
      <c r="B115" s="6" t="s">
        <v>11</v>
      </c>
    </row>
    <row r="116" spans="1:2" x14ac:dyDescent="0.25">
      <c r="A116" s="4" t="s">
        <v>122</v>
      </c>
      <c r="B116" s="6" t="s">
        <v>11</v>
      </c>
    </row>
    <row r="117" spans="1:2" x14ac:dyDescent="0.25">
      <c r="A117" s="4" t="s">
        <v>121</v>
      </c>
      <c r="B117" s="6" t="s">
        <v>11</v>
      </c>
    </row>
    <row r="118" spans="1:2" x14ac:dyDescent="0.25">
      <c r="A118" s="4" t="s">
        <v>121</v>
      </c>
      <c r="B118" s="6" t="s">
        <v>11</v>
      </c>
    </row>
    <row r="119" spans="1:2" x14ac:dyDescent="0.25">
      <c r="A119" s="4" t="s">
        <v>122</v>
      </c>
      <c r="B119" s="6" t="s">
        <v>11</v>
      </c>
    </row>
    <row r="120" spans="1:2" x14ac:dyDescent="0.25">
      <c r="A120" s="4" t="s">
        <v>117</v>
      </c>
      <c r="B120" s="6" t="s">
        <v>85</v>
      </c>
    </row>
    <row r="121" spans="1:2" x14ac:dyDescent="0.25">
      <c r="A121" s="4" t="s">
        <v>117</v>
      </c>
      <c r="B121" s="6" t="s">
        <v>85</v>
      </c>
    </row>
    <row r="122" spans="1:2" x14ac:dyDescent="0.25">
      <c r="A122" s="4" t="s">
        <v>117</v>
      </c>
      <c r="B122" s="6" t="s">
        <v>85</v>
      </c>
    </row>
    <row r="123" spans="1:2" x14ac:dyDescent="0.25">
      <c r="A123" s="4" t="s">
        <v>117</v>
      </c>
      <c r="B123" s="6" t="s">
        <v>85</v>
      </c>
    </row>
    <row r="124" spans="1:2" x14ac:dyDescent="0.25">
      <c r="A124" s="4" t="s">
        <v>119</v>
      </c>
      <c r="B124" s="6" t="s">
        <v>15</v>
      </c>
    </row>
    <row r="125" spans="1:2" x14ac:dyDescent="0.25">
      <c r="A125" s="4" t="s">
        <v>118</v>
      </c>
      <c r="B125" s="6" t="s">
        <v>15</v>
      </c>
    </row>
    <row r="126" spans="1:2" x14ac:dyDescent="0.25">
      <c r="A126" s="4" t="s">
        <v>117</v>
      </c>
      <c r="B126" s="6" t="s">
        <v>85</v>
      </c>
    </row>
    <row r="127" spans="1:2" x14ac:dyDescent="0.25">
      <c r="A127" s="4" t="s">
        <v>116</v>
      </c>
      <c r="B127" s="6" t="s">
        <v>155</v>
      </c>
    </row>
    <row r="128" spans="1:2" x14ac:dyDescent="0.25">
      <c r="A128" s="4" t="s">
        <v>123</v>
      </c>
      <c r="B128" s="6" t="s">
        <v>155</v>
      </c>
    </row>
    <row r="129" spans="1:2" x14ac:dyDescent="0.25">
      <c r="A129" s="4" t="s">
        <v>124</v>
      </c>
      <c r="B129" s="6" t="s">
        <v>82</v>
      </c>
    </row>
    <row r="130" spans="1:2" x14ac:dyDescent="0.25">
      <c r="A130" s="4" t="s">
        <v>116</v>
      </c>
      <c r="B130" s="6" t="s">
        <v>85</v>
      </c>
    </row>
    <row r="131" spans="1:2" x14ac:dyDescent="0.25">
      <c r="A131" s="4" t="s">
        <v>116</v>
      </c>
      <c r="B131" s="6" t="s">
        <v>155</v>
      </c>
    </row>
    <row r="132" spans="1:2" x14ac:dyDescent="0.25">
      <c r="A132" s="4" t="s">
        <v>116</v>
      </c>
      <c r="B132" s="6" t="s">
        <v>155</v>
      </c>
    </row>
    <row r="133" spans="1:2" x14ac:dyDescent="0.25">
      <c r="A133" s="4" t="s">
        <v>116</v>
      </c>
      <c r="B133" s="6" t="s">
        <v>155</v>
      </c>
    </row>
    <row r="134" spans="1:2" x14ac:dyDescent="0.25">
      <c r="A134" s="4" t="s">
        <v>125</v>
      </c>
      <c r="B134" s="6" t="s">
        <v>15</v>
      </c>
    </row>
    <row r="135" spans="1:2" x14ac:dyDescent="0.25">
      <c r="A135" s="4" t="s">
        <v>115</v>
      </c>
      <c r="B135" s="6" t="s">
        <v>85</v>
      </c>
    </row>
    <row r="136" spans="1:2" x14ac:dyDescent="0.25">
      <c r="A136" s="4" t="s">
        <v>116</v>
      </c>
      <c r="B136" s="6" t="s">
        <v>155</v>
      </c>
    </row>
    <row r="137" spans="1:2" x14ac:dyDescent="0.25">
      <c r="A137" s="4" t="s">
        <v>126</v>
      </c>
      <c r="B137" s="6" t="s">
        <v>15</v>
      </c>
    </row>
    <row r="138" spans="1:2" x14ac:dyDescent="0.25">
      <c r="A138" s="4" t="s">
        <v>123</v>
      </c>
      <c r="B138" s="6" t="s">
        <v>155</v>
      </c>
    </row>
    <row r="139" spans="1:2" x14ac:dyDescent="0.25">
      <c r="A139" s="4" t="s">
        <v>123</v>
      </c>
      <c r="B139" s="6" t="s">
        <v>155</v>
      </c>
    </row>
    <row r="140" spans="1:2" x14ac:dyDescent="0.25">
      <c r="A140" s="4" t="s">
        <v>116</v>
      </c>
      <c r="B140" s="6" t="s">
        <v>155</v>
      </c>
    </row>
    <row r="141" spans="1:2" x14ac:dyDescent="0.25">
      <c r="A141" s="4" t="s">
        <v>115</v>
      </c>
      <c r="B141" s="6" t="s">
        <v>155</v>
      </c>
    </row>
    <row r="142" spans="1:2" x14ac:dyDescent="0.25">
      <c r="A142" s="4" t="s">
        <v>116</v>
      </c>
      <c r="B142" s="6" t="s">
        <v>155</v>
      </c>
    </row>
    <row r="143" spans="1:2" x14ac:dyDescent="0.25">
      <c r="A143" s="4" t="s">
        <v>116</v>
      </c>
      <c r="B143" s="6" t="s">
        <v>155</v>
      </c>
    </row>
    <row r="144" spans="1:2" x14ac:dyDescent="0.25">
      <c r="A144" s="4" t="s">
        <v>126</v>
      </c>
      <c r="B144" s="6" t="s">
        <v>15</v>
      </c>
    </row>
    <row r="145" spans="1:2" x14ac:dyDescent="0.25">
      <c r="A145" s="4" t="s">
        <v>116</v>
      </c>
      <c r="B145" s="6" t="s">
        <v>155</v>
      </c>
    </row>
    <row r="146" spans="1:2" x14ac:dyDescent="0.25">
      <c r="A146" s="4" t="s">
        <v>116</v>
      </c>
      <c r="B146" s="6" t="s">
        <v>155</v>
      </c>
    </row>
    <row r="147" spans="1:2" x14ac:dyDescent="0.25">
      <c r="A147" s="4" t="s">
        <v>116</v>
      </c>
      <c r="B147" s="6" t="s">
        <v>155</v>
      </c>
    </row>
    <row r="148" spans="1:2" x14ac:dyDescent="0.25">
      <c r="A148" s="4" t="s">
        <v>116</v>
      </c>
      <c r="B148" s="6" t="s">
        <v>155</v>
      </c>
    </row>
    <row r="149" spans="1:2" x14ac:dyDescent="0.25">
      <c r="A149" s="4" t="s">
        <v>123</v>
      </c>
      <c r="B149" s="6" t="s">
        <v>155</v>
      </c>
    </row>
    <row r="150" spans="1:2" x14ac:dyDescent="0.25">
      <c r="A150" s="4" t="s">
        <v>124</v>
      </c>
      <c r="B150" s="6" t="s">
        <v>82</v>
      </c>
    </row>
    <row r="151" spans="1:2" x14ac:dyDescent="0.25">
      <c r="A151" s="4" t="s">
        <v>127</v>
      </c>
      <c r="B151" s="6" t="s">
        <v>15</v>
      </c>
    </row>
    <row r="152" spans="1:2" x14ac:dyDescent="0.25">
      <c r="A152" s="4" t="s">
        <v>116</v>
      </c>
      <c r="B152" s="6" t="s">
        <v>155</v>
      </c>
    </row>
    <row r="153" spans="1:2" x14ac:dyDescent="0.25">
      <c r="A153" s="4" t="s">
        <v>116</v>
      </c>
      <c r="B153" s="6" t="s">
        <v>155</v>
      </c>
    </row>
    <row r="154" spans="1:2" x14ac:dyDescent="0.25">
      <c r="A154" s="4" t="s">
        <v>116</v>
      </c>
      <c r="B154" s="6" t="s">
        <v>155</v>
      </c>
    </row>
    <row r="155" spans="1:2" x14ac:dyDescent="0.25">
      <c r="A155" s="4" t="s">
        <v>128</v>
      </c>
      <c r="B155" s="6" t="s">
        <v>15</v>
      </c>
    </row>
    <row r="156" spans="1:2" x14ac:dyDescent="0.25">
      <c r="A156" s="4" t="s">
        <v>116</v>
      </c>
      <c r="B156" s="6" t="s">
        <v>155</v>
      </c>
    </row>
    <row r="157" spans="1:2" x14ac:dyDescent="0.25">
      <c r="A157" s="4" t="s">
        <v>127</v>
      </c>
      <c r="B157" s="6" t="s">
        <v>154</v>
      </c>
    </row>
    <row r="158" spans="1:2" x14ac:dyDescent="0.25">
      <c r="A158" s="4" t="s">
        <v>116</v>
      </c>
      <c r="B158" s="6" t="s">
        <v>111</v>
      </c>
    </row>
    <row r="159" spans="1:2" x14ac:dyDescent="0.25">
      <c r="A159" s="4" t="s">
        <v>116</v>
      </c>
      <c r="B159" s="6" t="s">
        <v>111</v>
      </c>
    </row>
    <row r="160" spans="1:2" x14ac:dyDescent="0.25">
      <c r="A160" s="5" t="s">
        <v>128</v>
      </c>
      <c r="B160" s="6" t="s">
        <v>154</v>
      </c>
    </row>
    <row r="161" spans="1:2" x14ac:dyDescent="0.25">
      <c r="A161" s="5" t="s">
        <v>129</v>
      </c>
      <c r="B161" s="6" t="s">
        <v>11</v>
      </c>
    </row>
    <row r="162" spans="1:2" x14ac:dyDescent="0.25">
      <c r="A162" s="5" t="s">
        <v>130</v>
      </c>
      <c r="B162" s="6" t="s">
        <v>11</v>
      </c>
    </row>
    <row r="163" spans="1:2" x14ac:dyDescent="0.25">
      <c r="A163" s="5" t="s">
        <v>130</v>
      </c>
      <c r="B163" s="6" t="s">
        <v>11</v>
      </c>
    </row>
    <row r="164" spans="1:2" x14ac:dyDescent="0.25">
      <c r="A164" s="5" t="s">
        <v>131</v>
      </c>
      <c r="B164" s="6" t="s">
        <v>154</v>
      </c>
    </row>
    <row r="165" spans="1:2" x14ac:dyDescent="0.25">
      <c r="A165" s="5" t="s">
        <v>124</v>
      </c>
      <c r="B165" s="6" t="s">
        <v>82</v>
      </c>
    </row>
    <row r="166" spans="1:2" x14ac:dyDescent="0.25">
      <c r="A166" s="5" t="s">
        <v>130</v>
      </c>
      <c r="B166" s="6" t="s">
        <v>11</v>
      </c>
    </row>
    <row r="167" spans="1:2" x14ac:dyDescent="0.25">
      <c r="A167" s="5" t="s">
        <v>130</v>
      </c>
      <c r="B167" s="6" t="s">
        <v>11</v>
      </c>
    </row>
    <row r="168" spans="1:2" x14ac:dyDescent="0.25">
      <c r="A168" s="5" t="s">
        <v>131</v>
      </c>
      <c r="B168" s="6" t="s">
        <v>154</v>
      </c>
    </row>
    <row r="169" spans="1:2" x14ac:dyDescent="0.25">
      <c r="A169" s="5" t="s">
        <v>132</v>
      </c>
      <c r="B169" s="6" t="s">
        <v>11</v>
      </c>
    </row>
    <row r="170" spans="1:2" x14ac:dyDescent="0.25">
      <c r="A170" s="5" t="s">
        <v>132</v>
      </c>
      <c r="B170" s="6" t="s">
        <v>11</v>
      </c>
    </row>
    <row r="171" spans="1:2" x14ac:dyDescent="0.25">
      <c r="A171" s="5" t="s">
        <v>130</v>
      </c>
      <c r="B171" s="6" t="s">
        <v>11</v>
      </c>
    </row>
    <row r="172" spans="1:2" x14ac:dyDescent="0.25">
      <c r="A172" s="5" t="s">
        <v>133</v>
      </c>
      <c r="B172" s="6" t="s">
        <v>11</v>
      </c>
    </row>
    <row r="173" spans="1:2" x14ac:dyDescent="0.25">
      <c r="A173" s="5" t="s">
        <v>134</v>
      </c>
      <c r="B173" s="6" t="s">
        <v>11</v>
      </c>
    </row>
    <row r="174" spans="1:2" x14ac:dyDescent="0.25">
      <c r="A174" s="5" t="s">
        <v>134</v>
      </c>
      <c r="B174" s="6" t="s">
        <v>11</v>
      </c>
    </row>
    <row r="175" spans="1:2" x14ac:dyDescent="0.25">
      <c r="A175" s="5" t="s">
        <v>135</v>
      </c>
      <c r="B175" s="6" t="s">
        <v>11</v>
      </c>
    </row>
    <row r="176" spans="1:2" x14ac:dyDescent="0.25">
      <c r="A176" s="5" t="s">
        <v>135</v>
      </c>
      <c r="B176" s="6" t="s">
        <v>11</v>
      </c>
    </row>
    <row r="177" spans="1:2" x14ac:dyDescent="0.25">
      <c r="A177" s="5" t="s">
        <v>130</v>
      </c>
      <c r="B177" s="6" t="s">
        <v>11</v>
      </c>
    </row>
    <row r="178" spans="1:2" x14ac:dyDescent="0.25">
      <c r="A178" s="5" t="s">
        <v>117</v>
      </c>
      <c r="B178" s="6" t="s">
        <v>155</v>
      </c>
    </row>
    <row r="179" spans="1:2" x14ac:dyDescent="0.25">
      <c r="A179" s="5" t="s">
        <v>117</v>
      </c>
      <c r="B179" s="6" t="s">
        <v>111</v>
      </c>
    </row>
    <row r="180" spans="1:2" x14ac:dyDescent="0.25">
      <c r="A180" s="5" t="s">
        <v>136</v>
      </c>
      <c r="B180" s="6" t="s">
        <v>154</v>
      </c>
    </row>
    <row r="181" spans="1:2" x14ac:dyDescent="0.25">
      <c r="A181" s="5" t="s">
        <v>134</v>
      </c>
      <c r="B181" s="6" t="s">
        <v>11</v>
      </c>
    </row>
    <row r="182" spans="1:2" x14ac:dyDescent="0.25">
      <c r="A182" s="5" t="s">
        <v>137</v>
      </c>
      <c r="B182" s="6" t="s">
        <v>85</v>
      </c>
    </row>
    <row r="183" spans="1:2" x14ac:dyDescent="0.25">
      <c r="A183" s="5" t="s">
        <v>134</v>
      </c>
      <c r="B183" s="6" t="s">
        <v>11</v>
      </c>
    </row>
    <row r="184" spans="1:2" x14ac:dyDescent="0.25">
      <c r="A184" s="5" t="s">
        <v>136</v>
      </c>
      <c r="B184" s="6" t="s">
        <v>154</v>
      </c>
    </row>
    <row r="185" spans="1:2" x14ac:dyDescent="0.25">
      <c r="A185" s="5" t="s">
        <v>136</v>
      </c>
      <c r="B185" s="6" t="s">
        <v>154</v>
      </c>
    </row>
    <row r="186" spans="1:2" x14ac:dyDescent="0.25">
      <c r="A186" s="5" t="s">
        <v>134</v>
      </c>
      <c r="B186" s="6" t="s">
        <v>11</v>
      </c>
    </row>
    <row r="187" spans="1:2" x14ac:dyDescent="0.25">
      <c r="A187" s="5" t="s">
        <v>117</v>
      </c>
      <c r="B187" s="6" t="s">
        <v>111</v>
      </c>
    </row>
    <row r="188" spans="1:2" x14ac:dyDescent="0.25">
      <c r="A188" s="5" t="s">
        <v>138</v>
      </c>
      <c r="B188" s="6" t="s">
        <v>11</v>
      </c>
    </row>
    <row r="189" spans="1:2" x14ac:dyDescent="0.25">
      <c r="A189" s="5" t="s">
        <v>117</v>
      </c>
      <c r="B189" s="6" t="s">
        <v>111</v>
      </c>
    </row>
    <row r="190" spans="1:2" x14ac:dyDescent="0.25">
      <c r="A190" s="5" t="s">
        <v>117</v>
      </c>
      <c r="B190" s="6" t="s">
        <v>111</v>
      </c>
    </row>
    <row r="191" spans="1:2" x14ac:dyDescent="0.25">
      <c r="A191" s="5" t="s">
        <v>117</v>
      </c>
      <c r="B191" s="6" t="s">
        <v>111</v>
      </c>
    </row>
    <row r="192" spans="1:2" x14ac:dyDescent="0.25">
      <c r="A192" s="5" t="s">
        <v>117</v>
      </c>
      <c r="B192" s="6" t="s">
        <v>111</v>
      </c>
    </row>
    <row r="193" spans="1:2" x14ac:dyDescent="0.25">
      <c r="A193" s="5" t="s">
        <v>117</v>
      </c>
      <c r="B193" s="6" t="s">
        <v>111</v>
      </c>
    </row>
    <row r="194" spans="1:2" x14ac:dyDescent="0.25">
      <c r="A194" s="5" t="s">
        <v>126</v>
      </c>
      <c r="B194" s="6" t="s">
        <v>154</v>
      </c>
    </row>
    <row r="195" spans="1:2" x14ac:dyDescent="0.25">
      <c r="A195" s="5" t="s">
        <v>117</v>
      </c>
      <c r="B195" s="6" t="s">
        <v>111</v>
      </c>
    </row>
    <row r="196" spans="1:2" x14ac:dyDescent="0.25">
      <c r="A196" s="5" t="s">
        <v>117</v>
      </c>
      <c r="B196" s="6" t="s">
        <v>111</v>
      </c>
    </row>
    <row r="197" spans="1:2" x14ac:dyDescent="0.25">
      <c r="A197" s="5" t="s">
        <v>139</v>
      </c>
      <c r="B197" s="6" t="s">
        <v>82</v>
      </c>
    </row>
    <row r="198" spans="1:2" x14ac:dyDescent="0.25">
      <c r="A198" s="5" t="s">
        <v>126</v>
      </c>
      <c r="B198" s="6" t="s">
        <v>154</v>
      </c>
    </row>
    <row r="199" spans="1:2" x14ac:dyDescent="0.25">
      <c r="A199" s="5" t="s">
        <v>117</v>
      </c>
      <c r="B199" s="6" t="s">
        <v>111</v>
      </c>
    </row>
    <row r="200" spans="1:2" x14ac:dyDescent="0.25">
      <c r="A200" s="5" t="s">
        <v>116</v>
      </c>
      <c r="B200" s="6" t="s">
        <v>111</v>
      </c>
    </row>
    <row r="201" spans="1:2" x14ac:dyDescent="0.25">
      <c r="A201" s="5" t="s">
        <v>140</v>
      </c>
      <c r="B201" s="6" t="s">
        <v>85</v>
      </c>
    </row>
    <row r="202" spans="1:2" x14ac:dyDescent="0.25">
      <c r="A202" s="5" t="s">
        <v>116</v>
      </c>
      <c r="B202" s="6" t="s">
        <v>111</v>
      </c>
    </row>
    <row r="203" spans="1:2" x14ac:dyDescent="0.25">
      <c r="A203" s="5" t="s">
        <v>141</v>
      </c>
      <c r="B203" s="6" t="s">
        <v>154</v>
      </c>
    </row>
    <row r="204" spans="1:2" x14ac:dyDescent="0.25">
      <c r="A204" s="5" t="s">
        <v>142</v>
      </c>
      <c r="B204" s="6" t="s">
        <v>85</v>
      </c>
    </row>
    <row r="205" spans="1:2" x14ac:dyDescent="0.25">
      <c r="A205" s="5" t="s">
        <v>143</v>
      </c>
      <c r="B205" s="6" t="s">
        <v>85</v>
      </c>
    </row>
    <row r="206" spans="1:2" x14ac:dyDescent="0.25">
      <c r="A206" s="5" t="s">
        <v>116</v>
      </c>
      <c r="B206" s="6" t="s">
        <v>111</v>
      </c>
    </row>
    <row r="207" spans="1:2" x14ac:dyDescent="0.25">
      <c r="A207" s="5" t="s">
        <v>126</v>
      </c>
      <c r="B207" s="6" t="s">
        <v>154</v>
      </c>
    </row>
    <row r="208" spans="1:2" x14ac:dyDescent="0.25">
      <c r="A208" s="5" t="s">
        <v>144</v>
      </c>
      <c r="B208" s="6" t="s">
        <v>82</v>
      </c>
    </row>
    <row r="209" spans="1:2" x14ac:dyDescent="0.25">
      <c r="A209" s="5" t="s">
        <v>116</v>
      </c>
      <c r="B209" s="6" t="s">
        <v>111</v>
      </c>
    </row>
    <row r="210" spans="1:2" x14ac:dyDescent="0.25">
      <c r="A210" s="5" t="s">
        <v>145</v>
      </c>
      <c r="B210" s="6" t="s">
        <v>15</v>
      </c>
    </row>
    <row r="211" spans="1:2" x14ac:dyDescent="0.25">
      <c r="A211" s="5" t="s">
        <v>146</v>
      </c>
      <c r="B211" s="6" t="s">
        <v>85</v>
      </c>
    </row>
    <row r="212" spans="1:2" x14ac:dyDescent="0.25">
      <c r="A212" s="5" t="s">
        <v>116</v>
      </c>
      <c r="B212" s="6" t="s">
        <v>111</v>
      </c>
    </row>
    <row r="213" spans="1:2" x14ac:dyDescent="0.25">
      <c r="A213" s="5" t="s">
        <v>144</v>
      </c>
      <c r="B213" s="6" t="s">
        <v>82</v>
      </c>
    </row>
    <row r="214" spans="1:2" x14ac:dyDescent="0.25">
      <c r="A214" s="5" t="s">
        <v>126</v>
      </c>
      <c r="B214" s="6" t="s">
        <v>154</v>
      </c>
    </row>
    <row r="215" spans="1:2" x14ac:dyDescent="0.25">
      <c r="A215" s="5" t="s">
        <v>143</v>
      </c>
      <c r="B215" s="6" t="s">
        <v>85</v>
      </c>
    </row>
    <row r="216" spans="1:2" x14ac:dyDescent="0.25">
      <c r="A216" s="5" t="s">
        <v>146</v>
      </c>
      <c r="B216" s="6" t="s">
        <v>85</v>
      </c>
    </row>
    <row r="217" spans="1:2" x14ac:dyDescent="0.25">
      <c r="A217" s="5" t="s">
        <v>143</v>
      </c>
      <c r="B217" s="6" t="s">
        <v>85</v>
      </c>
    </row>
    <row r="218" spans="1:2" x14ac:dyDescent="0.25">
      <c r="A218" s="5" t="s">
        <v>146</v>
      </c>
      <c r="B218" s="6" t="s">
        <v>85</v>
      </c>
    </row>
    <row r="219" spans="1:2" x14ac:dyDescent="0.25">
      <c r="A219" s="5" t="s">
        <v>116</v>
      </c>
      <c r="B219" s="6" t="s">
        <v>111</v>
      </c>
    </row>
    <row r="220" spans="1:2" x14ac:dyDescent="0.25">
      <c r="A220" s="5" t="s">
        <v>116</v>
      </c>
      <c r="B220" s="6" t="s">
        <v>111</v>
      </c>
    </row>
    <row r="221" spans="1:2" x14ac:dyDescent="0.25">
      <c r="A221" s="5" t="s">
        <v>143</v>
      </c>
      <c r="B221" s="6" t="s">
        <v>85</v>
      </c>
    </row>
    <row r="222" spans="1:2" x14ac:dyDescent="0.25">
      <c r="A222" s="5" t="s">
        <v>112</v>
      </c>
      <c r="B222" s="6" t="s">
        <v>156</v>
      </c>
    </row>
    <row r="223" spans="1:2" x14ac:dyDescent="0.25">
      <c r="A223" s="5" t="s">
        <v>118</v>
      </c>
      <c r="B223" s="6" t="s">
        <v>15</v>
      </c>
    </row>
    <row r="224" spans="1:2" x14ac:dyDescent="0.25">
      <c r="A224" s="5" t="s">
        <v>119</v>
      </c>
      <c r="B224" s="6" t="s">
        <v>154</v>
      </c>
    </row>
    <row r="225" spans="1:2" x14ac:dyDescent="0.25">
      <c r="A225" s="5" t="s">
        <v>118</v>
      </c>
      <c r="B225" s="6" t="s">
        <v>154</v>
      </c>
    </row>
    <row r="226" spans="1:2" x14ac:dyDescent="0.25">
      <c r="A226" s="5" t="s">
        <v>119</v>
      </c>
      <c r="B226" s="6" t="s">
        <v>154</v>
      </c>
    </row>
    <row r="227" spans="1:2" x14ac:dyDescent="0.25">
      <c r="A227" s="5" t="s">
        <v>118</v>
      </c>
      <c r="B227" s="6" t="s">
        <v>154</v>
      </c>
    </row>
    <row r="228" spans="1:2" x14ac:dyDescent="0.25">
      <c r="A228" s="5" t="s">
        <v>119</v>
      </c>
      <c r="B228" s="6" t="s">
        <v>154</v>
      </c>
    </row>
    <row r="229" spans="1:2" x14ac:dyDescent="0.25">
      <c r="A229" s="5" t="s">
        <v>126</v>
      </c>
      <c r="B229" s="6" t="s">
        <v>154</v>
      </c>
    </row>
    <row r="230" spans="1:2" x14ac:dyDescent="0.25">
      <c r="A230" s="5" t="s">
        <v>119</v>
      </c>
      <c r="B230" s="6" t="s">
        <v>154</v>
      </c>
    </row>
    <row r="231" spans="1:2" x14ac:dyDescent="0.25">
      <c r="A231" s="5" t="s">
        <v>119</v>
      </c>
      <c r="B231" s="6" t="s">
        <v>154</v>
      </c>
    </row>
    <row r="232" spans="1:2" x14ac:dyDescent="0.25">
      <c r="A232" s="5" t="s">
        <v>127</v>
      </c>
      <c r="B232" s="6" t="s">
        <v>154</v>
      </c>
    </row>
    <row r="233" spans="1:2" x14ac:dyDescent="0.25">
      <c r="A233" s="5" t="s">
        <v>127</v>
      </c>
      <c r="B233" s="6" t="s">
        <v>154</v>
      </c>
    </row>
    <row r="234" spans="1:2" x14ac:dyDescent="0.25">
      <c r="A234" s="5" t="s">
        <v>127</v>
      </c>
      <c r="B234" s="6" t="s">
        <v>154</v>
      </c>
    </row>
    <row r="235" spans="1:2" x14ac:dyDescent="0.25">
      <c r="A235" s="5" t="s">
        <v>147</v>
      </c>
      <c r="B235" s="6" t="s">
        <v>154</v>
      </c>
    </row>
    <row r="236" spans="1:2" x14ac:dyDescent="0.25">
      <c r="A236" s="5" t="s">
        <v>112</v>
      </c>
      <c r="B236" s="6" t="s">
        <v>156</v>
      </c>
    </row>
    <row r="237" spans="1:2" x14ac:dyDescent="0.25">
      <c r="A237" s="5" t="s">
        <v>119</v>
      </c>
      <c r="B237" s="6" t="s">
        <v>154</v>
      </c>
    </row>
    <row r="238" spans="1:2" x14ac:dyDescent="0.25">
      <c r="A238" s="5" t="s">
        <v>119</v>
      </c>
      <c r="B238" s="6" t="s">
        <v>154</v>
      </c>
    </row>
    <row r="239" spans="1:2" x14ac:dyDescent="0.25">
      <c r="A239" s="5" t="s">
        <v>148</v>
      </c>
      <c r="B239" s="6" t="s">
        <v>156</v>
      </c>
    </row>
    <row r="240" spans="1:2" x14ac:dyDescent="0.25">
      <c r="A240" s="5" t="s">
        <v>126</v>
      </c>
      <c r="B240" s="6" t="s">
        <v>154</v>
      </c>
    </row>
    <row r="241" spans="1:2" x14ac:dyDescent="0.25">
      <c r="A241" s="5" t="s">
        <v>126</v>
      </c>
      <c r="B241" s="6" t="s">
        <v>154</v>
      </c>
    </row>
    <row r="242" spans="1:2" x14ac:dyDescent="0.25">
      <c r="A242" s="5" t="s">
        <v>124</v>
      </c>
      <c r="B242" s="6" t="s">
        <v>82</v>
      </c>
    </row>
    <row r="243" spans="1:2" x14ac:dyDescent="0.25">
      <c r="A243" s="5" t="s">
        <v>127</v>
      </c>
      <c r="B243" s="6" t="s">
        <v>154</v>
      </c>
    </row>
    <row r="244" spans="1:2" x14ac:dyDescent="0.25">
      <c r="A244" s="5" t="s">
        <v>126</v>
      </c>
      <c r="B244" s="6" t="s">
        <v>154</v>
      </c>
    </row>
    <row r="245" spans="1:2" x14ac:dyDescent="0.25">
      <c r="A245" s="5" t="s">
        <v>149</v>
      </c>
      <c r="B245" s="6" t="s">
        <v>154</v>
      </c>
    </row>
    <row r="246" spans="1:2" x14ac:dyDescent="0.25">
      <c r="A246" s="5" t="s">
        <v>126</v>
      </c>
      <c r="B246" s="6" t="s">
        <v>154</v>
      </c>
    </row>
    <row r="247" spans="1:2" x14ac:dyDescent="0.25">
      <c r="A247" s="5" t="s">
        <v>124</v>
      </c>
      <c r="B247" s="6" t="s">
        <v>14</v>
      </c>
    </row>
    <row r="248" spans="1:2" x14ac:dyDescent="0.25">
      <c r="A248" s="5" t="s">
        <v>150</v>
      </c>
      <c r="B248" s="6" t="s">
        <v>15</v>
      </c>
    </row>
    <row r="249" spans="1:2" x14ac:dyDescent="0.25">
      <c r="A249" s="5" t="s">
        <v>127</v>
      </c>
      <c r="B249" s="6" t="s">
        <v>154</v>
      </c>
    </row>
    <row r="250" spans="1:2" x14ac:dyDescent="0.25">
      <c r="A250" s="5" t="s">
        <v>148</v>
      </c>
      <c r="B250" s="6" t="s">
        <v>156</v>
      </c>
    </row>
    <row r="251" spans="1:2" x14ac:dyDescent="0.25">
      <c r="A251" s="5" t="s">
        <v>150</v>
      </c>
      <c r="B251" s="6" t="s">
        <v>15</v>
      </c>
    </row>
    <row r="252" spans="1:2" x14ac:dyDescent="0.25">
      <c r="A252" s="5" t="s">
        <v>119</v>
      </c>
      <c r="B252" s="6" t="s">
        <v>154</v>
      </c>
    </row>
    <row r="253" spans="1:2" x14ac:dyDescent="0.25">
      <c r="A253" s="5" t="s">
        <v>148</v>
      </c>
      <c r="B253" s="6" t="s">
        <v>156</v>
      </c>
    </row>
    <row r="254" spans="1:2" x14ac:dyDescent="0.25">
      <c r="A254" s="5" t="s">
        <v>150</v>
      </c>
      <c r="B254" s="6" t="s">
        <v>15</v>
      </c>
    </row>
    <row r="255" spans="1:2" x14ac:dyDescent="0.25">
      <c r="A255" s="5" t="s">
        <v>136</v>
      </c>
      <c r="B255" s="6" t="s">
        <v>154</v>
      </c>
    </row>
    <row r="256" spans="1:2" x14ac:dyDescent="0.25">
      <c r="A256" s="5" t="s">
        <v>148</v>
      </c>
      <c r="B256" s="6" t="s">
        <v>156</v>
      </c>
    </row>
    <row r="257" spans="1:2" x14ac:dyDescent="0.25">
      <c r="A257" s="5" t="s">
        <v>136</v>
      </c>
      <c r="B257" s="6" t="s">
        <v>154</v>
      </c>
    </row>
    <row r="258" spans="1:2" x14ac:dyDescent="0.25">
      <c r="A258" s="5" t="s">
        <v>148</v>
      </c>
      <c r="B258" s="6" t="s">
        <v>156</v>
      </c>
    </row>
    <row r="259" spans="1:2" x14ac:dyDescent="0.25">
      <c r="A259" s="5" t="s">
        <v>148</v>
      </c>
      <c r="B259" s="6" t="s">
        <v>156</v>
      </c>
    </row>
    <row r="260" spans="1:2" x14ac:dyDescent="0.25">
      <c r="A260" s="5" t="s">
        <v>136</v>
      </c>
      <c r="B260" s="6" t="s">
        <v>154</v>
      </c>
    </row>
    <row r="261" spans="1:2" x14ac:dyDescent="0.25">
      <c r="A261" s="5" t="s">
        <v>136</v>
      </c>
      <c r="B261" s="6" t="s">
        <v>154</v>
      </c>
    </row>
    <row r="262" spans="1:2" x14ac:dyDescent="0.25">
      <c r="A262" s="5" t="s">
        <v>148</v>
      </c>
      <c r="B262" s="6" t="s">
        <v>156</v>
      </c>
    </row>
    <row r="263" spans="1:2" x14ac:dyDescent="0.25">
      <c r="A263" s="5" t="s">
        <v>136</v>
      </c>
      <c r="B263" s="6" t="s">
        <v>154</v>
      </c>
    </row>
    <row r="264" spans="1:2" x14ac:dyDescent="0.25">
      <c r="A264" s="5" t="s">
        <v>136</v>
      </c>
      <c r="B264" s="6" t="s">
        <v>154</v>
      </c>
    </row>
    <row r="265" spans="1:2" x14ac:dyDescent="0.25">
      <c r="A265" s="5" t="s">
        <v>136</v>
      </c>
      <c r="B265" s="6" t="s">
        <v>154</v>
      </c>
    </row>
    <row r="266" spans="1:2" x14ac:dyDescent="0.25">
      <c r="A266" s="5" t="s">
        <v>136</v>
      </c>
      <c r="B266" s="6" t="s">
        <v>154</v>
      </c>
    </row>
    <row r="267" spans="1:2" x14ac:dyDescent="0.25">
      <c r="A267" s="5" t="s">
        <v>136</v>
      </c>
      <c r="B267" s="6" t="s">
        <v>154</v>
      </c>
    </row>
    <row r="268" spans="1:2" x14ac:dyDescent="0.25">
      <c r="A268" s="5" t="s">
        <v>126</v>
      </c>
      <c r="B268" s="6" t="s">
        <v>154</v>
      </c>
    </row>
    <row r="269" spans="1:2" x14ac:dyDescent="0.25">
      <c r="A269" s="5" t="s">
        <v>126</v>
      </c>
      <c r="B269" s="6" t="s">
        <v>154</v>
      </c>
    </row>
    <row r="270" spans="1:2" x14ac:dyDescent="0.25">
      <c r="A270" s="5" t="s">
        <v>136</v>
      </c>
      <c r="B270" s="6" t="s">
        <v>154</v>
      </c>
    </row>
    <row r="271" spans="1:2" x14ac:dyDescent="0.25">
      <c r="A271" s="5" t="s">
        <v>151</v>
      </c>
      <c r="B271" s="6" t="s">
        <v>154</v>
      </c>
    </row>
    <row r="272" spans="1:2" x14ac:dyDescent="0.25">
      <c r="A272" s="5" t="s">
        <v>151</v>
      </c>
      <c r="B272" s="6" t="s">
        <v>154</v>
      </c>
    </row>
    <row r="273" spans="1:2" x14ac:dyDescent="0.25">
      <c r="A273" s="5" t="s">
        <v>152</v>
      </c>
      <c r="B273" s="6" t="s">
        <v>156</v>
      </c>
    </row>
    <row r="274" spans="1:2" x14ac:dyDescent="0.25">
      <c r="A274" s="5" t="s">
        <v>126</v>
      </c>
      <c r="B274" s="6" t="s">
        <v>154</v>
      </c>
    </row>
    <row r="275" spans="1:2" x14ac:dyDescent="0.25">
      <c r="A275" s="5" t="s">
        <v>126</v>
      </c>
      <c r="B275" s="6" t="s">
        <v>154</v>
      </c>
    </row>
    <row r="276" spans="1:2" x14ac:dyDescent="0.25">
      <c r="A276" s="5" t="s">
        <v>126</v>
      </c>
      <c r="B276" s="6" t="s">
        <v>154</v>
      </c>
    </row>
    <row r="277" spans="1:2" x14ac:dyDescent="0.25">
      <c r="A277" s="5" t="s">
        <v>152</v>
      </c>
      <c r="B277" s="6" t="s">
        <v>156</v>
      </c>
    </row>
    <row r="278" spans="1:2" x14ac:dyDescent="0.25">
      <c r="A278" s="5" t="s">
        <v>136</v>
      </c>
      <c r="B278" s="6" t="s">
        <v>154</v>
      </c>
    </row>
    <row r="279" spans="1:2" x14ac:dyDescent="0.25">
      <c r="A279" s="5" t="s">
        <v>142</v>
      </c>
      <c r="B279" s="6" t="s">
        <v>15</v>
      </c>
    </row>
    <row r="280" spans="1:2" x14ac:dyDescent="0.25">
      <c r="A280" s="5" t="s">
        <v>152</v>
      </c>
      <c r="B280" s="6" t="s">
        <v>156</v>
      </c>
    </row>
    <row r="281" spans="1:2" x14ac:dyDescent="0.25">
      <c r="A281" s="5" t="s">
        <v>126</v>
      </c>
      <c r="B281" s="6" t="s">
        <v>154</v>
      </c>
    </row>
    <row r="282" spans="1:2" x14ac:dyDescent="0.25">
      <c r="A282" s="5" t="s">
        <v>136</v>
      </c>
      <c r="B282" s="6" t="s">
        <v>154</v>
      </c>
    </row>
    <row r="283" spans="1:2" x14ac:dyDescent="0.25">
      <c r="A283" s="5" t="s">
        <v>152</v>
      </c>
      <c r="B283" s="6" t="s">
        <v>156</v>
      </c>
    </row>
    <row r="284" spans="1:2" x14ac:dyDescent="0.25">
      <c r="A284" s="5" t="s">
        <v>136</v>
      </c>
      <c r="B284" s="6" t="s">
        <v>154</v>
      </c>
    </row>
    <row r="285" spans="1:2" x14ac:dyDescent="0.25">
      <c r="A285" s="5" t="s">
        <v>142</v>
      </c>
      <c r="B285" s="6" t="s">
        <v>15</v>
      </c>
    </row>
    <row r="286" spans="1:2" x14ac:dyDescent="0.25">
      <c r="A286" s="5" t="s">
        <v>153</v>
      </c>
      <c r="B286" s="6" t="s">
        <v>15</v>
      </c>
    </row>
    <row r="287" spans="1:2" x14ac:dyDescent="0.25">
      <c r="A287" s="5" t="s">
        <v>153</v>
      </c>
      <c r="B287" s="6" t="s">
        <v>15</v>
      </c>
    </row>
    <row r="288" spans="1:2" x14ac:dyDescent="0.25">
      <c r="A288" s="5" t="s">
        <v>153</v>
      </c>
      <c r="B288" s="6" t="s">
        <v>15</v>
      </c>
    </row>
    <row r="289" spans="1:2" x14ac:dyDescent="0.25">
      <c r="A289" s="5" t="s">
        <v>152</v>
      </c>
      <c r="B289" s="6" t="s">
        <v>156</v>
      </c>
    </row>
    <row r="290" spans="1:2" x14ac:dyDescent="0.25">
      <c r="A290" s="5" t="s">
        <v>152</v>
      </c>
      <c r="B290" s="6" t="s">
        <v>156</v>
      </c>
    </row>
    <row r="291" spans="1:2" x14ac:dyDescent="0.25">
      <c r="A291" s="5" t="s">
        <v>152</v>
      </c>
      <c r="B291" s="6" t="s">
        <v>156</v>
      </c>
    </row>
    <row r="292" spans="1:2" x14ac:dyDescent="0.25">
      <c r="A292" s="5" t="s">
        <v>152</v>
      </c>
      <c r="B292" s="6" t="s">
        <v>156</v>
      </c>
    </row>
    <row r="293" spans="1:2" x14ac:dyDescent="0.25">
      <c r="A293" s="5" t="s">
        <v>153</v>
      </c>
      <c r="B293" s="5" t="s">
        <v>15</v>
      </c>
    </row>
    <row r="294" spans="1:2" x14ac:dyDescent="0.25">
      <c r="A294" s="5" t="s">
        <v>158</v>
      </c>
      <c r="B294" s="5" t="s">
        <v>15</v>
      </c>
    </row>
    <row r="295" spans="1:2" x14ac:dyDescent="0.25">
      <c r="A295" s="5" t="s">
        <v>159</v>
      </c>
      <c r="B295" s="5" t="s">
        <v>154</v>
      </c>
    </row>
    <row r="296" spans="1:2" x14ac:dyDescent="0.25">
      <c r="A296" s="5" t="s">
        <v>160</v>
      </c>
      <c r="B296" s="5" t="s">
        <v>154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4D07-0C90-4B5E-AC1C-525F3AF3534A}">
  <dimension ref="B1:C775"/>
  <sheetViews>
    <sheetView showGridLines="0" workbookViewId="0">
      <pane ySplit="2" topLeftCell="A744" activePane="bottomLeft" state="frozen"/>
      <selection pane="bottomLeft" activeCell="B773" sqref="B773"/>
    </sheetView>
  </sheetViews>
  <sheetFormatPr defaultRowHeight="15" x14ac:dyDescent="0.25"/>
  <cols>
    <col min="2" max="2" width="72.42578125" bestFit="1" customWidth="1"/>
    <col min="3" max="3" width="16.42578125" style="1" bestFit="1" customWidth="1"/>
    <col min="5" max="5" width="71.85546875" bestFit="1" customWidth="1"/>
  </cols>
  <sheetData>
    <row r="1" spans="2:3" ht="10.5" customHeight="1" x14ac:dyDescent="0.25"/>
    <row r="2" spans="2:3" ht="19.5" customHeight="1" x14ac:dyDescent="0.35">
      <c r="B2" s="62" t="s">
        <v>12</v>
      </c>
      <c r="C2" s="61" t="s">
        <v>13</v>
      </c>
    </row>
    <row r="3" spans="2:3" x14ac:dyDescent="0.25">
      <c r="B3" s="4" t="s">
        <v>228</v>
      </c>
      <c r="C3" s="48" t="s">
        <v>224</v>
      </c>
    </row>
    <row r="4" spans="2:3" x14ac:dyDescent="0.25">
      <c r="B4" s="4" t="s">
        <v>229</v>
      </c>
      <c r="C4" s="48" t="s">
        <v>224</v>
      </c>
    </row>
    <row r="5" spans="2:3" x14ac:dyDescent="0.25">
      <c r="B5" s="4" t="s">
        <v>229</v>
      </c>
      <c r="C5" s="48" t="s">
        <v>224</v>
      </c>
    </row>
    <row r="6" spans="2:3" x14ac:dyDescent="0.25">
      <c r="B6" s="4" t="s">
        <v>228</v>
      </c>
      <c r="C6" s="48" t="s">
        <v>224</v>
      </c>
    </row>
    <row r="7" spans="2:3" x14ac:dyDescent="0.25">
      <c r="B7" s="4" t="s">
        <v>228</v>
      </c>
      <c r="C7" s="48" t="s">
        <v>224</v>
      </c>
    </row>
    <row r="8" spans="2:3" x14ac:dyDescent="0.25">
      <c r="B8" s="4" t="s">
        <v>228</v>
      </c>
      <c r="C8" s="48" t="s">
        <v>224</v>
      </c>
    </row>
    <row r="9" spans="2:3" x14ac:dyDescent="0.25">
      <c r="B9" s="4" t="s">
        <v>230</v>
      </c>
      <c r="C9" s="48" t="s">
        <v>224</v>
      </c>
    </row>
    <row r="10" spans="2:3" x14ac:dyDescent="0.25">
      <c r="B10" s="4" t="s">
        <v>228</v>
      </c>
      <c r="C10" s="48" t="s">
        <v>224</v>
      </c>
    </row>
    <row r="11" spans="2:3" x14ac:dyDescent="0.25">
      <c r="B11" s="4" t="s">
        <v>229</v>
      </c>
      <c r="C11" s="48" t="s">
        <v>224</v>
      </c>
    </row>
    <row r="12" spans="2:3" x14ac:dyDescent="0.25">
      <c r="B12" s="4" t="s">
        <v>228</v>
      </c>
      <c r="C12" s="48" t="s">
        <v>224</v>
      </c>
    </row>
    <row r="13" spans="2:3" x14ac:dyDescent="0.25">
      <c r="B13" s="4" t="s">
        <v>228</v>
      </c>
      <c r="C13" s="48" t="s">
        <v>224</v>
      </c>
    </row>
    <row r="14" spans="2:3" x14ac:dyDescent="0.25">
      <c r="B14" s="4" t="s">
        <v>228</v>
      </c>
      <c r="C14" s="48" t="s">
        <v>224</v>
      </c>
    </row>
    <row r="15" spans="2:3" x14ac:dyDescent="0.25">
      <c r="B15" s="4" t="s">
        <v>228</v>
      </c>
      <c r="C15" s="48" t="s">
        <v>224</v>
      </c>
    </row>
    <row r="16" spans="2:3" x14ac:dyDescent="0.25">
      <c r="B16" s="4" t="s">
        <v>228</v>
      </c>
      <c r="C16" s="48" t="s">
        <v>224</v>
      </c>
    </row>
    <row r="17" spans="2:3" x14ac:dyDescent="0.25">
      <c r="B17" s="4" t="s">
        <v>228</v>
      </c>
      <c r="C17" s="48" t="s">
        <v>224</v>
      </c>
    </row>
    <row r="18" spans="2:3" x14ac:dyDescent="0.25">
      <c r="B18" s="4" t="s">
        <v>228</v>
      </c>
      <c r="C18" s="48" t="s">
        <v>224</v>
      </c>
    </row>
    <row r="19" spans="2:3" x14ac:dyDescent="0.25">
      <c r="B19" s="4" t="s">
        <v>228</v>
      </c>
      <c r="C19" s="48" t="s">
        <v>224</v>
      </c>
    </row>
    <row r="20" spans="2:3" x14ac:dyDescent="0.25">
      <c r="B20" s="4" t="s">
        <v>229</v>
      </c>
      <c r="C20" s="48" t="s">
        <v>224</v>
      </c>
    </row>
    <row r="21" spans="2:3" x14ac:dyDescent="0.25">
      <c r="B21" s="4" t="s">
        <v>229</v>
      </c>
      <c r="C21" s="48" t="s">
        <v>224</v>
      </c>
    </row>
    <row r="22" spans="2:3" x14ac:dyDescent="0.25">
      <c r="B22" s="4" t="s">
        <v>229</v>
      </c>
      <c r="C22" s="48" t="s">
        <v>224</v>
      </c>
    </row>
    <row r="23" spans="2:3" x14ac:dyDescent="0.25">
      <c r="B23" s="4" t="s">
        <v>231</v>
      </c>
      <c r="C23" s="48" t="s">
        <v>15</v>
      </c>
    </row>
    <row r="24" spans="2:3" x14ac:dyDescent="0.25">
      <c r="B24" s="4" t="s">
        <v>228</v>
      </c>
      <c r="C24" s="48" t="s">
        <v>224</v>
      </c>
    </row>
    <row r="25" spans="2:3" x14ac:dyDescent="0.25">
      <c r="B25" s="4" t="s">
        <v>232</v>
      </c>
      <c r="C25" s="48" t="s">
        <v>225</v>
      </c>
    </row>
    <row r="26" spans="2:3" x14ac:dyDescent="0.25">
      <c r="B26" s="4" t="s">
        <v>231</v>
      </c>
      <c r="C26" s="48" t="s">
        <v>15</v>
      </c>
    </row>
    <row r="27" spans="2:3" x14ac:dyDescent="0.25">
      <c r="B27" s="4" t="s">
        <v>228</v>
      </c>
      <c r="C27" s="48" t="s">
        <v>224</v>
      </c>
    </row>
    <row r="28" spans="2:3" x14ac:dyDescent="0.25">
      <c r="B28" s="4" t="s">
        <v>233</v>
      </c>
      <c r="C28" s="48" t="s">
        <v>15</v>
      </c>
    </row>
    <row r="29" spans="2:3" x14ac:dyDescent="0.25">
      <c r="B29" s="4" t="s">
        <v>228</v>
      </c>
      <c r="C29" s="48" t="s">
        <v>224</v>
      </c>
    </row>
    <row r="30" spans="2:3" x14ac:dyDescent="0.25">
      <c r="B30" s="4" t="s">
        <v>228</v>
      </c>
      <c r="C30" s="48" t="s">
        <v>224</v>
      </c>
    </row>
    <row r="31" spans="2:3" x14ac:dyDescent="0.25">
      <c r="B31" s="4" t="s">
        <v>228</v>
      </c>
      <c r="C31" s="48" t="s">
        <v>224</v>
      </c>
    </row>
    <row r="32" spans="2:3" x14ac:dyDescent="0.25">
      <c r="B32" s="4" t="s">
        <v>228</v>
      </c>
      <c r="C32" s="48" t="s">
        <v>224</v>
      </c>
    </row>
    <row r="33" spans="2:3" x14ac:dyDescent="0.25">
      <c r="B33" s="4" t="s">
        <v>228</v>
      </c>
      <c r="C33" s="48" t="s">
        <v>224</v>
      </c>
    </row>
    <row r="34" spans="2:3" x14ac:dyDescent="0.25">
      <c r="B34" s="4" t="s">
        <v>234</v>
      </c>
      <c r="C34" s="48" t="s">
        <v>108</v>
      </c>
    </row>
    <row r="35" spans="2:3" x14ac:dyDescent="0.25">
      <c r="B35" s="4" t="s">
        <v>235</v>
      </c>
      <c r="C35" s="48" t="s">
        <v>222</v>
      </c>
    </row>
    <row r="36" spans="2:3" x14ac:dyDescent="0.25">
      <c r="B36" s="4" t="s">
        <v>229</v>
      </c>
      <c r="C36" s="48" t="s">
        <v>224</v>
      </c>
    </row>
    <row r="37" spans="2:3" x14ac:dyDescent="0.25">
      <c r="B37" s="4" t="s">
        <v>228</v>
      </c>
      <c r="C37" s="48" t="s">
        <v>224</v>
      </c>
    </row>
    <row r="38" spans="2:3" x14ac:dyDescent="0.25">
      <c r="B38" s="4" t="s">
        <v>236</v>
      </c>
      <c r="C38" s="48" t="s">
        <v>108</v>
      </c>
    </row>
    <row r="39" spans="2:3" x14ac:dyDescent="0.25">
      <c r="B39" s="4" t="s">
        <v>228</v>
      </c>
      <c r="C39" s="48" t="s">
        <v>224</v>
      </c>
    </row>
    <row r="40" spans="2:3" x14ac:dyDescent="0.25">
      <c r="B40" s="4" t="s">
        <v>228</v>
      </c>
      <c r="C40" s="48" t="s">
        <v>224</v>
      </c>
    </row>
    <row r="41" spans="2:3" x14ac:dyDescent="0.25">
      <c r="B41" s="4" t="s">
        <v>229</v>
      </c>
      <c r="C41" s="48" t="s">
        <v>224</v>
      </c>
    </row>
    <row r="42" spans="2:3" x14ac:dyDescent="0.25">
      <c r="B42" s="4" t="s">
        <v>228</v>
      </c>
      <c r="C42" s="48" t="s">
        <v>224</v>
      </c>
    </row>
    <row r="43" spans="2:3" x14ac:dyDescent="0.25">
      <c r="B43" s="4" t="s">
        <v>228</v>
      </c>
      <c r="C43" s="48" t="s">
        <v>224</v>
      </c>
    </row>
    <row r="44" spans="2:3" x14ac:dyDescent="0.25">
      <c r="B44" s="4" t="s">
        <v>237</v>
      </c>
      <c r="C44" s="48" t="s">
        <v>222</v>
      </c>
    </row>
    <row r="45" spans="2:3" x14ac:dyDescent="0.25">
      <c r="B45" s="4" t="s">
        <v>228</v>
      </c>
      <c r="C45" s="48" t="s">
        <v>224</v>
      </c>
    </row>
    <row r="46" spans="2:3" x14ac:dyDescent="0.25">
      <c r="B46" s="4" t="s">
        <v>228</v>
      </c>
      <c r="C46" s="48" t="s">
        <v>224</v>
      </c>
    </row>
    <row r="47" spans="2:3" x14ac:dyDescent="0.25">
      <c r="B47" s="4" t="s">
        <v>228</v>
      </c>
      <c r="C47" s="48" t="s">
        <v>224</v>
      </c>
    </row>
    <row r="48" spans="2:3" x14ac:dyDescent="0.25">
      <c r="B48" s="4" t="s">
        <v>228</v>
      </c>
      <c r="C48" s="48" t="s">
        <v>224</v>
      </c>
    </row>
    <row r="49" spans="2:3" x14ac:dyDescent="0.25">
      <c r="B49" s="4" t="s">
        <v>228</v>
      </c>
      <c r="C49" s="48" t="s">
        <v>224</v>
      </c>
    </row>
    <row r="50" spans="2:3" x14ac:dyDescent="0.25">
      <c r="B50" s="4" t="s">
        <v>229</v>
      </c>
      <c r="C50" s="48" t="s">
        <v>224</v>
      </c>
    </row>
    <row r="51" spans="2:3" x14ac:dyDescent="0.25">
      <c r="B51" s="4" t="s">
        <v>228</v>
      </c>
      <c r="C51" s="48" t="s">
        <v>224</v>
      </c>
    </row>
    <row r="52" spans="2:3" x14ac:dyDescent="0.25">
      <c r="B52" s="4" t="s">
        <v>228</v>
      </c>
      <c r="C52" s="48" t="s">
        <v>224</v>
      </c>
    </row>
    <row r="53" spans="2:3" x14ac:dyDescent="0.25">
      <c r="B53" s="4" t="s">
        <v>228</v>
      </c>
      <c r="C53" s="48" t="s">
        <v>224</v>
      </c>
    </row>
    <row r="54" spans="2:3" x14ac:dyDescent="0.25">
      <c r="B54" s="4" t="s">
        <v>238</v>
      </c>
      <c r="C54" s="48" t="s">
        <v>108</v>
      </c>
    </row>
    <row r="55" spans="2:3" x14ac:dyDescent="0.25">
      <c r="B55" s="4" t="s">
        <v>236</v>
      </c>
      <c r="C55" s="48" t="s">
        <v>108</v>
      </c>
    </row>
    <row r="56" spans="2:3" x14ac:dyDescent="0.25">
      <c r="B56" s="4" t="s">
        <v>228</v>
      </c>
      <c r="C56" s="48" t="s">
        <v>224</v>
      </c>
    </row>
    <row r="57" spans="2:3" x14ac:dyDescent="0.25">
      <c r="B57" s="4" t="s">
        <v>228</v>
      </c>
      <c r="C57" s="48" t="s">
        <v>224</v>
      </c>
    </row>
    <row r="58" spans="2:3" x14ac:dyDescent="0.25">
      <c r="B58" s="4" t="s">
        <v>228</v>
      </c>
      <c r="C58" s="48" t="s">
        <v>224</v>
      </c>
    </row>
    <row r="59" spans="2:3" x14ac:dyDescent="0.25">
      <c r="B59" s="4" t="s">
        <v>229</v>
      </c>
      <c r="C59" s="48" t="s">
        <v>224</v>
      </c>
    </row>
    <row r="60" spans="2:3" x14ac:dyDescent="0.25">
      <c r="B60" s="4" t="s">
        <v>228</v>
      </c>
      <c r="C60" s="48" t="s">
        <v>224</v>
      </c>
    </row>
    <row r="61" spans="2:3" x14ac:dyDescent="0.25">
      <c r="B61" s="4" t="s">
        <v>235</v>
      </c>
      <c r="C61" s="48" t="s">
        <v>222</v>
      </c>
    </row>
    <row r="62" spans="2:3" x14ac:dyDescent="0.25">
      <c r="B62" s="4" t="s">
        <v>229</v>
      </c>
      <c r="C62" s="48" t="s">
        <v>224</v>
      </c>
    </row>
    <row r="63" spans="2:3" x14ac:dyDescent="0.25">
      <c r="B63" s="4" t="s">
        <v>237</v>
      </c>
      <c r="C63" s="48" t="s">
        <v>222</v>
      </c>
    </row>
    <row r="64" spans="2:3" x14ac:dyDescent="0.25">
      <c r="B64" s="4" t="s">
        <v>228</v>
      </c>
      <c r="C64" s="48" t="s">
        <v>224</v>
      </c>
    </row>
    <row r="65" spans="2:3" x14ac:dyDescent="0.25">
      <c r="B65" s="4" t="s">
        <v>239</v>
      </c>
      <c r="C65" s="48" t="s">
        <v>15</v>
      </c>
    </row>
    <row r="66" spans="2:3" x14ac:dyDescent="0.25">
      <c r="B66" s="4" t="s">
        <v>240</v>
      </c>
      <c r="C66" s="48" t="s">
        <v>222</v>
      </c>
    </row>
    <row r="67" spans="2:3" x14ac:dyDescent="0.25">
      <c r="B67" s="4" t="s">
        <v>228</v>
      </c>
      <c r="C67" s="48" t="s">
        <v>224</v>
      </c>
    </row>
    <row r="68" spans="2:3" x14ac:dyDescent="0.25">
      <c r="B68" s="4" t="s">
        <v>228</v>
      </c>
      <c r="C68" s="48" t="s">
        <v>224</v>
      </c>
    </row>
    <row r="69" spans="2:3" x14ac:dyDescent="0.25">
      <c r="B69" s="4" t="s">
        <v>228</v>
      </c>
      <c r="C69" s="48" t="s">
        <v>224</v>
      </c>
    </row>
    <row r="70" spans="2:3" x14ac:dyDescent="0.25">
      <c r="B70" s="4" t="s">
        <v>228</v>
      </c>
      <c r="C70" s="48" t="s">
        <v>224</v>
      </c>
    </row>
    <row r="71" spans="2:3" x14ac:dyDescent="0.25">
      <c r="B71" s="4" t="s">
        <v>228</v>
      </c>
      <c r="C71" s="48" t="s">
        <v>224</v>
      </c>
    </row>
    <row r="72" spans="2:3" x14ac:dyDescent="0.25">
      <c r="B72" s="4" t="s">
        <v>228</v>
      </c>
      <c r="C72" s="48" t="s">
        <v>224</v>
      </c>
    </row>
    <row r="73" spans="2:3" x14ac:dyDescent="0.25">
      <c r="B73" s="4" t="s">
        <v>241</v>
      </c>
      <c r="C73" s="48" t="s">
        <v>108</v>
      </c>
    </row>
    <row r="74" spans="2:3" x14ac:dyDescent="0.25">
      <c r="B74" s="4" t="s">
        <v>236</v>
      </c>
      <c r="C74" s="48" t="s">
        <v>108</v>
      </c>
    </row>
    <row r="75" spans="2:3" x14ac:dyDescent="0.25">
      <c r="B75" s="4" t="s">
        <v>229</v>
      </c>
      <c r="C75" s="48" t="s">
        <v>224</v>
      </c>
    </row>
    <row r="76" spans="2:3" x14ac:dyDescent="0.25">
      <c r="B76" s="4" t="s">
        <v>228</v>
      </c>
      <c r="C76" s="48" t="s">
        <v>224</v>
      </c>
    </row>
    <row r="77" spans="2:3" x14ac:dyDescent="0.25">
      <c r="B77" s="4" t="s">
        <v>228</v>
      </c>
      <c r="C77" s="48" t="s">
        <v>224</v>
      </c>
    </row>
    <row r="78" spans="2:3" x14ac:dyDescent="0.25">
      <c r="B78" s="4" t="s">
        <v>228</v>
      </c>
      <c r="C78" s="48" t="s">
        <v>224</v>
      </c>
    </row>
    <row r="79" spans="2:3" x14ac:dyDescent="0.25">
      <c r="B79" s="4" t="s">
        <v>228</v>
      </c>
      <c r="C79" s="48" t="s">
        <v>224</v>
      </c>
    </row>
    <row r="80" spans="2:3" x14ac:dyDescent="0.25">
      <c r="B80" s="4" t="s">
        <v>236</v>
      </c>
      <c r="C80" s="48" t="s">
        <v>108</v>
      </c>
    </row>
    <row r="81" spans="2:3" x14ac:dyDescent="0.25">
      <c r="B81" s="4" t="s">
        <v>235</v>
      </c>
      <c r="C81" s="48" t="s">
        <v>222</v>
      </c>
    </row>
    <row r="82" spans="2:3" x14ac:dyDescent="0.25">
      <c r="B82" s="4" t="s">
        <v>236</v>
      </c>
      <c r="C82" s="48" t="s">
        <v>108</v>
      </c>
    </row>
    <row r="83" spans="2:3" x14ac:dyDescent="0.25">
      <c r="B83" s="4" t="s">
        <v>229</v>
      </c>
      <c r="C83" s="48" t="s">
        <v>224</v>
      </c>
    </row>
    <row r="84" spans="2:3" x14ac:dyDescent="0.25">
      <c r="B84" s="4" t="s">
        <v>228</v>
      </c>
      <c r="C84" s="48" t="s">
        <v>224</v>
      </c>
    </row>
    <row r="85" spans="2:3" x14ac:dyDescent="0.25">
      <c r="B85" s="4" t="s">
        <v>229</v>
      </c>
      <c r="C85" s="48" t="s">
        <v>224</v>
      </c>
    </row>
    <row r="86" spans="2:3" x14ac:dyDescent="0.25">
      <c r="B86" s="4" t="s">
        <v>228</v>
      </c>
      <c r="C86" s="48" t="s">
        <v>224</v>
      </c>
    </row>
    <row r="87" spans="2:3" x14ac:dyDescent="0.25">
      <c r="B87" s="4" t="s">
        <v>228</v>
      </c>
      <c r="C87" s="48" t="s">
        <v>224</v>
      </c>
    </row>
    <row r="88" spans="2:3" x14ac:dyDescent="0.25">
      <c r="B88" s="4" t="s">
        <v>233</v>
      </c>
      <c r="C88" s="48" t="s">
        <v>224</v>
      </c>
    </row>
    <row r="89" spans="2:3" x14ac:dyDescent="0.25">
      <c r="B89" s="4" t="s">
        <v>233</v>
      </c>
      <c r="C89" s="48" t="s">
        <v>224</v>
      </c>
    </row>
    <row r="90" spans="2:3" x14ac:dyDescent="0.25">
      <c r="B90" s="4" t="s">
        <v>237</v>
      </c>
      <c r="C90" s="48" t="s">
        <v>222</v>
      </c>
    </row>
    <row r="91" spans="2:3" x14ac:dyDescent="0.25">
      <c r="B91" s="4" t="s">
        <v>228</v>
      </c>
      <c r="C91" s="48" t="s">
        <v>224</v>
      </c>
    </row>
    <row r="92" spans="2:3" x14ac:dyDescent="0.25">
      <c r="B92" s="4" t="s">
        <v>232</v>
      </c>
      <c r="C92" s="48" t="s">
        <v>225</v>
      </c>
    </row>
    <row r="93" spans="2:3" x14ac:dyDescent="0.25">
      <c r="B93" s="4" t="s">
        <v>242</v>
      </c>
      <c r="C93" s="48" t="s">
        <v>225</v>
      </c>
    </row>
    <row r="94" spans="2:3" x14ac:dyDescent="0.25">
      <c r="B94" s="4" t="s">
        <v>243</v>
      </c>
      <c r="C94" s="48" t="s">
        <v>15</v>
      </c>
    </row>
    <row r="95" spans="2:3" x14ac:dyDescent="0.25">
      <c r="B95" s="4" t="s">
        <v>233</v>
      </c>
      <c r="C95" s="48" t="s">
        <v>225</v>
      </c>
    </row>
    <row r="96" spans="2:3" x14ac:dyDescent="0.25">
      <c r="B96" s="4" t="s">
        <v>238</v>
      </c>
      <c r="C96" s="48" t="s">
        <v>108</v>
      </c>
    </row>
    <row r="97" spans="2:3" x14ac:dyDescent="0.25">
      <c r="B97" s="4" t="s">
        <v>238</v>
      </c>
      <c r="C97" s="48" t="s">
        <v>108</v>
      </c>
    </row>
    <row r="98" spans="2:3" x14ac:dyDescent="0.25">
      <c r="B98" s="4" t="s">
        <v>238</v>
      </c>
      <c r="C98" s="48" t="s">
        <v>108</v>
      </c>
    </row>
    <row r="99" spans="2:3" x14ac:dyDescent="0.25">
      <c r="B99" s="4" t="s">
        <v>244</v>
      </c>
      <c r="C99" s="48" t="s">
        <v>15</v>
      </c>
    </row>
    <row r="100" spans="2:3" x14ac:dyDescent="0.25">
      <c r="B100" s="4" t="s">
        <v>233</v>
      </c>
      <c r="C100" s="48" t="s">
        <v>108</v>
      </c>
    </row>
    <row r="101" spans="2:3" x14ac:dyDescent="0.25">
      <c r="B101" s="4" t="s">
        <v>228</v>
      </c>
      <c r="C101" s="48" t="s">
        <v>224</v>
      </c>
    </row>
    <row r="102" spans="2:3" x14ac:dyDescent="0.25">
      <c r="B102" s="4" t="s">
        <v>228</v>
      </c>
      <c r="C102" s="48" t="s">
        <v>224</v>
      </c>
    </row>
    <row r="103" spans="2:3" x14ac:dyDescent="0.25">
      <c r="B103" s="4" t="s">
        <v>228</v>
      </c>
      <c r="C103" s="48" t="s">
        <v>224</v>
      </c>
    </row>
    <row r="104" spans="2:3" x14ac:dyDescent="0.25">
      <c r="B104" s="4" t="s">
        <v>228</v>
      </c>
      <c r="C104" s="48" t="s">
        <v>224</v>
      </c>
    </row>
    <row r="105" spans="2:3" x14ac:dyDescent="0.25">
      <c r="B105" s="4" t="s">
        <v>228</v>
      </c>
      <c r="C105" s="48" t="s">
        <v>224</v>
      </c>
    </row>
    <row r="106" spans="2:3" x14ac:dyDescent="0.25">
      <c r="B106" s="4" t="s">
        <v>235</v>
      </c>
      <c r="C106" s="48" t="s">
        <v>222</v>
      </c>
    </row>
    <row r="107" spans="2:3" x14ac:dyDescent="0.25">
      <c r="B107" s="4" t="s">
        <v>229</v>
      </c>
      <c r="C107" s="48" t="s">
        <v>224</v>
      </c>
    </row>
    <row r="108" spans="2:3" x14ac:dyDescent="0.25">
      <c r="B108" s="4" t="s">
        <v>241</v>
      </c>
      <c r="C108" s="48" t="s">
        <v>108</v>
      </c>
    </row>
    <row r="109" spans="2:3" x14ac:dyDescent="0.25">
      <c r="B109" s="4" t="s">
        <v>237</v>
      </c>
      <c r="C109" s="48" t="s">
        <v>222</v>
      </c>
    </row>
    <row r="110" spans="2:3" x14ac:dyDescent="0.25">
      <c r="B110" s="4" t="s">
        <v>235</v>
      </c>
      <c r="C110" s="48" t="s">
        <v>222</v>
      </c>
    </row>
    <row r="111" spans="2:3" x14ac:dyDescent="0.25">
      <c r="B111" s="4" t="s">
        <v>229</v>
      </c>
      <c r="C111" s="48" t="s">
        <v>224</v>
      </c>
    </row>
    <row r="112" spans="2:3" x14ac:dyDescent="0.25">
      <c r="B112" s="4" t="s">
        <v>233</v>
      </c>
      <c r="C112" s="48" t="s">
        <v>222</v>
      </c>
    </row>
    <row r="113" spans="2:3" x14ac:dyDescent="0.25">
      <c r="B113" s="4" t="s">
        <v>236</v>
      </c>
      <c r="C113" s="48" t="s">
        <v>108</v>
      </c>
    </row>
    <row r="114" spans="2:3" x14ac:dyDescent="0.25">
      <c r="B114" s="4" t="s">
        <v>236</v>
      </c>
      <c r="C114" s="48" t="s">
        <v>108</v>
      </c>
    </row>
    <row r="115" spans="2:3" x14ac:dyDescent="0.25">
      <c r="B115" s="4" t="s">
        <v>245</v>
      </c>
      <c r="C115" s="48" t="s">
        <v>222</v>
      </c>
    </row>
    <row r="116" spans="2:3" x14ac:dyDescent="0.25">
      <c r="B116" s="4" t="s">
        <v>233</v>
      </c>
      <c r="C116" s="48" t="s">
        <v>108</v>
      </c>
    </row>
    <row r="117" spans="2:3" x14ac:dyDescent="0.25">
      <c r="B117" s="4" t="s">
        <v>229</v>
      </c>
      <c r="C117" s="48" t="s">
        <v>224</v>
      </c>
    </row>
    <row r="118" spans="2:3" x14ac:dyDescent="0.25">
      <c r="B118" s="4" t="s">
        <v>237</v>
      </c>
      <c r="C118" s="48" t="s">
        <v>222</v>
      </c>
    </row>
    <row r="119" spans="2:3" x14ac:dyDescent="0.25">
      <c r="B119" s="4" t="s">
        <v>233</v>
      </c>
      <c r="C119" s="48" t="s">
        <v>224</v>
      </c>
    </row>
    <row r="120" spans="2:3" x14ac:dyDescent="0.25">
      <c r="B120" s="4" t="s">
        <v>236</v>
      </c>
      <c r="C120" s="48" t="s">
        <v>108</v>
      </c>
    </row>
    <row r="121" spans="2:3" x14ac:dyDescent="0.25">
      <c r="B121" s="4" t="s">
        <v>246</v>
      </c>
      <c r="C121" s="48" t="s">
        <v>108</v>
      </c>
    </row>
    <row r="122" spans="2:3" x14ac:dyDescent="0.25">
      <c r="B122" s="4" t="s">
        <v>247</v>
      </c>
      <c r="C122" s="48" t="s">
        <v>15</v>
      </c>
    </row>
    <row r="123" spans="2:3" x14ac:dyDescent="0.25">
      <c r="B123" s="4" t="s">
        <v>232</v>
      </c>
      <c r="C123" s="48" t="s">
        <v>225</v>
      </c>
    </row>
    <row r="124" spans="2:3" x14ac:dyDescent="0.25">
      <c r="B124" s="4" t="s">
        <v>232</v>
      </c>
      <c r="C124" s="48" t="s">
        <v>225</v>
      </c>
    </row>
    <row r="125" spans="2:3" x14ac:dyDescent="0.25">
      <c r="B125" s="4" t="s">
        <v>233</v>
      </c>
      <c r="C125" s="48" t="s">
        <v>225</v>
      </c>
    </row>
    <row r="126" spans="2:3" x14ac:dyDescent="0.25">
      <c r="B126" s="4" t="s">
        <v>233</v>
      </c>
      <c r="C126" s="48" t="s">
        <v>225</v>
      </c>
    </row>
    <row r="127" spans="2:3" x14ac:dyDescent="0.25">
      <c r="B127" s="4" t="s">
        <v>233</v>
      </c>
      <c r="C127" s="48" t="s">
        <v>224</v>
      </c>
    </row>
    <row r="128" spans="2:3" x14ac:dyDescent="0.25">
      <c r="B128" s="4" t="s">
        <v>233</v>
      </c>
      <c r="C128" s="48" t="s">
        <v>224</v>
      </c>
    </row>
    <row r="129" spans="2:3" x14ac:dyDescent="0.25">
      <c r="B129" s="4" t="s">
        <v>233</v>
      </c>
      <c r="C129" s="48" t="s">
        <v>224</v>
      </c>
    </row>
    <row r="130" spans="2:3" x14ac:dyDescent="0.25">
      <c r="B130" s="4" t="s">
        <v>233</v>
      </c>
      <c r="C130" s="48" t="s">
        <v>224</v>
      </c>
    </row>
    <row r="131" spans="2:3" x14ac:dyDescent="0.25">
      <c r="B131" s="4" t="s">
        <v>238</v>
      </c>
      <c r="C131" s="48" t="s">
        <v>108</v>
      </c>
    </row>
    <row r="132" spans="2:3" x14ac:dyDescent="0.25">
      <c r="B132" s="4" t="s">
        <v>246</v>
      </c>
      <c r="C132" s="48" t="s">
        <v>108</v>
      </c>
    </row>
    <row r="133" spans="2:3" x14ac:dyDescent="0.25">
      <c r="B133" s="4" t="s">
        <v>237</v>
      </c>
      <c r="C133" s="48" t="s">
        <v>222</v>
      </c>
    </row>
    <row r="134" spans="2:3" x14ac:dyDescent="0.25">
      <c r="B134" s="4" t="s">
        <v>228</v>
      </c>
      <c r="C134" s="48" t="s">
        <v>224</v>
      </c>
    </row>
    <row r="135" spans="2:3" x14ac:dyDescent="0.25">
      <c r="B135" s="4" t="s">
        <v>228</v>
      </c>
      <c r="C135" s="48" t="s">
        <v>224</v>
      </c>
    </row>
    <row r="136" spans="2:3" x14ac:dyDescent="0.25">
      <c r="B136" s="4" t="s">
        <v>237</v>
      </c>
      <c r="C136" s="48" t="s">
        <v>222</v>
      </c>
    </row>
    <row r="137" spans="2:3" x14ac:dyDescent="0.25">
      <c r="B137" s="4" t="s">
        <v>248</v>
      </c>
      <c r="C137" s="48" t="s">
        <v>15</v>
      </c>
    </row>
    <row r="138" spans="2:3" x14ac:dyDescent="0.25">
      <c r="B138" s="4" t="s">
        <v>241</v>
      </c>
      <c r="C138" s="48" t="s">
        <v>108</v>
      </c>
    </row>
    <row r="139" spans="2:3" x14ac:dyDescent="0.25">
      <c r="B139" s="4" t="s">
        <v>236</v>
      </c>
      <c r="C139" s="48" t="s">
        <v>108</v>
      </c>
    </row>
    <row r="140" spans="2:3" x14ac:dyDescent="0.25">
      <c r="B140" s="4" t="s">
        <v>228</v>
      </c>
      <c r="C140" s="48" t="s">
        <v>224</v>
      </c>
    </row>
    <row r="141" spans="2:3" x14ac:dyDescent="0.25">
      <c r="B141" s="4" t="s">
        <v>229</v>
      </c>
      <c r="C141" s="48" t="s">
        <v>224</v>
      </c>
    </row>
    <row r="142" spans="2:3" x14ac:dyDescent="0.25">
      <c r="B142" s="4" t="s">
        <v>233</v>
      </c>
      <c r="C142" s="48" t="s">
        <v>224</v>
      </c>
    </row>
    <row r="143" spans="2:3" x14ac:dyDescent="0.25">
      <c r="B143" s="4" t="s">
        <v>233</v>
      </c>
      <c r="C143" s="48" t="s">
        <v>224</v>
      </c>
    </row>
    <row r="144" spans="2:3" x14ac:dyDescent="0.25">
      <c r="B144" s="4" t="s">
        <v>233</v>
      </c>
      <c r="C144" s="48" t="s">
        <v>224</v>
      </c>
    </row>
    <row r="145" spans="2:3" x14ac:dyDescent="0.25">
      <c r="B145" s="4" t="s">
        <v>233</v>
      </c>
      <c r="C145" s="48" t="s">
        <v>224</v>
      </c>
    </row>
    <row r="146" spans="2:3" x14ac:dyDescent="0.25">
      <c r="B146" s="4" t="s">
        <v>233</v>
      </c>
      <c r="C146" s="48" t="s">
        <v>224</v>
      </c>
    </row>
    <row r="147" spans="2:3" x14ac:dyDescent="0.25">
      <c r="B147" s="4" t="s">
        <v>233</v>
      </c>
      <c r="C147" s="48" t="s">
        <v>224</v>
      </c>
    </row>
    <row r="148" spans="2:3" x14ac:dyDescent="0.25">
      <c r="B148" s="4" t="s">
        <v>233</v>
      </c>
      <c r="C148" s="48" t="s">
        <v>224</v>
      </c>
    </row>
    <row r="149" spans="2:3" x14ac:dyDescent="0.25">
      <c r="B149" s="4" t="s">
        <v>228</v>
      </c>
      <c r="C149" s="48" t="s">
        <v>224</v>
      </c>
    </row>
    <row r="150" spans="2:3" x14ac:dyDescent="0.25">
      <c r="B150" s="4" t="s">
        <v>233</v>
      </c>
      <c r="C150" s="48" t="s">
        <v>224</v>
      </c>
    </row>
    <row r="151" spans="2:3" x14ac:dyDescent="0.25">
      <c r="B151" s="4" t="s">
        <v>229</v>
      </c>
      <c r="C151" s="48" t="s">
        <v>224</v>
      </c>
    </row>
    <row r="152" spans="2:3" x14ac:dyDescent="0.25">
      <c r="B152" s="4" t="s">
        <v>233</v>
      </c>
      <c r="C152" s="48" t="s">
        <v>224</v>
      </c>
    </row>
    <row r="153" spans="2:3" x14ac:dyDescent="0.25">
      <c r="B153" s="4" t="s">
        <v>233</v>
      </c>
      <c r="C153" s="48" t="s">
        <v>224</v>
      </c>
    </row>
    <row r="154" spans="2:3" x14ac:dyDescent="0.25">
      <c r="B154" s="4" t="s">
        <v>243</v>
      </c>
      <c r="C154" s="48" t="s">
        <v>15</v>
      </c>
    </row>
    <row r="155" spans="2:3" x14ac:dyDescent="0.25">
      <c r="B155" s="4" t="s">
        <v>228</v>
      </c>
      <c r="C155" s="48" t="s">
        <v>224</v>
      </c>
    </row>
    <row r="156" spans="2:3" x14ac:dyDescent="0.25">
      <c r="B156" s="4" t="s">
        <v>229</v>
      </c>
      <c r="C156" s="48" t="s">
        <v>224</v>
      </c>
    </row>
    <row r="157" spans="2:3" x14ac:dyDescent="0.25">
      <c r="B157" s="4" t="s">
        <v>228</v>
      </c>
      <c r="C157" s="48" t="s">
        <v>224</v>
      </c>
    </row>
    <row r="158" spans="2:3" x14ac:dyDescent="0.25">
      <c r="B158" s="4" t="s">
        <v>228</v>
      </c>
      <c r="C158" s="48" t="s">
        <v>224</v>
      </c>
    </row>
    <row r="159" spans="2:3" x14ac:dyDescent="0.25">
      <c r="B159" s="4" t="s">
        <v>233</v>
      </c>
      <c r="C159" s="48" t="s">
        <v>224</v>
      </c>
    </row>
    <row r="160" spans="2:3" x14ac:dyDescent="0.25">
      <c r="B160" s="4" t="s">
        <v>233</v>
      </c>
      <c r="C160" s="48" t="s">
        <v>224</v>
      </c>
    </row>
    <row r="161" spans="2:3" x14ac:dyDescent="0.25">
      <c r="B161" s="4" t="s">
        <v>229</v>
      </c>
      <c r="C161" s="48" t="s">
        <v>224</v>
      </c>
    </row>
    <row r="162" spans="2:3" x14ac:dyDescent="0.25">
      <c r="B162" s="4" t="s">
        <v>233</v>
      </c>
      <c r="C162" s="48" t="s">
        <v>224</v>
      </c>
    </row>
    <row r="163" spans="2:3" x14ac:dyDescent="0.25">
      <c r="B163" s="4" t="s">
        <v>233</v>
      </c>
      <c r="C163" s="48" t="s">
        <v>224</v>
      </c>
    </row>
    <row r="164" spans="2:3" x14ac:dyDescent="0.25">
      <c r="B164" s="4" t="s">
        <v>233</v>
      </c>
      <c r="C164" s="48" t="s">
        <v>224</v>
      </c>
    </row>
    <row r="165" spans="2:3" x14ac:dyDescent="0.25">
      <c r="B165" s="4" t="s">
        <v>232</v>
      </c>
      <c r="C165" s="48" t="s">
        <v>225</v>
      </c>
    </row>
    <row r="166" spans="2:3" x14ac:dyDescent="0.25">
      <c r="B166" s="4" t="s">
        <v>232</v>
      </c>
      <c r="C166" s="48" t="s">
        <v>225</v>
      </c>
    </row>
    <row r="167" spans="2:3" x14ac:dyDescent="0.25">
      <c r="B167" s="4" t="s">
        <v>228</v>
      </c>
      <c r="C167" s="48" t="s">
        <v>224</v>
      </c>
    </row>
    <row r="168" spans="2:3" x14ac:dyDescent="0.25">
      <c r="B168" s="4" t="s">
        <v>228</v>
      </c>
      <c r="C168" s="48" t="s">
        <v>224</v>
      </c>
    </row>
    <row r="169" spans="2:3" x14ac:dyDescent="0.25">
      <c r="B169" s="4" t="s">
        <v>233</v>
      </c>
      <c r="C169" s="48" t="s">
        <v>224</v>
      </c>
    </row>
    <row r="170" spans="2:3" x14ac:dyDescent="0.25">
      <c r="B170" s="4" t="s">
        <v>228</v>
      </c>
      <c r="C170" s="48" t="s">
        <v>224</v>
      </c>
    </row>
    <row r="171" spans="2:3" x14ac:dyDescent="0.25">
      <c r="B171" s="4" t="s">
        <v>228</v>
      </c>
      <c r="C171" s="48" t="s">
        <v>224</v>
      </c>
    </row>
    <row r="172" spans="2:3" x14ac:dyDescent="0.25">
      <c r="B172" s="4" t="s">
        <v>249</v>
      </c>
      <c r="C172" s="48" t="s">
        <v>15</v>
      </c>
    </row>
    <row r="173" spans="2:3" x14ac:dyDescent="0.25">
      <c r="B173" s="4" t="s">
        <v>233</v>
      </c>
      <c r="C173" s="48" t="s">
        <v>224</v>
      </c>
    </row>
    <row r="174" spans="2:3" x14ac:dyDescent="0.25">
      <c r="B174" s="4" t="s">
        <v>228</v>
      </c>
      <c r="C174" s="48" t="s">
        <v>224</v>
      </c>
    </row>
    <row r="175" spans="2:3" x14ac:dyDescent="0.25">
      <c r="B175" s="4" t="s">
        <v>237</v>
      </c>
      <c r="C175" s="48" t="s">
        <v>222</v>
      </c>
    </row>
    <row r="176" spans="2:3" x14ac:dyDescent="0.25">
      <c r="B176" s="4" t="s">
        <v>229</v>
      </c>
      <c r="C176" s="48" t="s">
        <v>224</v>
      </c>
    </row>
    <row r="177" spans="2:3" x14ac:dyDescent="0.25">
      <c r="B177" s="4" t="s">
        <v>233</v>
      </c>
      <c r="C177" s="48" t="s">
        <v>222</v>
      </c>
    </row>
    <row r="178" spans="2:3" x14ac:dyDescent="0.25">
      <c r="B178" s="4" t="s">
        <v>229</v>
      </c>
      <c r="C178" s="48" t="s">
        <v>224</v>
      </c>
    </row>
    <row r="179" spans="2:3" x14ac:dyDescent="0.25">
      <c r="B179" s="4" t="s">
        <v>229</v>
      </c>
      <c r="C179" s="48" t="s">
        <v>224</v>
      </c>
    </row>
    <row r="180" spans="2:3" x14ac:dyDescent="0.25">
      <c r="B180" s="4" t="s">
        <v>239</v>
      </c>
      <c r="C180" s="48" t="s">
        <v>15</v>
      </c>
    </row>
    <row r="181" spans="2:3" x14ac:dyDescent="0.25">
      <c r="B181" s="4" t="s">
        <v>237</v>
      </c>
      <c r="C181" s="48" t="s">
        <v>222</v>
      </c>
    </row>
    <row r="182" spans="2:3" x14ac:dyDescent="0.25">
      <c r="B182" s="4" t="s">
        <v>250</v>
      </c>
      <c r="C182" s="48" t="s">
        <v>224</v>
      </c>
    </row>
    <row r="183" spans="2:3" x14ac:dyDescent="0.25">
      <c r="B183" s="4" t="s">
        <v>245</v>
      </c>
      <c r="C183" s="48" t="s">
        <v>222</v>
      </c>
    </row>
    <row r="184" spans="2:3" x14ac:dyDescent="0.25">
      <c r="B184" s="4" t="s">
        <v>233</v>
      </c>
      <c r="C184" s="48" t="s">
        <v>224</v>
      </c>
    </row>
    <row r="185" spans="2:3" x14ac:dyDescent="0.25">
      <c r="B185" s="4" t="s">
        <v>229</v>
      </c>
      <c r="C185" s="48" t="s">
        <v>224</v>
      </c>
    </row>
    <row r="186" spans="2:3" x14ac:dyDescent="0.25">
      <c r="B186" s="4" t="s">
        <v>233</v>
      </c>
      <c r="C186" s="48" t="s">
        <v>224</v>
      </c>
    </row>
    <row r="187" spans="2:3" x14ac:dyDescent="0.25">
      <c r="B187" s="4" t="s">
        <v>228</v>
      </c>
      <c r="C187" s="48" t="s">
        <v>224</v>
      </c>
    </row>
    <row r="188" spans="2:3" x14ac:dyDescent="0.25">
      <c r="B188" s="4" t="s">
        <v>229</v>
      </c>
      <c r="C188" s="48" t="s">
        <v>224</v>
      </c>
    </row>
    <row r="189" spans="2:3" x14ac:dyDescent="0.25">
      <c r="B189" s="4" t="s">
        <v>229</v>
      </c>
      <c r="C189" s="48" t="s">
        <v>224</v>
      </c>
    </row>
    <row r="190" spans="2:3" x14ac:dyDescent="0.25">
      <c r="B190" s="4" t="s">
        <v>228</v>
      </c>
      <c r="C190" s="48" t="s">
        <v>224</v>
      </c>
    </row>
    <row r="191" spans="2:3" x14ac:dyDescent="0.25">
      <c r="B191" s="4" t="s">
        <v>228</v>
      </c>
      <c r="C191" s="48" t="s">
        <v>224</v>
      </c>
    </row>
    <row r="192" spans="2:3" x14ac:dyDescent="0.25">
      <c r="B192" s="4" t="s">
        <v>228</v>
      </c>
      <c r="C192" s="48" t="s">
        <v>224</v>
      </c>
    </row>
    <row r="193" spans="2:3" x14ac:dyDescent="0.25">
      <c r="B193" s="4" t="s">
        <v>245</v>
      </c>
      <c r="C193" s="48" t="s">
        <v>222</v>
      </c>
    </row>
    <row r="194" spans="2:3" x14ac:dyDescent="0.25">
      <c r="B194" s="4" t="s">
        <v>237</v>
      </c>
      <c r="C194" s="48" t="s">
        <v>222</v>
      </c>
    </row>
    <row r="195" spans="2:3" x14ac:dyDescent="0.25">
      <c r="B195" s="4" t="s">
        <v>228</v>
      </c>
      <c r="C195" s="48" t="s">
        <v>224</v>
      </c>
    </row>
    <row r="196" spans="2:3" x14ac:dyDescent="0.25">
      <c r="B196" s="4" t="s">
        <v>228</v>
      </c>
      <c r="C196" s="48" t="s">
        <v>224</v>
      </c>
    </row>
    <row r="197" spans="2:3" x14ac:dyDescent="0.25">
      <c r="B197" s="4" t="s">
        <v>233</v>
      </c>
      <c r="C197" s="48" t="s">
        <v>224</v>
      </c>
    </row>
    <row r="198" spans="2:3" x14ac:dyDescent="0.25">
      <c r="B198" s="4" t="s">
        <v>228</v>
      </c>
      <c r="C198" s="48" t="s">
        <v>224</v>
      </c>
    </row>
    <row r="199" spans="2:3" x14ac:dyDescent="0.25">
      <c r="B199" s="4" t="s">
        <v>233</v>
      </c>
      <c r="C199" s="48" t="s">
        <v>224</v>
      </c>
    </row>
    <row r="200" spans="2:3" x14ac:dyDescent="0.25">
      <c r="B200" s="4" t="s">
        <v>228</v>
      </c>
      <c r="C200" s="48" t="s">
        <v>224</v>
      </c>
    </row>
    <row r="201" spans="2:3" x14ac:dyDescent="0.25">
      <c r="B201" s="4" t="s">
        <v>233</v>
      </c>
      <c r="C201" s="48" t="s">
        <v>224</v>
      </c>
    </row>
    <row r="202" spans="2:3" x14ac:dyDescent="0.25">
      <c r="B202" s="4" t="s">
        <v>228</v>
      </c>
      <c r="C202" s="48" t="s">
        <v>224</v>
      </c>
    </row>
    <row r="203" spans="2:3" x14ac:dyDescent="0.25">
      <c r="B203" s="4" t="s">
        <v>233</v>
      </c>
      <c r="C203" s="48" t="s">
        <v>224</v>
      </c>
    </row>
    <row r="204" spans="2:3" x14ac:dyDescent="0.25">
      <c r="B204" s="4" t="s">
        <v>243</v>
      </c>
      <c r="C204" s="48" t="s">
        <v>15</v>
      </c>
    </row>
    <row r="205" spans="2:3" x14ac:dyDescent="0.25">
      <c r="B205" s="4" t="s">
        <v>228</v>
      </c>
      <c r="C205" s="48" t="s">
        <v>224</v>
      </c>
    </row>
    <row r="206" spans="2:3" x14ac:dyDescent="0.25">
      <c r="B206" s="4" t="s">
        <v>228</v>
      </c>
      <c r="C206" s="48" t="s">
        <v>224</v>
      </c>
    </row>
    <row r="207" spans="2:3" x14ac:dyDescent="0.25">
      <c r="B207" s="4" t="s">
        <v>233</v>
      </c>
      <c r="C207" s="48" t="s">
        <v>224</v>
      </c>
    </row>
    <row r="208" spans="2:3" x14ac:dyDescent="0.25">
      <c r="B208" s="4" t="s">
        <v>228</v>
      </c>
      <c r="C208" s="48" t="s">
        <v>224</v>
      </c>
    </row>
    <row r="209" spans="2:3" x14ac:dyDescent="0.25">
      <c r="B209" s="4" t="s">
        <v>228</v>
      </c>
      <c r="C209" s="48" t="s">
        <v>224</v>
      </c>
    </row>
    <row r="210" spans="2:3" x14ac:dyDescent="0.25">
      <c r="B210" s="4" t="s">
        <v>228</v>
      </c>
      <c r="C210" s="48" t="s">
        <v>224</v>
      </c>
    </row>
    <row r="211" spans="2:3" x14ac:dyDescent="0.25">
      <c r="B211" s="4" t="s">
        <v>228</v>
      </c>
      <c r="C211" s="48" t="s">
        <v>224</v>
      </c>
    </row>
    <row r="212" spans="2:3" x14ac:dyDescent="0.25">
      <c r="B212" s="4" t="s">
        <v>228</v>
      </c>
      <c r="C212" s="48" t="s">
        <v>224</v>
      </c>
    </row>
    <row r="213" spans="2:3" x14ac:dyDescent="0.25">
      <c r="B213" s="4" t="s">
        <v>228</v>
      </c>
      <c r="C213" s="48" t="s">
        <v>224</v>
      </c>
    </row>
    <row r="214" spans="2:3" x14ac:dyDescent="0.25">
      <c r="B214" s="4" t="s">
        <v>230</v>
      </c>
      <c r="C214" s="48" t="s">
        <v>224</v>
      </c>
    </row>
    <row r="215" spans="2:3" x14ac:dyDescent="0.25">
      <c r="B215" s="4" t="s">
        <v>233</v>
      </c>
      <c r="C215" s="48" t="s">
        <v>224</v>
      </c>
    </row>
    <row r="216" spans="2:3" x14ac:dyDescent="0.25">
      <c r="B216" s="4" t="s">
        <v>228</v>
      </c>
      <c r="C216" s="48" t="s">
        <v>224</v>
      </c>
    </row>
    <row r="217" spans="2:3" x14ac:dyDescent="0.25">
      <c r="B217" s="4" t="s">
        <v>228</v>
      </c>
      <c r="C217" s="48" t="s">
        <v>224</v>
      </c>
    </row>
    <row r="218" spans="2:3" x14ac:dyDescent="0.25">
      <c r="B218" s="4" t="s">
        <v>228</v>
      </c>
      <c r="C218" s="48" t="s">
        <v>224</v>
      </c>
    </row>
    <row r="219" spans="2:3" x14ac:dyDescent="0.25">
      <c r="B219" s="4" t="s">
        <v>228</v>
      </c>
      <c r="C219" s="48" t="s">
        <v>224</v>
      </c>
    </row>
    <row r="220" spans="2:3" x14ac:dyDescent="0.25">
      <c r="B220" s="4" t="s">
        <v>251</v>
      </c>
      <c r="C220" s="48" t="s">
        <v>222</v>
      </c>
    </row>
    <row r="221" spans="2:3" x14ac:dyDescent="0.25">
      <c r="B221" s="4" t="s">
        <v>233</v>
      </c>
      <c r="C221" s="48" t="s">
        <v>224</v>
      </c>
    </row>
    <row r="222" spans="2:3" x14ac:dyDescent="0.25">
      <c r="B222" s="4" t="s">
        <v>233</v>
      </c>
      <c r="C222" s="48" t="s">
        <v>224</v>
      </c>
    </row>
    <row r="223" spans="2:3" x14ac:dyDescent="0.25">
      <c r="B223" s="4" t="s">
        <v>228</v>
      </c>
      <c r="C223" s="48" t="s">
        <v>224</v>
      </c>
    </row>
    <row r="224" spans="2:3" x14ac:dyDescent="0.25">
      <c r="B224" s="4" t="s">
        <v>237</v>
      </c>
      <c r="C224" s="48" t="s">
        <v>222</v>
      </c>
    </row>
    <row r="225" spans="2:3" x14ac:dyDescent="0.25">
      <c r="B225" s="4" t="s">
        <v>228</v>
      </c>
      <c r="C225" s="48" t="s">
        <v>224</v>
      </c>
    </row>
    <row r="226" spans="2:3" x14ac:dyDescent="0.25">
      <c r="B226" s="4" t="s">
        <v>228</v>
      </c>
      <c r="C226" s="48" t="s">
        <v>224</v>
      </c>
    </row>
    <row r="227" spans="2:3" x14ac:dyDescent="0.25">
      <c r="B227" s="4" t="s">
        <v>228</v>
      </c>
      <c r="C227" s="48" t="s">
        <v>224</v>
      </c>
    </row>
    <row r="228" spans="2:3" x14ac:dyDescent="0.25">
      <c r="B228" s="4" t="s">
        <v>229</v>
      </c>
      <c r="C228" s="48" t="s">
        <v>224</v>
      </c>
    </row>
    <row r="229" spans="2:3" x14ac:dyDescent="0.25">
      <c r="B229" s="4" t="s">
        <v>248</v>
      </c>
      <c r="C229" s="48" t="s">
        <v>15</v>
      </c>
    </row>
    <row r="230" spans="2:3" x14ac:dyDescent="0.25">
      <c r="B230" s="4" t="s">
        <v>229</v>
      </c>
      <c r="C230" s="48" t="s">
        <v>224</v>
      </c>
    </row>
    <row r="231" spans="2:3" x14ac:dyDescent="0.25">
      <c r="B231" s="4" t="s">
        <v>228</v>
      </c>
      <c r="C231" s="48" t="s">
        <v>224</v>
      </c>
    </row>
    <row r="232" spans="2:3" x14ac:dyDescent="0.25">
      <c r="B232" s="4" t="s">
        <v>230</v>
      </c>
      <c r="C232" s="48" t="s">
        <v>224</v>
      </c>
    </row>
    <row r="233" spans="2:3" x14ac:dyDescent="0.25">
      <c r="B233" s="4" t="s">
        <v>249</v>
      </c>
      <c r="C233" s="48" t="s">
        <v>15</v>
      </c>
    </row>
    <row r="234" spans="2:3" x14ac:dyDescent="0.25">
      <c r="B234" s="4" t="s">
        <v>229</v>
      </c>
      <c r="C234" s="48" t="s">
        <v>224</v>
      </c>
    </row>
    <row r="235" spans="2:3" x14ac:dyDescent="0.25">
      <c r="B235" s="4" t="s">
        <v>228</v>
      </c>
      <c r="C235" s="48" t="s">
        <v>224</v>
      </c>
    </row>
    <row r="236" spans="2:3" x14ac:dyDescent="0.25">
      <c r="B236" s="4" t="s">
        <v>228</v>
      </c>
      <c r="C236" s="48" t="s">
        <v>224</v>
      </c>
    </row>
    <row r="237" spans="2:3" x14ac:dyDescent="0.25">
      <c r="B237" s="4" t="s">
        <v>252</v>
      </c>
      <c r="C237" s="48" t="s">
        <v>222</v>
      </c>
    </row>
    <row r="238" spans="2:3" x14ac:dyDescent="0.25">
      <c r="B238" s="4" t="s">
        <v>229</v>
      </c>
      <c r="C238" s="48" t="s">
        <v>224</v>
      </c>
    </row>
    <row r="239" spans="2:3" x14ac:dyDescent="0.25">
      <c r="B239" s="4" t="s">
        <v>228</v>
      </c>
      <c r="C239" s="48" t="s">
        <v>224</v>
      </c>
    </row>
    <row r="240" spans="2:3" x14ac:dyDescent="0.25">
      <c r="B240" s="4" t="s">
        <v>228</v>
      </c>
      <c r="C240" s="48" t="s">
        <v>224</v>
      </c>
    </row>
    <row r="241" spans="2:3" x14ac:dyDescent="0.25">
      <c r="B241" s="4" t="s">
        <v>228</v>
      </c>
      <c r="C241" s="48" t="s">
        <v>224</v>
      </c>
    </row>
    <row r="242" spans="2:3" x14ac:dyDescent="0.25">
      <c r="B242" s="4" t="s">
        <v>228</v>
      </c>
      <c r="C242" s="48" t="s">
        <v>224</v>
      </c>
    </row>
    <row r="243" spans="2:3" x14ac:dyDescent="0.25">
      <c r="B243" s="4" t="s">
        <v>229</v>
      </c>
      <c r="C243" s="48" t="s">
        <v>224</v>
      </c>
    </row>
    <row r="244" spans="2:3" x14ac:dyDescent="0.25">
      <c r="B244" s="4" t="s">
        <v>228</v>
      </c>
      <c r="C244" s="48" t="s">
        <v>224</v>
      </c>
    </row>
    <row r="245" spans="2:3" x14ac:dyDescent="0.25">
      <c r="B245" s="4" t="s">
        <v>247</v>
      </c>
      <c r="C245" s="48" t="s">
        <v>15</v>
      </c>
    </row>
    <row r="246" spans="2:3" x14ac:dyDescent="0.25">
      <c r="B246" s="4" t="s">
        <v>229</v>
      </c>
      <c r="C246" s="48" t="s">
        <v>224</v>
      </c>
    </row>
    <row r="247" spans="2:3" x14ac:dyDescent="0.25">
      <c r="B247" s="4" t="s">
        <v>228</v>
      </c>
      <c r="C247" s="48" t="s">
        <v>224</v>
      </c>
    </row>
    <row r="248" spans="2:3" x14ac:dyDescent="0.25">
      <c r="B248" s="4" t="s">
        <v>228</v>
      </c>
      <c r="C248" s="48" t="s">
        <v>224</v>
      </c>
    </row>
    <row r="249" spans="2:3" x14ac:dyDescent="0.25">
      <c r="B249" s="4" t="s">
        <v>228</v>
      </c>
      <c r="C249" s="48" t="s">
        <v>224</v>
      </c>
    </row>
    <row r="250" spans="2:3" x14ac:dyDescent="0.25">
      <c r="B250" s="4" t="s">
        <v>229</v>
      </c>
      <c r="C250" s="48" t="s">
        <v>224</v>
      </c>
    </row>
    <row r="251" spans="2:3" x14ac:dyDescent="0.25">
      <c r="B251" s="4" t="s">
        <v>228</v>
      </c>
      <c r="C251" s="48" t="s">
        <v>224</v>
      </c>
    </row>
    <row r="252" spans="2:3" x14ac:dyDescent="0.25">
      <c r="B252" s="4" t="s">
        <v>229</v>
      </c>
      <c r="C252" s="48" t="s">
        <v>224</v>
      </c>
    </row>
    <row r="253" spans="2:3" x14ac:dyDescent="0.25">
      <c r="B253" s="4" t="s">
        <v>228</v>
      </c>
      <c r="C253" s="48" t="s">
        <v>224</v>
      </c>
    </row>
    <row r="254" spans="2:3" x14ac:dyDescent="0.25">
      <c r="B254" s="4" t="s">
        <v>253</v>
      </c>
      <c r="C254" s="48" t="s">
        <v>15</v>
      </c>
    </row>
    <row r="255" spans="2:3" x14ac:dyDescent="0.25">
      <c r="B255" s="4" t="s">
        <v>228</v>
      </c>
      <c r="C255" s="48" t="s">
        <v>224</v>
      </c>
    </row>
    <row r="256" spans="2:3" x14ac:dyDescent="0.25">
      <c r="B256" s="4" t="s">
        <v>228</v>
      </c>
      <c r="C256" s="48" t="s">
        <v>224</v>
      </c>
    </row>
    <row r="257" spans="2:3" x14ac:dyDescent="0.25">
      <c r="B257" s="4" t="s">
        <v>228</v>
      </c>
      <c r="C257" s="48" t="s">
        <v>224</v>
      </c>
    </row>
    <row r="258" spans="2:3" x14ac:dyDescent="0.25">
      <c r="B258" s="4" t="s">
        <v>228</v>
      </c>
      <c r="C258" s="48" t="s">
        <v>224</v>
      </c>
    </row>
    <row r="259" spans="2:3" x14ac:dyDescent="0.25">
      <c r="B259" s="4" t="s">
        <v>228</v>
      </c>
      <c r="C259" s="48" t="s">
        <v>224</v>
      </c>
    </row>
    <row r="260" spans="2:3" x14ac:dyDescent="0.25">
      <c r="B260" s="4" t="s">
        <v>228</v>
      </c>
      <c r="C260" s="48" t="s">
        <v>224</v>
      </c>
    </row>
    <row r="261" spans="2:3" x14ac:dyDescent="0.25">
      <c r="B261" s="4" t="s">
        <v>228</v>
      </c>
      <c r="C261" s="48" t="s">
        <v>224</v>
      </c>
    </row>
    <row r="262" spans="2:3" x14ac:dyDescent="0.25">
      <c r="B262" s="4" t="s">
        <v>228</v>
      </c>
      <c r="C262" s="48" t="s">
        <v>224</v>
      </c>
    </row>
    <row r="263" spans="2:3" x14ac:dyDescent="0.25">
      <c r="B263" s="4" t="s">
        <v>230</v>
      </c>
      <c r="C263" s="48" t="s">
        <v>224</v>
      </c>
    </row>
    <row r="264" spans="2:3" x14ac:dyDescent="0.25">
      <c r="B264" s="4" t="s">
        <v>246</v>
      </c>
      <c r="C264" s="48" t="s">
        <v>108</v>
      </c>
    </row>
    <row r="265" spans="2:3" x14ac:dyDescent="0.25">
      <c r="B265" s="4" t="s">
        <v>228</v>
      </c>
      <c r="C265" s="48" t="s">
        <v>224</v>
      </c>
    </row>
    <row r="266" spans="2:3" x14ac:dyDescent="0.25">
      <c r="B266" s="4" t="s">
        <v>233</v>
      </c>
      <c r="C266" s="48" t="s">
        <v>108</v>
      </c>
    </row>
    <row r="267" spans="2:3" x14ac:dyDescent="0.25">
      <c r="B267" s="4" t="s">
        <v>233</v>
      </c>
      <c r="C267" s="48" t="s">
        <v>224</v>
      </c>
    </row>
    <row r="268" spans="2:3" x14ac:dyDescent="0.25">
      <c r="B268" s="4" t="s">
        <v>228</v>
      </c>
      <c r="C268" s="48" t="s">
        <v>224</v>
      </c>
    </row>
    <row r="269" spans="2:3" x14ac:dyDescent="0.25">
      <c r="B269" s="4" t="s">
        <v>254</v>
      </c>
      <c r="C269" s="48" t="s">
        <v>224</v>
      </c>
    </row>
    <row r="270" spans="2:3" x14ac:dyDescent="0.25">
      <c r="B270" s="4" t="s">
        <v>228</v>
      </c>
      <c r="C270" s="48" t="s">
        <v>224</v>
      </c>
    </row>
    <row r="271" spans="2:3" x14ac:dyDescent="0.25">
      <c r="B271" s="4" t="s">
        <v>228</v>
      </c>
      <c r="C271" s="48" t="s">
        <v>224</v>
      </c>
    </row>
    <row r="272" spans="2:3" x14ac:dyDescent="0.25">
      <c r="B272" s="4" t="s">
        <v>255</v>
      </c>
      <c r="C272" s="48" t="s">
        <v>224</v>
      </c>
    </row>
    <row r="273" spans="2:3" x14ac:dyDescent="0.25">
      <c r="B273" s="4" t="s">
        <v>256</v>
      </c>
      <c r="C273" s="48" t="s">
        <v>15</v>
      </c>
    </row>
    <row r="274" spans="2:3" x14ac:dyDescent="0.25">
      <c r="B274" s="4" t="s">
        <v>228</v>
      </c>
      <c r="C274" s="48" t="s">
        <v>224</v>
      </c>
    </row>
    <row r="275" spans="2:3" x14ac:dyDescent="0.25">
      <c r="B275" s="4" t="s">
        <v>229</v>
      </c>
      <c r="C275" s="48" t="s">
        <v>224</v>
      </c>
    </row>
    <row r="276" spans="2:3" x14ac:dyDescent="0.25">
      <c r="B276" s="4" t="s">
        <v>252</v>
      </c>
      <c r="C276" s="48" t="s">
        <v>222</v>
      </c>
    </row>
    <row r="277" spans="2:3" x14ac:dyDescent="0.25">
      <c r="B277" s="4" t="s">
        <v>228</v>
      </c>
      <c r="C277" s="48" t="s">
        <v>224</v>
      </c>
    </row>
    <row r="278" spans="2:3" x14ac:dyDescent="0.25">
      <c r="B278" s="4" t="s">
        <v>228</v>
      </c>
      <c r="C278" s="48" t="s">
        <v>224</v>
      </c>
    </row>
    <row r="279" spans="2:3" x14ac:dyDescent="0.25">
      <c r="B279" s="4" t="s">
        <v>229</v>
      </c>
      <c r="C279" s="48" t="s">
        <v>224</v>
      </c>
    </row>
    <row r="280" spans="2:3" x14ac:dyDescent="0.25">
      <c r="B280" s="4" t="s">
        <v>228</v>
      </c>
      <c r="C280" s="48" t="s">
        <v>224</v>
      </c>
    </row>
    <row r="281" spans="2:3" x14ac:dyDescent="0.25">
      <c r="B281" s="4" t="s">
        <v>233</v>
      </c>
      <c r="C281" s="48" t="s">
        <v>224</v>
      </c>
    </row>
    <row r="282" spans="2:3" x14ac:dyDescent="0.25">
      <c r="B282" s="4" t="s">
        <v>233</v>
      </c>
      <c r="C282" s="48" t="s">
        <v>224</v>
      </c>
    </row>
    <row r="283" spans="2:3" x14ac:dyDescent="0.25">
      <c r="B283" s="4" t="s">
        <v>233</v>
      </c>
      <c r="C283" s="48" t="s">
        <v>224</v>
      </c>
    </row>
    <row r="284" spans="2:3" x14ac:dyDescent="0.25">
      <c r="B284" s="4" t="s">
        <v>233</v>
      </c>
      <c r="C284" s="48" t="s">
        <v>224</v>
      </c>
    </row>
    <row r="285" spans="2:3" x14ac:dyDescent="0.25">
      <c r="B285" s="4" t="s">
        <v>233</v>
      </c>
      <c r="C285" s="48" t="s">
        <v>224</v>
      </c>
    </row>
    <row r="286" spans="2:3" x14ac:dyDescent="0.25">
      <c r="B286" s="4" t="s">
        <v>233</v>
      </c>
      <c r="C286" s="48" t="s">
        <v>224</v>
      </c>
    </row>
    <row r="287" spans="2:3" x14ac:dyDescent="0.25">
      <c r="B287" s="4" t="s">
        <v>233</v>
      </c>
      <c r="C287" s="48" t="s">
        <v>224</v>
      </c>
    </row>
    <row r="288" spans="2:3" x14ac:dyDescent="0.25">
      <c r="B288" s="4" t="s">
        <v>233</v>
      </c>
      <c r="C288" s="48" t="s">
        <v>224</v>
      </c>
    </row>
    <row r="289" spans="2:3" x14ac:dyDescent="0.25">
      <c r="B289" s="4" t="s">
        <v>233</v>
      </c>
      <c r="C289" s="48" t="s">
        <v>224</v>
      </c>
    </row>
    <row r="290" spans="2:3" x14ac:dyDescent="0.25">
      <c r="B290" s="4" t="s">
        <v>233</v>
      </c>
      <c r="C290" s="48" t="s">
        <v>224</v>
      </c>
    </row>
    <row r="291" spans="2:3" x14ac:dyDescent="0.25">
      <c r="B291" s="4" t="s">
        <v>230</v>
      </c>
      <c r="C291" s="48" t="s">
        <v>224</v>
      </c>
    </row>
    <row r="292" spans="2:3" x14ac:dyDescent="0.25">
      <c r="B292" s="4" t="s">
        <v>233</v>
      </c>
      <c r="C292" s="48" t="s">
        <v>224</v>
      </c>
    </row>
    <row r="293" spans="2:3" x14ac:dyDescent="0.25">
      <c r="B293" s="4" t="s">
        <v>233</v>
      </c>
      <c r="C293" s="48" t="s">
        <v>226</v>
      </c>
    </row>
    <row r="294" spans="2:3" x14ac:dyDescent="0.25">
      <c r="B294" s="4" t="s">
        <v>246</v>
      </c>
      <c r="C294" s="48" t="s">
        <v>108</v>
      </c>
    </row>
    <row r="295" spans="2:3" x14ac:dyDescent="0.25">
      <c r="B295" s="4" t="s">
        <v>233</v>
      </c>
      <c r="C295" s="48" t="s">
        <v>224</v>
      </c>
    </row>
    <row r="296" spans="2:3" x14ac:dyDescent="0.25">
      <c r="B296" s="4" t="s">
        <v>248</v>
      </c>
      <c r="C296" s="48" t="s">
        <v>15</v>
      </c>
    </row>
    <row r="297" spans="2:3" x14ac:dyDescent="0.25">
      <c r="B297" s="4" t="s">
        <v>231</v>
      </c>
      <c r="C297" s="48" t="s">
        <v>15</v>
      </c>
    </row>
    <row r="298" spans="2:3" x14ac:dyDescent="0.25">
      <c r="B298" s="4" t="s">
        <v>233</v>
      </c>
      <c r="C298" s="48" t="s">
        <v>15</v>
      </c>
    </row>
    <row r="299" spans="2:3" x14ac:dyDescent="0.25">
      <c r="B299" s="4" t="s">
        <v>233</v>
      </c>
      <c r="C299" s="48" t="s">
        <v>15</v>
      </c>
    </row>
    <row r="300" spans="2:3" x14ac:dyDescent="0.25">
      <c r="B300" s="4" t="s">
        <v>233</v>
      </c>
      <c r="C300" s="48" t="s">
        <v>224</v>
      </c>
    </row>
    <row r="301" spans="2:3" x14ac:dyDescent="0.25">
      <c r="B301" s="4" t="s">
        <v>231</v>
      </c>
      <c r="C301" s="48" t="s">
        <v>15</v>
      </c>
    </row>
    <row r="302" spans="2:3" x14ac:dyDescent="0.25">
      <c r="B302" s="4" t="s">
        <v>233</v>
      </c>
      <c r="C302" s="48" t="s">
        <v>224</v>
      </c>
    </row>
    <row r="303" spans="2:3" x14ac:dyDescent="0.25">
      <c r="B303" s="4" t="s">
        <v>228</v>
      </c>
      <c r="C303" s="48" t="s">
        <v>224</v>
      </c>
    </row>
    <row r="304" spans="2:3" x14ac:dyDescent="0.25">
      <c r="B304" s="4" t="s">
        <v>233</v>
      </c>
      <c r="C304" s="48" t="s">
        <v>224</v>
      </c>
    </row>
    <row r="305" spans="2:3" x14ac:dyDescent="0.25">
      <c r="B305" s="4" t="s">
        <v>233</v>
      </c>
      <c r="C305" s="48" t="s">
        <v>224</v>
      </c>
    </row>
    <row r="306" spans="2:3" x14ac:dyDescent="0.25">
      <c r="B306" s="4" t="s">
        <v>233</v>
      </c>
      <c r="C306" s="48" t="s">
        <v>224</v>
      </c>
    </row>
    <row r="307" spans="2:3" x14ac:dyDescent="0.25">
      <c r="B307" s="4" t="s">
        <v>228</v>
      </c>
      <c r="C307" s="48" t="s">
        <v>224</v>
      </c>
    </row>
    <row r="308" spans="2:3" x14ac:dyDescent="0.25">
      <c r="B308" s="4" t="s">
        <v>246</v>
      </c>
      <c r="C308" s="48" t="s">
        <v>108</v>
      </c>
    </row>
    <row r="309" spans="2:3" x14ac:dyDescent="0.25">
      <c r="B309" s="4" t="s">
        <v>229</v>
      </c>
      <c r="C309" s="48" t="s">
        <v>224</v>
      </c>
    </row>
    <row r="310" spans="2:3" x14ac:dyDescent="0.25">
      <c r="B310" s="4" t="s">
        <v>229</v>
      </c>
      <c r="C310" s="48" t="s">
        <v>224</v>
      </c>
    </row>
    <row r="311" spans="2:3" x14ac:dyDescent="0.25">
      <c r="B311" s="4" t="s">
        <v>246</v>
      </c>
      <c r="C311" s="48" t="s">
        <v>108</v>
      </c>
    </row>
    <row r="312" spans="2:3" x14ac:dyDescent="0.25">
      <c r="B312" s="4" t="s">
        <v>246</v>
      </c>
      <c r="C312" s="48" t="s">
        <v>108</v>
      </c>
    </row>
    <row r="313" spans="2:3" x14ac:dyDescent="0.25">
      <c r="B313" s="4" t="s">
        <v>228</v>
      </c>
      <c r="C313" s="48" t="s">
        <v>224</v>
      </c>
    </row>
    <row r="314" spans="2:3" x14ac:dyDescent="0.25">
      <c r="B314" s="4" t="s">
        <v>255</v>
      </c>
      <c r="C314" s="48" t="s">
        <v>155</v>
      </c>
    </row>
    <row r="315" spans="2:3" x14ac:dyDescent="0.25">
      <c r="B315" s="4" t="s">
        <v>229</v>
      </c>
      <c r="C315" s="48" t="s">
        <v>224</v>
      </c>
    </row>
    <row r="316" spans="2:3" x14ac:dyDescent="0.25">
      <c r="B316" s="4" t="s">
        <v>229</v>
      </c>
      <c r="C316" s="48" t="s">
        <v>224</v>
      </c>
    </row>
    <row r="317" spans="2:3" x14ac:dyDescent="0.25">
      <c r="B317" s="4" t="s">
        <v>228</v>
      </c>
      <c r="C317" s="48" t="s">
        <v>224</v>
      </c>
    </row>
    <row r="318" spans="2:3" x14ac:dyDescent="0.25">
      <c r="B318" s="4" t="s">
        <v>228</v>
      </c>
      <c r="C318" s="48" t="s">
        <v>224</v>
      </c>
    </row>
    <row r="319" spans="2:3" x14ac:dyDescent="0.25">
      <c r="B319" s="4" t="s">
        <v>228</v>
      </c>
      <c r="C319" s="48" t="s">
        <v>224</v>
      </c>
    </row>
    <row r="320" spans="2:3" x14ac:dyDescent="0.25">
      <c r="B320" s="4" t="s">
        <v>257</v>
      </c>
      <c r="C320" s="48" t="s">
        <v>226</v>
      </c>
    </row>
    <row r="321" spans="2:3" x14ac:dyDescent="0.25">
      <c r="B321" s="4" t="s">
        <v>258</v>
      </c>
      <c r="C321" s="48" t="s">
        <v>15</v>
      </c>
    </row>
    <row r="322" spans="2:3" x14ac:dyDescent="0.25">
      <c r="B322" s="4" t="s">
        <v>228</v>
      </c>
      <c r="C322" s="48" t="s">
        <v>224</v>
      </c>
    </row>
    <row r="323" spans="2:3" x14ac:dyDescent="0.25">
      <c r="B323" s="4" t="s">
        <v>228</v>
      </c>
      <c r="C323" s="48" t="s">
        <v>224</v>
      </c>
    </row>
    <row r="324" spans="2:3" x14ac:dyDescent="0.25">
      <c r="B324" s="4" t="s">
        <v>228</v>
      </c>
      <c r="C324" s="48" t="s">
        <v>224</v>
      </c>
    </row>
    <row r="325" spans="2:3" x14ac:dyDescent="0.25">
      <c r="B325" s="4" t="s">
        <v>228</v>
      </c>
      <c r="C325" s="48" t="s">
        <v>224</v>
      </c>
    </row>
    <row r="326" spans="2:3" x14ac:dyDescent="0.25">
      <c r="B326" s="4" t="s">
        <v>228</v>
      </c>
      <c r="C326" s="48" t="s">
        <v>224</v>
      </c>
    </row>
    <row r="327" spans="2:3" x14ac:dyDescent="0.25">
      <c r="B327" s="4" t="s">
        <v>228</v>
      </c>
      <c r="C327" s="48" t="s">
        <v>224</v>
      </c>
    </row>
    <row r="328" spans="2:3" x14ac:dyDescent="0.25">
      <c r="B328" s="4" t="s">
        <v>228</v>
      </c>
      <c r="C328" s="48" t="s">
        <v>224</v>
      </c>
    </row>
    <row r="329" spans="2:3" x14ac:dyDescent="0.25">
      <c r="B329" s="4" t="s">
        <v>228</v>
      </c>
      <c r="C329" s="48" t="s">
        <v>224</v>
      </c>
    </row>
    <row r="330" spans="2:3" x14ac:dyDescent="0.25">
      <c r="B330" s="4" t="s">
        <v>229</v>
      </c>
      <c r="C330" s="48" t="s">
        <v>224</v>
      </c>
    </row>
    <row r="331" spans="2:3" x14ac:dyDescent="0.25">
      <c r="B331" s="4" t="s">
        <v>246</v>
      </c>
      <c r="C331" s="48" t="s">
        <v>108</v>
      </c>
    </row>
    <row r="332" spans="2:3" x14ac:dyDescent="0.25">
      <c r="B332" s="4" t="s">
        <v>246</v>
      </c>
      <c r="C332" s="48" t="s">
        <v>108</v>
      </c>
    </row>
    <row r="333" spans="2:3" x14ac:dyDescent="0.25">
      <c r="B333" s="4" t="s">
        <v>233</v>
      </c>
      <c r="C333" s="48" t="s">
        <v>108</v>
      </c>
    </row>
    <row r="334" spans="2:3" x14ac:dyDescent="0.25">
      <c r="B334" s="4" t="s">
        <v>258</v>
      </c>
      <c r="C334" s="48" t="s">
        <v>15</v>
      </c>
    </row>
    <row r="335" spans="2:3" x14ac:dyDescent="0.25">
      <c r="B335" s="4" t="s">
        <v>228</v>
      </c>
      <c r="C335" s="48" t="s">
        <v>224</v>
      </c>
    </row>
    <row r="336" spans="2:3" x14ac:dyDescent="0.25">
      <c r="B336" s="4" t="s">
        <v>228</v>
      </c>
      <c r="C336" s="48" t="s">
        <v>224</v>
      </c>
    </row>
    <row r="337" spans="2:3" x14ac:dyDescent="0.25">
      <c r="B337" s="4" t="s">
        <v>233</v>
      </c>
      <c r="C337" s="48" t="s">
        <v>224</v>
      </c>
    </row>
    <row r="338" spans="2:3" x14ac:dyDescent="0.25">
      <c r="B338" s="4" t="s">
        <v>239</v>
      </c>
      <c r="C338" s="48" t="s">
        <v>15</v>
      </c>
    </row>
    <row r="339" spans="2:3" x14ac:dyDescent="0.25">
      <c r="B339" s="4" t="s">
        <v>228</v>
      </c>
      <c r="C339" s="48" t="s">
        <v>224</v>
      </c>
    </row>
    <row r="340" spans="2:3" x14ac:dyDescent="0.25">
      <c r="B340" s="4" t="s">
        <v>228</v>
      </c>
      <c r="C340" s="48" t="s">
        <v>224</v>
      </c>
    </row>
    <row r="341" spans="2:3" x14ac:dyDescent="0.25">
      <c r="B341" s="4" t="s">
        <v>228</v>
      </c>
      <c r="C341" s="48" t="s">
        <v>224</v>
      </c>
    </row>
    <row r="342" spans="2:3" x14ac:dyDescent="0.25">
      <c r="B342" s="4" t="s">
        <v>229</v>
      </c>
      <c r="C342" s="48" t="s">
        <v>224</v>
      </c>
    </row>
    <row r="343" spans="2:3" x14ac:dyDescent="0.25">
      <c r="B343" s="4" t="s">
        <v>230</v>
      </c>
      <c r="C343" s="48" t="s">
        <v>224</v>
      </c>
    </row>
    <row r="344" spans="2:3" x14ac:dyDescent="0.25">
      <c r="B344" s="4" t="s">
        <v>228</v>
      </c>
      <c r="C344" s="48" t="s">
        <v>224</v>
      </c>
    </row>
    <row r="345" spans="2:3" x14ac:dyDescent="0.25">
      <c r="B345" s="4" t="s">
        <v>248</v>
      </c>
      <c r="C345" s="48" t="s">
        <v>15</v>
      </c>
    </row>
    <row r="346" spans="2:3" x14ac:dyDescent="0.25">
      <c r="B346" s="4" t="s">
        <v>258</v>
      </c>
      <c r="C346" s="48" t="s">
        <v>15</v>
      </c>
    </row>
    <row r="347" spans="2:3" x14ac:dyDescent="0.25">
      <c r="B347" s="4" t="s">
        <v>229</v>
      </c>
      <c r="C347" s="48" t="s">
        <v>224</v>
      </c>
    </row>
    <row r="348" spans="2:3" x14ac:dyDescent="0.25">
      <c r="B348" s="4" t="s">
        <v>228</v>
      </c>
      <c r="C348" s="48" t="s">
        <v>224</v>
      </c>
    </row>
    <row r="349" spans="2:3" x14ac:dyDescent="0.25">
      <c r="B349" s="4" t="s">
        <v>228</v>
      </c>
      <c r="C349" s="48" t="s">
        <v>224</v>
      </c>
    </row>
    <row r="350" spans="2:3" x14ac:dyDescent="0.25">
      <c r="B350" s="4" t="s">
        <v>230</v>
      </c>
      <c r="C350" s="48" t="s">
        <v>224</v>
      </c>
    </row>
    <row r="351" spans="2:3" x14ac:dyDescent="0.25">
      <c r="B351" s="4" t="s">
        <v>233</v>
      </c>
      <c r="C351" s="48" t="s">
        <v>224</v>
      </c>
    </row>
    <row r="352" spans="2:3" x14ac:dyDescent="0.25">
      <c r="B352" s="4" t="s">
        <v>230</v>
      </c>
      <c r="C352" s="48" t="s">
        <v>161</v>
      </c>
    </row>
    <row r="353" spans="2:3" x14ac:dyDescent="0.25">
      <c r="B353" s="4" t="s">
        <v>258</v>
      </c>
      <c r="C353" s="48" t="s">
        <v>15</v>
      </c>
    </row>
    <row r="354" spans="2:3" x14ac:dyDescent="0.25">
      <c r="B354" s="4" t="s">
        <v>228</v>
      </c>
      <c r="C354" s="48" t="s">
        <v>224</v>
      </c>
    </row>
    <row r="355" spans="2:3" x14ac:dyDescent="0.25">
      <c r="B355" s="4" t="s">
        <v>239</v>
      </c>
      <c r="C355" s="48" t="s">
        <v>15</v>
      </c>
    </row>
    <row r="356" spans="2:3" x14ac:dyDescent="0.25">
      <c r="B356" s="4" t="s">
        <v>239</v>
      </c>
      <c r="C356" s="48" t="s">
        <v>15</v>
      </c>
    </row>
    <row r="357" spans="2:3" x14ac:dyDescent="0.25">
      <c r="B357" s="4" t="s">
        <v>259</v>
      </c>
      <c r="C357" s="48" t="s">
        <v>15</v>
      </c>
    </row>
    <row r="358" spans="2:3" x14ac:dyDescent="0.25">
      <c r="B358" s="4" t="s">
        <v>233</v>
      </c>
      <c r="C358" s="48" t="s">
        <v>15</v>
      </c>
    </row>
    <row r="359" spans="2:3" x14ac:dyDescent="0.25">
      <c r="B359" s="4" t="s">
        <v>246</v>
      </c>
      <c r="C359" s="48" t="s">
        <v>108</v>
      </c>
    </row>
    <row r="360" spans="2:3" x14ac:dyDescent="0.25">
      <c r="B360" s="4" t="s">
        <v>246</v>
      </c>
      <c r="C360" s="48" t="s">
        <v>108</v>
      </c>
    </row>
    <row r="361" spans="2:3" x14ac:dyDescent="0.25">
      <c r="B361" s="4" t="s">
        <v>246</v>
      </c>
      <c r="C361" s="48" t="s">
        <v>108</v>
      </c>
    </row>
    <row r="362" spans="2:3" x14ac:dyDescent="0.25">
      <c r="B362" s="4" t="s">
        <v>229</v>
      </c>
      <c r="C362" s="48" t="s">
        <v>224</v>
      </c>
    </row>
    <row r="363" spans="2:3" x14ac:dyDescent="0.25">
      <c r="B363" s="4" t="s">
        <v>229</v>
      </c>
      <c r="C363" s="48" t="s">
        <v>224</v>
      </c>
    </row>
    <row r="364" spans="2:3" x14ac:dyDescent="0.25">
      <c r="B364" s="4" t="s">
        <v>229</v>
      </c>
      <c r="C364" s="48" t="s">
        <v>224</v>
      </c>
    </row>
    <row r="365" spans="2:3" x14ac:dyDescent="0.25">
      <c r="B365" s="4" t="s">
        <v>229</v>
      </c>
      <c r="C365" s="48" t="s">
        <v>224</v>
      </c>
    </row>
    <row r="366" spans="2:3" x14ac:dyDescent="0.25">
      <c r="B366" s="4" t="s">
        <v>233</v>
      </c>
      <c r="C366" s="48" t="s">
        <v>224</v>
      </c>
    </row>
    <row r="367" spans="2:3" x14ac:dyDescent="0.25">
      <c r="B367" s="4" t="s">
        <v>228</v>
      </c>
      <c r="C367" s="48" t="s">
        <v>224</v>
      </c>
    </row>
    <row r="368" spans="2:3" x14ac:dyDescent="0.25">
      <c r="B368" s="4" t="s">
        <v>233</v>
      </c>
      <c r="C368" s="48" t="s">
        <v>164</v>
      </c>
    </row>
    <row r="369" spans="2:3" x14ac:dyDescent="0.25">
      <c r="B369" s="4" t="s">
        <v>233</v>
      </c>
      <c r="C369" s="48" t="s">
        <v>224</v>
      </c>
    </row>
    <row r="370" spans="2:3" x14ac:dyDescent="0.25">
      <c r="B370" s="4" t="s">
        <v>229</v>
      </c>
      <c r="C370" s="48" t="s">
        <v>224</v>
      </c>
    </row>
    <row r="371" spans="2:3" x14ac:dyDescent="0.25">
      <c r="B371" s="4" t="s">
        <v>246</v>
      </c>
      <c r="C371" s="48" t="s">
        <v>108</v>
      </c>
    </row>
    <row r="372" spans="2:3" x14ac:dyDescent="0.25">
      <c r="B372" s="4" t="s">
        <v>228</v>
      </c>
      <c r="C372" s="48" t="s">
        <v>224</v>
      </c>
    </row>
    <row r="373" spans="2:3" x14ac:dyDescent="0.25">
      <c r="B373" s="4" t="s">
        <v>246</v>
      </c>
      <c r="C373" s="48" t="s">
        <v>108</v>
      </c>
    </row>
    <row r="374" spans="2:3" x14ac:dyDescent="0.25">
      <c r="B374" s="4" t="s">
        <v>230</v>
      </c>
      <c r="C374" s="48" t="s">
        <v>224</v>
      </c>
    </row>
    <row r="375" spans="2:3" x14ac:dyDescent="0.25">
      <c r="B375" s="4" t="s">
        <v>228</v>
      </c>
      <c r="C375" s="48" t="s">
        <v>224</v>
      </c>
    </row>
    <row r="376" spans="2:3" x14ac:dyDescent="0.25">
      <c r="B376" s="4" t="s">
        <v>228</v>
      </c>
      <c r="C376" s="48" t="s">
        <v>224</v>
      </c>
    </row>
    <row r="377" spans="2:3" x14ac:dyDescent="0.25">
      <c r="B377" s="4" t="s">
        <v>228</v>
      </c>
      <c r="C377" s="48" t="s">
        <v>224</v>
      </c>
    </row>
    <row r="378" spans="2:3" x14ac:dyDescent="0.25">
      <c r="B378" s="4" t="s">
        <v>248</v>
      </c>
      <c r="C378" s="48" t="s">
        <v>15</v>
      </c>
    </row>
    <row r="379" spans="2:3" x14ac:dyDescent="0.25">
      <c r="B379" s="4" t="s">
        <v>233</v>
      </c>
      <c r="C379" s="48" t="s">
        <v>224</v>
      </c>
    </row>
    <row r="380" spans="2:3" x14ac:dyDescent="0.25">
      <c r="B380" s="4" t="s">
        <v>233</v>
      </c>
      <c r="C380" s="48" t="s">
        <v>15</v>
      </c>
    </row>
    <row r="381" spans="2:3" x14ac:dyDescent="0.25">
      <c r="B381" s="4" t="s">
        <v>228</v>
      </c>
      <c r="C381" s="48" t="s">
        <v>224</v>
      </c>
    </row>
    <row r="382" spans="2:3" x14ac:dyDescent="0.25">
      <c r="B382" s="4" t="s">
        <v>238</v>
      </c>
      <c r="C382" s="48" t="s">
        <v>108</v>
      </c>
    </row>
    <row r="383" spans="2:3" x14ac:dyDescent="0.25">
      <c r="B383" s="4" t="s">
        <v>243</v>
      </c>
      <c r="C383" s="48" t="s">
        <v>15</v>
      </c>
    </row>
    <row r="384" spans="2:3" x14ac:dyDescent="0.25">
      <c r="B384" s="4" t="s">
        <v>248</v>
      </c>
      <c r="C384" s="48" t="s">
        <v>15</v>
      </c>
    </row>
    <row r="385" spans="2:3" x14ac:dyDescent="0.25">
      <c r="B385" s="4" t="s">
        <v>233</v>
      </c>
      <c r="C385" s="48" t="s">
        <v>15</v>
      </c>
    </row>
    <row r="386" spans="2:3" x14ac:dyDescent="0.25">
      <c r="B386" s="4" t="s">
        <v>233</v>
      </c>
      <c r="C386" s="48" t="s">
        <v>15</v>
      </c>
    </row>
    <row r="387" spans="2:3" x14ac:dyDescent="0.25">
      <c r="B387" s="4" t="s">
        <v>233</v>
      </c>
      <c r="C387" s="48" t="s">
        <v>164</v>
      </c>
    </row>
    <row r="388" spans="2:3" x14ac:dyDescent="0.25">
      <c r="B388" s="4" t="s">
        <v>228</v>
      </c>
      <c r="C388" s="48" t="s">
        <v>224</v>
      </c>
    </row>
    <row r="389" spans="2:3" x14ac:dyDescent="0.25">
      <c r="B389" s="4" t="s">
        <v>228</v>
      </c>
      <c r="C389" s="48" t="s">
        <v>224</v>
      </c>
    </row>
    <row r="390" spans="2:3" x14ac:dyDescent="0.25">
      <c r="B390" s="4" t="s">
        <v>229</v>
      </c>
      <c r="C390" s="48" t="s">
        <v>224</v>
      </c>
    </row>
    <row r="391" spans="2:3" x14ac:dyDescent="0.25">
      <c r="B391" s="4" t="s">
        <v>260</v>
      </c>
      <c r="C391" s="48" t="s">
        <v>224</v>
      </c>
    </row>
    <row r="392" spans="2:3" x14ac:dyDescent="0.25">
      <c r="B392" s="4" t="s">
        <v>230</v>
      </c>
      <c r="C392" s="48" t="s">
        <v>224</v>
      </c>
    </row>
    <row r="393" spans="2:3" x14ac:dyDescent="0.25">
      <c r="B393" s="4" t="s">
        <v>228</v>
      </c>
      <c r="C393" s="48" t="s">
        <v>224</v>
      </c>
    </row>
    <row r="394" spans="2:3" x14ac:dyDescent="0.25">
      <c r="B394" s="4" t="s">
        <v>229</v>
      </c>
      <c r="C394" s="48" t="s">
        <v>224</v>
      </c>
    </row>
    <row r="395" spans="2:3" x14ac:dyDescent="0.25">
      <c r="B395" s="4" t="s">
        <v>229</v>
      </c>
      <c r="C395" s="48" t="s">
        <v>224</v>
      </c>
    </row>
    <row r="396" spans="2:3" x14ac:dyDescent="0.25">
      <c r="B396" s="4" t="s">
        <v>229</v>
      </c>
      <c r="C396" s="48" t="s">
        <v>224</v>
      </c>
    </row>
    <row r="397" spans="2:3" x14ac:dyDescent="0.25">
      <c r="B397" s="4" t="s">
        <v>228</v>
      </c>
      <c r="C397" s="48" t="s">
        <v>224</v>
      </c>
    </row>
    <row r="398" spans="2:3" x14ac:dyDescent="0.25">
      <c r="B398" s="4" t="s">
        <v>228</v>
      </c>
      <c r="C398" s="48" t="s">
        <v>224</v>
      </c>
    </row>
    <row r="399" spans="2:3" x14ac:dyDescent="0.25">
      <c r="B399" s="4" t="s">
        <v>229</v>
      </c>
      <c r="C399" s="48" t="s">
        <v>224</v>
      </c>
    </row>
    <row r="400" spans="2:3" x14ac:dyDescent="0.25">
      <c r="B400" s="4" t="s">
        <v>231</v>
      </c>
      <c r="C400" s="48" t="s">
        <v>15</v>
      </c>
    </row>
    <row r="401" spans="2:3" x14ac:dyDescent="0.25">
      <c r="B401" s="4" t="s">
        <v>233</v>
      </c>
      <c r="C401" s="48" t="s">
        <v>224</v>
      </c>
    </row>
    <row r="402" spans="2:3" x14ac:dyDescent="0.25">
      <c r="B402" s="4" t="s">
        <v>233</v>
      </c>
      <c r="C402" s="48" t="s">
        <v>15</v>
      </c>
    </row>
    <row r="403" spans="2:3" x14ac:dyDescent="0.25">
      <c r="B403" s="4" t="s">
        <v>233</v>
      </c>
      <c r="C403" s="48" t="s">
        <v>164</v>
      </c>
    </row>
    <row r="404" spans="2:3" x14ac:dyDescent="0.25">
      <c r="B404" s="4" t="s">
        <v>231</v>
      </c>
      <c r="C404" s="48" t="s">
        <v>15</v>
      </c>
    </row>
    <row r="405" spans="2:3" x14ac:dyDescent="0.25">
      <c r="B405" s="4" t="s">
        <v>233</v>
      </c>
      <c r="C405" s="48" t="s">
        <v>164</v>
      </c>
    </row>
    <row r="406" spans="2:3" x14ac:dyDescent="0.25">
      <c r="B406" s="4" t="s">
        <v>233</v>
      </c>
      <c r="C406" s="48" t="s">
        <v>15</v>
      </c>
    </row>
    <row r="407" spans="2:3" x14ac:dyDescent="0.25">
      <c r="B407" s="4" t="s">
        <v>233</v>
      </c>
      <c r="C407" s="48" t="s">
        <v>164</v>
      </c>
    </row>
    <row r="408" spans="2:3" x14ac:dyDescent="0.25">
      <c r="B408" s="4" t="s">
        <v>229</v>
      </c>
      <c r="C408" s="48" t="s">
        <v>224</v>
      </c>
    </row>
    <row r="409" spans="2:3" x14ac:dyDescent="0.25">
      <c r="B409" s="4" t="s">
        <v>229</v>
      </c>
      <c r="C409" s="48" t="s">
        <v>224</v>
      </c>
    </row>
    <row r="410" spans="2:3" x14ac:dyDescent="0.25">
      <c r="B410" s="4" t="s">
        <v>228</v>
      </c>
      <c r="C410" s="48" t="s">
        <v>224</v>
      </c>
    </row>
    <row r="411" spans="2:3" x14ac:dyDescent="0.25">
      <c r="B411" s="4" t="s">
        <v>233</v>
      </c>
      <c r="C411" s="48" t="s">
        <v>224</v>
      </c>
    </row>
    <row r="412" spans="2:3" x14ac:dyDescent="0.25">
      <c r="B412" s="4" t="s">
        <v>229</v>
      </c>
      <c r="C412" s="48" t="s">
        <v>224</v>
      </c>
    </row>
    <row r="413" spans="2:3" x14ac:dyDescent="0.25">
      <c r="B413" s="4" t="s">
        <v>233</v>
      </c>
      <c r="C413" s="48" t="s">
        <v>164</v>
      </c>
    </row>
    <row r="414" spans="2:3" x14ac:dyDescent="0.25">
      <c r="B414" s="4" t="s">
        <v>233</v>
      </c>
      <c r="C414" s="48" t="s">
        <v>224</v>
      </c>
    </row>
    <row r="415" spans="2:3" x14ac:dyDescent="0.25">
      <c r="B415" s="4" t="s">
        <v>233</v>
      </c>
      <c r="C415" s="48" t="s">
        <v>164</v>
      </c>
    </row>
    <row r="416" spans="2:3" x14ac:dyDescent="0.25">
      <c r="B416" s="4" t="s">
        <v>233</v>
      </c>
      <c r="C416" s="48" t="s">
        <v>164</v>
      </c>
    </row>
    <row r="417" spans="2:3" x14ac:dyDescent="0.25">
      <c r="B417" s="4" t="s">
        <v>228</v>
      </c>
      <c r="C417" s="48" t="s">
        <v>224</v>
      </c>
    </row>
    <row r="418" spans="2:3" x14ac:dyDescent="0.25">
      <c r="B418" s="4" t="s">
        <v>233</v>
      </c>
      <c r="C418" s="48" t="s">
        <v>164</v>
      </c>
    </row>
    <row r="419" spans="2:3" x14ac:dyDescent="0.25">
      <c r="B419" s="4" t="s">
        <v>230</v>
      </c>
      <c r="C419" s="48" t="s">
        <v>224</v>
      </c>
    </row>
    <row r="420" spans="2:3" x14ac:dyDescent="0.25">
      <c r="B420" s="4" t="s">
        <v>233</v>
      </c>
      <c r="C420" s="48" t="s">
        <v>164</v>
      </c>
    </row>
    <row r="421" spans="2:3" x14ac:dyDescent="0.25">
      <c r="B421" s="4" t="s">
        <v>228</v>
      </c>
      <c r="C421" s="48" t="s">
        <v>224</v>
      </c>
    </row>
    <row r="422" spans="2:3" x14ac:dyDescent="0.25">
      <c r="B422" s="4" t="s">
        <v>233</v>
      </c>
      <c r="C422" s="48" t="s">
        <v>164</v>
      </c>
    </row>
    <row r="423" spans="2:3" x14ac:dyDescent="0.25">
      <c r="B423" s="4" t="s">
        <v>228</v>
      </c>
      <c r="C423" s="48" t="s">
        <v>224</v>
      </c>
    </row>
    <row r="424" spans="2:3" x14ac:dyDescent="0.25">
      <c r="B424" s="4" t="s">
        <v>233</v>
      </c>
      <c r="C424" s="48" t="s">
        <v>164</v>
      </c>
    </row>
    <row r="425" spans="2:3" x14ac:dyDescent="0.25">
      <c r="B425" s="4" t="s">
        <v>233</v>
      </c>
      <c r="C425" s="48" t="s">
        <v>224</v>
      </c>
    </row>
    <row r="426" spans="2:3" x14ac:dyDescent="0.25">
      <c r="B426" s="4" t="s">
        <v>233</v>
      </c>
      <c r="C426" s="48" t="s">
        <v>164</v>
      </c>
    </row>
    <row r="427" spans="2:3" x14ac:dyDescent="0.25">
      <c r="B427" s="4" t="s">
        <v>228</v>
      </c>
      <c r="C427" s="48" t="s">
        <v>224</v>
      </c>
    </row>
    <row r="428" spans="2:3" x14ac:dyDescent="0.25">
      <c r="B428" s="4" t="s">
        <v>228</v>
      </c>
      <c r="C428" s="48" t="s">
        <v>224</v>
      </c>
    </row>
    <row r="429" spans="2:3" x14ac:dyDescent="0.25">
      <c r="B429" s="4" t="s">
        <v>228</v>
      </c>
      <c r="C429" s="48" t="s">
        <v>224</v>
      </c>
    </row>
    <row r="430" spans="2:3" x14ac:dyDescent="0.25">
      <c r="B430" s="4" t="s">
        <v>233</v>
      </c>
      <c r="C430" s="48" t="s">
        <v>224</v>
      </c>
    </row>
    <row r="431" spans="2:3" x14ac:dyDescent="0.25">
      <c r="B431" s="4" t="s">
        <v>233</v>
      </c>
      <c r="C431" s="48" t="s">
        <v>224</v>
      </c>
    </row>
    <row r="432" spans="2:3" x14ac:dyDescent="0.25">
      <c r="B432" s="4" t="s">
        <v>231</v>
      </c>
      <c r="C432" s="48" t="s">
        <v>15</v>
      </c>
    </row>
    <row r="433" spans="2:3" x14ac:dyDescent="0.25">
      <c r="B433" s="4" t="s">
        <v>233</v>
      </c>
      <c r="C433" s="48" t="s">
        <v>164</v>
      </c>
    </row>
    <row r="434" spans="2:3" x14ac:dyDescent="0.25">
      <c r="B434" s="4" t="s">
        <v>233</v>
      </c>
      <c r="C434" s="48" t="s">
        <v>15</v>
      </c>
    </row>
    <row r="435" spans="2:3" x14ac:dyDescent="0.25">
      <c r="B435" s="4" t="s">
        <v>260</v>
      </c>
      <c r="C435" s="48" t="s">
        <v>164</v>
      </c>
    </row>
    <row r="436" spans="2:3" x14ac:dyDescent="0.25">
      <c r="B436" s="4" t="s">
        <v>233</v>
      </c>
      <c r="C436" s="48" t="s">
        <v>164</v>
      </c>
    </row>
    <row r="437" spans="2:3" x14ac:dyDescent="0.25">
      <c r="B437" s="4" t="s">
        <v>229</v>
      </c>
      <c r="C437" s="48" t="s">
        <v>224</v>
      </c>
    </row>
    <row r="438" spans="2:3" x14ac:dyDescent="0.25">
      <c r="B438" s="4" t="s">
        <v>233</v>
      </c>
      <c r="C438" s="48" t="s">
        <v>164</v>
      </c>
    </row>
    <row r="439" spans="2:3" x14ac:dyDescent="0.25">
      <c r="B439" s="4" t="s">
        <v>229</v>
      </c>
      <c r="C439" s="48" t="s">
        <v>224</v>
      </c>
    </row>
    <row r="440" spans="2:3" x14ac:dyDescent="0.25">
      <c r="B440" s="4" t="s">
        <v>233</v>
      </c>
      <c r="C440" s="48" t="s">
        <v>164</v>
      </c>
    </row>
    <row r="441" spans="2:3" x14ac:dyDescent="0.25">
      <c r="B441" s="4" t="s">
        <v>228</v>
      </c>
      <c r="C441" s="48" t="s">
        <v>224</v>
      </c>
    </row>
    <row r="442" spans="2:3" x14ac:dyDescent="0.25">
      <c r="B442" s="4" t="s">
        <v>229</v>
      </c>
      <c r="C442" s="48" t="s">
        <v>224</v>
      </c>
    </row>
    <row r="443" spans="2:3" x14ac:dyDescent="0.25">
      <c r="B443" s="4" t="s">
        <v>231</v>
      </c>
      <c r="C443" s="48" t="s">
        <v>15</v>
      </c>
    </row>
    <row r="444" spans="2:3" x14ac:dyDescent="0.25">
      <c r="B444" s="4" t="s">
        <v>233</v>
      </c>
      <c r="C444" s="48" t="s">
        <v>224</v>
      </c>
    </row>
    <row r="445" spans="2:3" x14ac:dyDescent="0.25">
      <c r="B445" s="4" t="s">
        <v>228</v>
      </c>
      <c r="C445" s="48" t="s">
        <v>224</v>
      </c>
    </row>
    <row r="446" spans="2:3" x14ac:dyDescent="0.25">
      <c r="B446" s="4" t="s">
        <v>233</v>
      </c>
      <c r="C446" s="48" t="s">
        <v>164</v>
      </c>
    </row>
    <row r="447" spans="2:3" x14ac:dyDescent="0.25">
      <c r="B447" s="4" t="s">
        <v>233</v>
      </c>
      <c r="C447" s="48" t="s">
        <v>224</v>
      </c>
    </row>
    <row r="448" spans="2:3" x14ac:dyDescent="0.25">
      <c r="B448" s="4" t="s">
        <v>233</v>
      </c>
      <c r="C448" s="48" t="s">
        <v>164</v>
      </c>
    </row>
    <row r="449" spans="2:3" x14ac:dyDescent="0.25">
      <c r="B449" s="4" t="s">
        <v>233</v>
      </c>
      <c r="C449" s="48" t="s">
        <v>164</v>
      </c>
    </row>
    <row r="450" spans="2:3" x14ac:dyDescent="0.25">
      <c r="B450" s="4" t="s">
        <v>233</v>
      </c>
      <c r="C450" s="48" t="s">
        <v>164</v>
      </c>
    </row>
    <row r="451" spans="2:3" x14ac:dyDescent="0.25">
      <c r="B451" s="4" t="s">
        <v>248</v>
      </c>
      <c r="C451" s="48" t="s">
        <v>15</v>
      </c>
    </row>
    <row r="452" spans="2:3" x14ac:dyDescent="0.25">
      <c r="B452" s="4" t="s">
        <v>248</v>
      </c>
      <c r="C452" s="48" t="s">
        <v>15</v>
      </c>
    </row>
    <row r="453" spans="2:3" x14ac:dyDescent="0.25">
      <c r="B453" s="4" t="s">
        <v>233</v>
      </c>
      <c r="C453" s="48" t="s">
        <v>15</v>
      </c>
    </row>
    <row r="454" spans="2:3" x14ac:dyDescent="0.25">
      <c r="B454" s="4" t="s">
        <v>228</v>
      </c>
      <c r="C454" s="48" t="s">
        <v>224</v>
      </c>
    </row>
    <row r="455" spans="2:3" x14ac:dyDescent="0.25">
      <c r="B455" s="4" t="s">
        <v>233</v>
      </c>
      <c r="C455" s="48" t="s">
        <v>164</v>
      </c>
    </row>
    <row r="456" spans="2:3" x14ac:dyDescent="0.25">
      <c r="B456" s="4" t="s">
        <v>228</v>
      </c>
      <c r="C456" s="48" t="s">
        <v>224</v>
      </c>
    </row>
    <row r="457" spans="2:3" x14ac:dyDescent="0.25">
      <c r="B457" s="4" t="s">
        <v>233</v>
      </c>
      <c r="C457" s="48" t="s">
        <v>164</v>
      </c>
    </row>
    <row r="458" spans="2:3" x14ac:dyDescent="0.25">
      <c r="B458" s="4" t="s">
        <v>233</v>
      </c>
      <c r="C458" s="48" t="s">
        <v>224</v>
      </c>
    </row>
    <row r="459" spans="2:3" x14ac:dyDescent="0.25">
      <c r="B459" s="4" t="s">
        <v>229</v>
      </c>
      <c r="C459" s="48" t="s">
        <v>224</v>
      </c>
    </row>
    <row r="460" spans="2:3" x14ac:dyDescent="0.25">
      <c r="B460" s="4" t="s">
        <v>233</v>
      </c>
      <c r="C460" s="48" t="s">
        <v>164</v>
      </c>
    </row>
    <row r="461" spans="2:3" x14ac:dyDescent="0.25">
      <c r="B461" s="4" t="s">
        <v>233</v>
      </c>
      <c r="C461" s="48" t="s">
        <v>224</v>
      </c>
    </row>
    <row r="462" spans="2:3" x14ac:dyDescent="0.25">
      <c r="B462" s="4" t="s">
        <v>248</v>
      </c>
      <c r="C462" s="48" t="s">
        <v>15</v>
      </c>
    </row>
    <row r="463" spans="2:3" x14ac:dyDescent="0.25">
      <c r="B463" s="4" t="s">
        <v>228</v>
      </c>
      <c r="C463" s="48" t="s">
        <v>224</v>
      </c>
    </row>
    <row r="464" spans="2:3" x14ac:dyDescent="0.25">
      <c r="B464" s="4" t="s">
        <v>228</v>
      </c>
      <c r="C464" s="48" t="s">
        <v>224</v>
      </c>
    </row>
    <row r="465" spans="2:3" x14ac:dyDescent="0.25">
      <c r="B465" s="4" t="s">
        <v>228</v>
      </c>
      <c r="C465" s="48" t="s">
        <v>224</v>
      </c>
    </row>
    <row r="466" spans="2:3" x14ac:dyDescent="0.25">
      <c r="B466" s="4" t="s">
        <v>228</v>
      </c>
      <c r="C466" s="48" t="s">
        <v>224</v>
      </c>
    </row>
    <row r="467" spans="2:3" x14ac:dyDescent="0.25">
      <c r="B467" s="4" t="s">
        <v>233</v>
      </c>
      <c r="C467" s="48" t="s">
        <v>224</v>
      </c>
    </row>
    <row r="468" spans="2:3" x14ac:dyDescent="0.25">
      <c r="B468" s="4" t="s">
        <v>228</v>
      </c>
      <c r="C468" s="48" t="s">
        <v>224</v>
      </c>
    </row>
    <row r="469" spans="2:3" x14ac:dyDescent="0.25">
      <c r="B469" s="4" t="s">
        <v>228</v>
      </c>
      <c r="C469" s="48" t="s">
        <v>224</v>
      </c>
    </row>
    <row r="470" spans="2:3" x14ac:dyDescent="0.25">
      <c r="B470" s="4" t="s">
        <v>228</v>
      </c>
      <c r="C470" s="48" t="s">
        <v>224</v>
      </c>
    </row>
    <row r="471" spans="2:3" x14ac:dyDescent="0.25">
      <c r="B471" s="4" t="s">
        <v>228</v>
      </c>
      <c r="C471" s="48" t="s">
        <v>224</v>
      </c>
    </row>
    <row r="472" spans="2:3" x14ac:dyDescent="0.25">
      <c r="B472" s="4" t="s">
        <v>228</v>
      </c>
      <c r="C472" s="48" t="s">
        <v>224</v>
      </c>
    </row>
    <row r="473" spans="2:3" x14ac:dyDescent="0.25">
      <c r="B473" s="4" t="s">
        <v>228</v>
      </c>
      <c r="C473" s="48" t="s">
        <v>224</v>
      </c>
    </row>
    <row r="474" spans="2:3" x14ac:dyDescent="0.25">
      <c r="B474" s="4" t="s">
        <v>248</v>
      </c>
      <c r="C474" s="48" t="s">
        <v>15</v>
      </c>
    </row>
    <row r="475" spans="2:3" x14ac:dyDescent="0.25">
      <c r="B475" s="4" t="s">
        <v>257</v>
      </c>
      <c r="C475" s="48" t="s">
        <v>226</v>
      </c>
    </row>
    <row r="476" spans="2:3" x14ac:dyDescent="0.25">
      <c r="B476" s="4" t="s">
        <v>228</v>
      </c>
      <c r="C476" s="48" t="s">
        <v>224</v>
      </c>
    </row>
    <row r="477" spans="2:3" x14ac:dyDescent="0.25">
      <c r="B477" s="4" t="s">
        <v>228</v>
      </c>
      <c r="C477" s="48" t="s">
        <v>224</v>
      </c>
    </row>
    <row r="478" spans="2:3" x14ac:dyDescent="0.25">
      <c r="B478" s="4" t="s">
        <v>228</v>
      </c>
      <c r="C478" s="48" t="s">
        <v>224</v>
      </c>
    </row>
    <row r="479" spans="2:3" x14ac:dyDescent="0.25">
      <c r="B479" s="4" t="s">
        <v>229</v>
      </c>
      <c r="C479" s="48" t="s">
        <v>224</v>
      </c>
    </row>
    <row r="480" spans="2:3" x14ac:dyDescent="0.25">
      <c r="B480" s="4" t="s">
        <v>228</v>
      </c>
      <c r="C480" s="48" t="s">
        <v>224</v>
      </c>
    </row>
    <row r="481" spans="2:3" x14ac:dyDescent="0.25">
      <c r="B481" s="4" t="s">
        <v>228</v>
      </c>
      <c r="C481" s="48" t="s">
        <v>224</v>
      </c>
    </row>
    <row r="482" spans="2:3" x14ac:dyDescent="0.25">
      <c r="B482" s="4" t="s">
        <v>228</v>
      </c>
      <c r="C482" s="48" t="s">
        <v>224</v>
      </c>
    </row>
    <row r="483" spans="2:3" x14ac:dyDescent="0.25">
      <c r="B483" s="4" t="s">
        <v>261</v>
      </c>
      <c r="C483" s="48" t="s">
        <v>226</v>
      </c>
    </row>
    <row r="484" spans="2:3" x14ac:dyDescent="0.25">
      <c r="B484" s="4" t="s">
        <v>233</v>
      </c>
      <c r="C484" s="48" t="s">
        <v>224</v>
      </c>
    </row>
    <row r="485" spans="2:3" x14ac:dyDescent="0.25">
      <c r="B485" s="4" t="s">
        <v>233</v>
      </c>
      <c r="C485" s="48" t="s">
        <v>224</v>
      </c>
    </row>
    <row r="486" spans="2:3" x14ac:dyDescent="0.25">
      <c r="B486" s="4" t="s">
        <v>233</v>
      </c>
      <c r="C486" s="48" t="s">
        <v>164</v>
      </c>
    </row>
    <row r="487" spans="2:3" x14ac:dyDescent="0.25">
      <c r="B487" s="4" t="s">
        <v>233</v>
      </c>
      <c r="C487" s="48" t="s">
        <v>164</v>
      </c>
    </row>
    <row r="488" spans="2:3" x14ac:dyDescent="0.25">
      <c r="B488" s="4" t="s">
        <v>228</v>
      </c>
      <c r="C488" s="48" t="s">
        <v>224</v>
      </c>
    </row>
    <row r="489" spans="2:3" x14ac:dyDescent="0.25">
      <c r="B489" s="4" t="s">
        <v>228</v>
      </c>
      <c r="C489" s="48" t="s">
        <v>224</v>
      </c>
    </row>
    <row r="490" spans="2:3" x14ac:dyDescent="0.25">
      <c r="B490" s="4" t="s">
        <v>233</v>
      </c>
      <c r="C490" s="48" t="s">
        <v>224</v>
      </c>
    </row>
    <row r="491" spans="2:3" x14ac:dyDescent="0.25">
      <c r="B491" s="4" t="s">
        <v>233</v>
      </c>
      <c r="C491" s="48" t="s">
        <v>224</v>
      </c>
    </row>
    <row r="492" spans="2:3" x14ac:dyDescent="0.25">
      <c r="B492" s="4" t="s">
        <v>233</v>
      </c>
      <c r="C492" s="48" t="s">
        <v>164</v>
      </c>
    </row>
    <row r="493" spans="2:3" x14ac:dyDescent="0.25">
      <c r="B493" s="4" t="s">
        <v>228</v>
      </c>
      <c r="C493" s="48" t="s">
        <v>224</v>
      </c>
    </row>
    <row r="494" spans="2:3" x14ac:dyDescent="0.25">
      <c r="B494" s="4" t="s">
        <v>228</v>
      </c>
      <c r="C494" s="48" t="s">
        <v>224</v>
      </c>
    </row>
    <row r="495" spans="2:3" x14ac:dyDescent="0.25">
      <c r="B495" s="4" t="s">
        <v>228</v>
      </c>
      <c r="C495" s="48" t="s">
        <v>224</v>
      </c>
    </row>
    <row r="496" spans="2:3" x14ac:dyDescent="0.25">
      <c r="B496" s="4" t="s">
        <v>228</v>
      </c>
      <c r="C496" s="48" t="s">
        <v>224</v>
      </c>
    </row>
    <row r="497" spans="2:3" x14ac:dyDescent="0.25">
      <c r="B497" s="4" t="s">
        <v>233</v>
      </c>
      <c r="C497" s="48" t="s">
        <v>224</v>
      </c>
    </row>
    <row r="498" spans="2:3" x14ac:dyDescent="0.25">
      <c r="B498" s="4" t="s">
        <v>228</v>
      </c>
      <c r="C498" s="48" t="s">
        <v>224</v>
      </c>
    </row>
    <row r="499" spans="2:3" x14ac:dyDescent="0.25">
      <c r="B499" s="4" t="s">
        <v>228</v>
      </c>
      <c r="C499" s="48" t="s">
        <v>224</v>
      </c>
    </row>
    <row r="500" spans="2:3" x14ac:dyDescent="0.25">
      <c r="B500" s="4" t="s">
        <v>248</v>
      </c>
      <c r="C500" s="48" t="s">
        <v>15</v>
      </c>
    </row>
    <row r="501" spans="2:3" x14ac:dyDescent="0.25">
      <c r="B501" s="4" t="s">
        <v>228</v>
      </c>
      <c r="C501" s="48" t="s">
        <v>224</v>
      </c>
    </row>
    <row r="502" spans="2:3" x14ac:dyDescent="0.25">
      <c r="B502" s="4" t="s">
        <v>233</v>
      </c>
      <c r="C502" s="48" t="s">
        <v>15</v>
      </c>
    </row>
    <row r="503" spans="2:3" x14ac:dyDescent="0.25">
      <c r="B503" s="4" t="s">
        <v>228</v>
      </c>
      <c r="C503" s="48" t="s">
        <v>224</v>
      </c>
    </row>
    <row r="504" spans="2:3" x14ac:dyDescent="0.25">
      <c r="B504" s="4" t="s">
        <v>228</v>
      </c>
      <c r="C504" s="48" t="s">
        <v>224</v>
      </c>
    </row>
    <row r="505" spans="2:3" x14ac:dyDescent="0.25">
      <c r="B505" s="4" t="s">
        <v>229</v>
      </c>
      <c r="C505" s="48" t="s">
        <v>224</v>
      </c>
    </row>
    <row r="506" spans="2:3" x14ac:dyDescent="0.25">
      <c r="B506" s="4" t="s">
        <v>248</v>
      </c>
      <c r="C506" s="48" t="s">
        <v>15</v>
      </c>
    </row>
    <row r="507" spans="2:3" x14ac:dyDescent="0.25">
      <c r="B507" s="4" t="s">
        <v>228</v>
      </c>
      <c r="C507" s="48" t="s">
        <v>224</v>
      </c>
    </row>
    <row r="508" spans="2:3" x14ac:dyDescent="0.25">
      <c r="B508" s="4" t="s">
        <v>228</v>
      </c>
      <c r="C508" s="48" t="s">
        <v>224</v>
      </c>
    </row>
    <row r="509" spans="2:3" x14ac:dyDescent="0.25">
      <c r="B509" s="4" t="s">
        <v>228</v>
      </c>
      <c r="C509" s="48" t="s">
        <v>224</v>
      </c>
    </row>
    <row r="510" spans="2:3" x14ac:dyDescent="0.25">
      <c r="B510" s="4" t="s">
        <v>228</v>
      </c>
      <c r="C510" s="48" t="s">
        <v>224</v>
      </c>
    </row>
    <row r="511" spans="2:3" x14ac:dyDescent="0.25">
      <c r="B511" s="4" t="s">
        <v>228</v>
      </c>
      <c r="C511" s="48" t="s">
        <v>224</v>
      </c>
    </row>
    <row r="512" spans="2:3" x14ac:dyDescent="0.25">
      <c r="B512" s="4" t="s">
        <v>228</v>
      </c>
      <c r="C512" s="48" t="s">
        <v>224</v>
      </c>
    </row>
    <row r="513" spans="2:3" x14ac:dyDescent="0.25">
      <c r="B513" s="4" t="s">
        <v>228</v>
      </c>
      <c r="C513" s="48" t="s">
        <v>224</v>
      </c>
    </row>
    <row r="514" spans="2:3" x14ac:dyDescent="0.25">
      <c r="B514" s="4" t="s">
        <v>228</v>
      </c>
      <c r="C514" s="48" t="s">
        <v>224</v>
      </c>
    </row>
    <row r="515" spans="2:3" x14ac:dyDescent="0.25">
      <c r="B515" s="4" t="s">
        <v>233</v>
      </c>
      <c r="C515" s="48" t="s">
        <v>224</v>
      </c>
    </row>
    <row r="516" spans="2:3" x14ac:dyDescent="0.25">
      <c r="B516" s="4" t="s">
        <v>233</v>
      </c>
      <c r="C516" s="48" t="s">
        <v>224</v>
      </c>
    </row>
    <row r="517" spans="2:3" x14ac:dyDescent="0.25">
      <c r="B517" s="4" t="s">
        <v>228</v>
      </c>
      <c r="C517" s="48" t="s">
        <v>224</v>
      </c>
    </row>
    <row r="518" spans="2:3" x14ac:dyDescent="0.25">
      <c r="B518" s="4" t="s">
        <v>228</v>
      </c>
      <c r="C518" s="48" t="s">
        <v>224</v>
      </c>
    </row>
    <row r="519" spans="2:3" x14ac:dyDescent="0.25">
      <c r="B519" s="4" t="s">
        <v>228</v>
      </c>
      <c r="C519" s="48" t="s">
        <v>224</v>
      </c>
    </row>
    <row r="520" spans="2:3" x14ac:dyDescent="0.25">
      <c r="B520" s="4" t="s">
        <v>228</v>
      </c>
      <c r="C520" s="48" t="s">
        <v>224</v>
      </c>
    </row>
    <row r="521" spans="2:3" x14ac:dyDescent="0.25">
      <c r="B521" s="4" t="s">
        <v>228</v>
      </c>
      <c r="C521" s="48" t="s">
        <v>224</v>
      </c>
    </row>
    <row r="522" spans="2:3" x14ac:dyDescent="0.25">
      <c r="B522" s="4" t="s">
        <v>233</v>
      </c>
      <c r="C522" s="48" t="s">
        <v>224</v>
      </c>
    </row>
    <row r="523" spans="2:3" x14ac:dyDescent="0.25">
      <c r="B523" s="4" t="s">
        <v>228</v>
      </c>
      <c r="C523" s="48" t="s">
        <v>224</v>
      </c>
    </row>
    <row r="524" spans="2:3" x14ac:dyDescent="0.25">
      <c r="B524" s="4" t="s">
        <v>228</v>
      </c>
      <c r="C524" s="48" t="s">
        <v>224</v>
      </c>
    </row>
    <row r="525" spans="2:3" x14ac:dyDescent="0.25">
      <c r="B525" s="4" t="s">
        <v>233</v>
      </c>
      <c r="C525" s="48" t="s">
        <v>224</v>
      </c>
    </row>
    <row r="526" spans="2:3" x14ac:dyDescent="0.25">
      <c r="B526" s="4" t="s">
        <v>262</v>
      </c>
      <c r="C526" s="48" t="s">
        <v>15</v>
      </c>
    </row>
    <row r="527" spans="2:3" x14ac:dyDescent="0.25">
      <c r="B527" s="4" t="s">
        <v>228</v>
      </c>
      <c r="C527" s="48" t="s">
        <v>224</v>
      </c>
    </row>
    <row r="528" spans="2:3" x14ac:dyDescent="0.25">
      <c r="B528" s="4" t="s">
        <v>261</v>
      </c>
      <c r="C528" s="48" t="s">
        <v>226</v>
      </c>
    </row>
    <row r="529" spans="2:3" x14ac:dyDescent="0.25">
      <c r="B529" s="4" t="s">
        <v>228</v>
      </c>
      <c r="C529" s="48" t="s">
        <v>224</v>
      </c>
    </row>
    <row r="530" spans="2:3" x14ac:dyDescent="0.25">
      <c r="B530" s="4" t="s">
        <v>228</v>
      </c>
      <c r="C530" s="48" t="s">
        <v>224</v>
      </c>
    </row>
    <row r="531" spans="2:3" x14ac:dyDescent="0.25">
      <c r="B531" s="4" t="s">
        <v>228</v>
      </c>
      <c r="C531" s="48" t="s">
        <v>224</v>
      </c>
    </row>
    <row r="532" spans="2:3" x14ac:dyDescent="0.25">
      <c r="B532" s="4" t="s">
        <v>233</v>
      </c>
      <c r="C532" s="48" t="s">
        <v>224</v>
      </c>
    </row>
    <row r="533" spans="2:3" x14ac:dyDescent="0.25">
      <c r="B533" s="4" t="s">
        <v>228</v>
      </c>
      <c r="C533" s="48" t="s">
        <v>224</v>
      </c>
    </row>
    <row r="534" spans="2:3" x14ac:dyDescent="0.25">
      <c r="B534" s="4" t="s">
        <v>228</v>
      </c>
      <c r="C534" s="48" t="s">
        <v>224</v>
      </c>
    </row>
    <row r="535" spans="2:3" x14ac:dyDescent="0.25">
      <c r="B535" s="4" t="s">
        <v>228</v>
      </c>
      <c r="C535" s="48" t="s">
        <v>224</v>
      </c>
    </row>
    <row r="536" spans="2:3" x14ac:dyDescent="0.25">
      <c r="B536" s="4" t="s">
        <v>228</v>
      </c>
      <c r="C536" s="48" t="s">
        <v>224</v>
      </c>
    </row>
    <row r="537" spans="2:3" x14ac:dyDescent="0.25">
      <c r="B537" s="4" t="s">
        <v>228</v>
      </c>
      <c r="C537" s="48" t="s">
        <v>224</v>
      </c>
    </row>
    <row r="538" spans="2:3" x14ac:dyDescent="0.25">
      <c r="B538" s="4" t="s">
        <v>228</v>
      </c>
      <c r="C538" s="48" t="s">
        <v>224</v>
      </c>
    </row>
    <row r="539" spans="2:3" x14ac:dyDescent="0.25">
      <c r="B539" s="4" t="s">
        <v>228</v>
      </c>
      <c r="C539" s="48" t="s">
        <v>224</v>
      </c>
    </row>
    <row r="540" spans="2:3" x14ac:dyDescent="0.25">
      <c r="B540" s="4" t="s">
        <v>228</v>
      </c>
      <c r="C540" s="48" t="s">
        <v>224</v>
      </c>
    </row>
    <row r="541" spans="2:3" x14ac:dyDescent="0.25">
      <c r="B541" s="4" t="s">
        <v>228</v>
      </c>
      <c r="C541" s="48" t="s">
        <v>224</v>
      </c>
    </row>
    <row r="542" spans="2:3" x14ac:dyDescent="0.25">
      <c r="B542" s="4" t="s">
        <v>228</v>
      </c>
      <c r="C542" s="48" t="s">
        <v>224</v>
      </c>
    </row>
    <row r="543" spans="2:3" x14ac:dyDescent="0.25">
      <c r="B543" s="4" t="s">
        <v>228</v>
      </c>
      <c r="C543" s="48" t="s">
        <v>224</v>
      </c>
    </row>
    <row r="544" spans="2:3" x14ac:dyDescent="0.25">
      <c r="B544" s="4" t="s">
        <v>228</v>
      </c>
      <c r="C544" s="48" t="s">
        <v>224</v>
      </c>
    </row>
    <row r="545" spans="2:3" x14ac:dyDescent="0.25">
      <c r="B545" s="4" t="s">
        <v>229</v>
      </c>
      <c r="C545" s="48" t="s">
        <v>224</v>
      </c>
    </row>
    <row r="546" spans="2:3" x14ac:dyDescent="0.25">
      <c r="B546" s="4" t="s">
        <v>228</v>
      </c>
      <c r="C546" s="48" t="s">
        <v>224</v>
      </c>
    </row>
    <row r="547" spans="2:3" x14ac:dyDescent="0.25">
      <c r="B547" s="4" t="s">
        <v>233</v>
      </c>
      <c r="C547" s="48" t="s">
        <v>224</v>
      </c>
    </row>
    <row r="548" spans="2:3" x14ac:dyDescent="0.25">
      <c r="B548" s="4" t="s">
        <v>228</v>
      </c>
      <c r="C548" s="48" t="s">
        <v>224</v>
      </c>
    </row>
    <row r="549" spans="2:3" x14ac:dyDescent="0.25">
      <c r="B549" s="4" t="s">
        <v>228</v>
      </c>
      <c r="C549" s="48" t="s">
        <v>224</v>
      </c>
    </row>
    <row r="550" spans="2:3" x14ac:dyDescent="0.25">
      <c r="B550" s="4" t="s">
        <v>228</v>
      </c>
      <c r="C550" s="48" t="s">
        <v>224</v>
      </c>
    </row>
    <row r="551" spans="2:3" x14ac:dyDescent="0.25">
      <c r="B551" s="4" t="s">
        <v>233</v>
      </c>
      <c r="C551" s="48" t="s">
        <v>224</v>
      </c>
    </row>
    <row r="552" spans="2:3" x14ac:dyDescent="0.25">
      <c r="B552" s="4" t="s">
        <v>236</v>
      </c>
      <c r="C552" s="48" t="s">
        <v>108</v>
      </c>
    </row>
    <row r="553" spans="2:3" x14ac:dyDescent="0.25">
      <c r="B553" s="4" t="s">
        <v>236</v>
      </c>
      <c r="C553" s="48" t="s">
        <v>108</v>
      </c>
    </row>
    <row r="554" spans="2:3" x14ac:dyDescent="0.25">
      <c r="B554" s="4" t="s">
        <v>228</v>
      </c>
      <c r="C554" s="48" t="s">
        <v>224</v>
      </c>
    </row>
    <row r="555" spans="2:3" x14ac:dyDescent="0.25">
      <c r="B555" s="4" t="s">
        <v>228</v>
      </c>
      <c r="C555" s="48" t="s">
        <v>224</v>
      </c>
    </row>
    <row r="556" spans="2:3" x14ac:dyDescent="0.25">
      <c r="B556" s="4" t="s">
        <v>228</v>
      </c>
      <c r="C556" s="48" t="s">
        <v>224</v>
      </c>
    </row>
    <row r="557" spans="2:3" x14ac:dyDescent="0.25">
      <c r="B557" s="4" t="s">
        <v>228</v>
      </c>
      <c r="C557" s="48" t="s">
        <v>224</v>
      </c>
    </row>
    <row r="558" spans="2:3" x14ac:dyDescent="0.25">
      <c r="B558" s="4" t="s">
        <v>228</v>
      </c>
      <c r="C558" s="48" t="s">
        <v>224</v>
      </c>
    </row>
    <row r="559" spans="2:3" x14ac:dyDescent="0.25">
      <c r="B559" s="4" t="s">
        <v>228</v>
      </c>
      <c r="C559" s="48" t="s">
        <v>224</v>
      </c>
    </row>
    <row r="560" spans="2:3" x14ac:dyDescent="0.25">
      <c r="B560" s="4" t="s">
        <v>228</v>
      </c>
      <c r="C560" s="48" t="s">
        <v>224</v>
      </c>
    </row>
    <row r="561" spans="2:3" x14ac:dyDescent="0.25">
      <c r="B561" s="4" t="s">
        <v>228</v>
      </c>
      <c r="C561" s="48" t="s">
        <v>224</v>
      </c>
    </row>
    <row r="562" spans="2:3" x14ac:dyDescent="0.25">
      <c r="B562" s="4" t="s">
        <v>228</v>
      </c>
      <c r="C562" s="48" t="s">
        <v>224</v>
      </c>
    </row>
    <row r="563" spans="2:3" x14ac:dyDescent="0.25">
      <c r="B563" s="4" t="s">
        <v>228</v>
      </c>
      <c r="C563" s="48" t="s">
        <v>224</v>
      </c>
    </row>
    <row r="564" spans="2:3" x14ac:dyDescent="0.25">
      <c r="B564" s="4" t="s">
        <v>228</v>
      </c>
      <c r="C564" s="48" t="s">
        <v>224</v>
      </c>
    </row>
    <row r="565" spans="2:3" x14ac:dyDescent="0.25">
      <c r="B565" s="4" t="s">
        <v>228</v>
      </c>
      <c r="C565" s="48" t="s">
        <v>224</v>
      </c>
    </row>
    <row r="566" spans="2:3" x14ac:dyDescent="0.25">
      <c r="B566" s="4" t="s">
        <v>233</v>
      </c>
      <c r="C566" s="48" t="s">
        <v>224</v>
      </c>
    </row>
    <row r="567" spans="2:3" x14ac:dyDescent="0.25">
      <c r="B567" s="4" t="s">
        <v>233</v>
      </c>
      <c r="C567" s="48" t="s">
        <v>224</v>
      </c>
    </row>
    <row r="568" spans="2:3" x14ac:dyDescent="0.25">
      <c r="B568" s="4" t="s">
        <v>233</v>
      </c>
      <c r="C568" s="48" t="s">
        <v>164</v>
      </c>
    </row>
    <row r="569" spans="2:3" x14ac:dyDescent="0.25">
      <c r="B569" s="4" t="s">
        <v>236</v>
      </c>
      <c r="C569" s="48" t="s">
        <v>108</v>
      </c>
    </row>
    <row r="570" spans="2:3" x14ac:dyDescent="0.25">
      <c r="B570" s="4" t="s">
        <v>236</v>
      </c>
      <c r="C570" s="48" t="s">
        <v>108</v>
      </c>
    </row>
    <row r="571" spans="2:3" x14ac:dyDescent="0.25">
      <c r="B571" s="4" t="s">
        <v>228</v>
      </c>
      <c r="C571" s="48" t="s">
        <v>224</v>
      </c>
    </row>
    <row r="572" spans="2:3" x14ac:dyDescent="0.25">
      <c r="B572" s="4" t="s">
        <v>233</v>
      </c>
      <c r="C572" s="48" t="s">
        <v>108</v>
      </c>
    </row>
    <row r="573" spans="2:3" x14ac:dyDescent="0.25">
      <c r="B573" s="4" t="s">
        <v>228</v>
      </c>
      <c r="C573" s="48" t="s">
        <v>224</v>
      </c>
    </row>
    <row r="574" spans="2:3" x14ac:dyDescent="0.25">
      <c r="B574" s="4" t="s">
        <v>229</v>
      </c>
      <c r="C574" s="48" t="s">
        <v>224</v>
      </c>
    </row>
    <row r="575" spans="2:3" x14ac:dyDescent="0.25">
      <c r="B575" s="4" t="s">
        <v>228</v>
      </c>
      <c r="C575" s="48" t="s">
        <v>224</v>
      </c>
    </row>
    <row r="576" spans="2:3" x14ac:dyDescent="0.25">
      <c r="B576" s="4" t="s">
        <v>228</v>
      </c>
      <c r="C576" s="48" t="s">
        <v>224</v>
      </c>
    </row>
    <row r="577" spans="2:3" x14ac:dyDescent="0.25">
      <c r="B577" s="4" t="s">
        <v>228</v>
      </c>
      <c r="C577" s="48" t="s">
        <v>224</v>
      </c>
    </row>
    <row r="578" spans="2:3" x14ac:dyDescent="0.25">
      <c r="B578" s="4" t="s">
        <v>233</v>
      </c>
      <c r="C578" s="48" t="s">
        <v>224</v>
      </c>
    </row>
    <row r="579" spans="2:3" x14ac:dyDescent="0.25">
      <c r="B579" s="4" t="s">
        <v>233</v>
      </c>
      <c r="C579" s="48" t="s">
        <v>224</v>
      </c>
    </row>
    <row r="580" spans="2:3" x14ac:dyDescent="0.25">
      <c r="B580" s="4" t="s">
        <v>228</v>
      </c>
      <c r="C580" s="48" t="s">
        <v>224</v>
      </c>
    </row>
    <row r="581" spans="2:3" x14ac:dyDescent="0.25">
      <c r="B581" s="4" t="s">
        <v>228</v>
      </c>
      <c r="C581" s="48" t="s">
        <v>224</v>
      </c>
    </row>
    <row r="582" spans="2:3" x14ac:dyDescent="0.25">
      <c r="B582" s="4" t="s">
        <v>228</v>
      </c>
      <c r="C582" s="48" t="s">
        <v>224</v>
      </c>
    </row>
    <row r="583" spans="2:3" x14ac:dyDescent="0.25">
      <c r="B583" s="4" t="s">
        <v>229</v>
      </c>
      <c r="C583" s="48" t="s">
        <v>224</v>
      </c>
    </row>
    <row r="584" spans="2:3" x14ac:dyDescent="0.25">
      <c r="B584" s="4" t="s">
        <v>229</v>
      </c>
      <c r="C584" s="48" t="s">
        <v>224</v>
      </c>
    </row>
    <row r="585" spans="2:3" x14ac:dyDescent="0.25">
      <c r="B585" s="4" t="s">
        <v>228</v>
      </c>
      <c r="C585" s="48" t="s">
        <v>224</v>
      </c>
    </row>
    <row r="586" spans="2:3" x14ac:dyDescent="0.25">
      <c r="B586" s="4" t="s">
        <v>248</v>
      </c>
      <c r="C586" s="48" t="s">
        <v>15</v>
      </c>
    </row>
    <row r="587" spans="2:3" x14ac:dyDescent="0.25">
      <c r="B587" s="4" t="s">
        <v>229</v>
      </c>
      <c r="C587" s="48" t="s">
        <v>224</v>
      </c>
    </row>
    <row r="588" spans="2:3" x14ac:dyDescent="0.25">
      <c r="B588" s="4" t="s">
        <v>229</v>
      </c>
      <c r="C588" s="48" t="s">
        <v>224</v>
      </c>
    </row>
    <row r="589" spans="2:3" x14ac:dyDescent="0.25">
      <c r="B589" s="4" t="s">
        <v>229</v>
      </c>
      <c r="C589" s="48" t="s">
        <v>224</v>
      </c>
    </row>
    <row r="590" spans="2:3" x14ac:dyDescent="0.25">
      <c r="B590" s="4" t="s">
        <v>228</v>
      </c>
      <c r="C590" s="48" t="s">
        <v>224</v>
      </c>
    </row>
    <row r="591" spans="2:3" x14ac:dyDescent="0.25">
      <c r="B591" s="4" t="s">
        <v>229</v>
      </c>
      <c r="C591" s="48" t="s">
        <v>224</v>
      </c>
    </row>
    <row r="592" spans="2:3" x14ac:dyDescent="0.25">
      <c r="B592" s="4" t="s">
        <v>228</v>
      </c>
      <c r="C592" s="48" t="s">
        <v>224</v>
      </c>
    </row>
    <row r="593" spans="2:3" x14ac:dyDescent="0.25">
      <c r="B593" s="4" t="s">
        <v>229</v>
      </c>
      <c r="C593" s="48" t="s">
        <v>224</v>
      </c>
    </row>
    <row r="594" spans="2:3" x14ac:dyDescent="0.25">
      <c r="B594" s="4" t="s">
        <v>229</v>
      </c>
      <c r="C594" s="48" t="s">
        <v>224</v>
      </c>
    </row>
    <row r="595" spans="2:3" x14ac:dyDescent="0.25">
      <c r="B595" s="4" t="s">
        <v>229</v>
      </c>
      <c r="C595" s="48" t="s">
        <v>224</v>
      </c>
    </row>
    <row r="596" spans="2:3" x14ac:dyDescent="0.25">
      <c r="B596" s="4" t="s">
        <v>230</v>
      </c>
      <c r="C596" s="48" t="s">
        <v>224</v>
      </c>
    </row>
    <row r="597" spans="2:3" x14ac:dyDescent="0.25">
      <c r="B597" s="4" t="s">
        <v>230</v>
      </c>
      <c r="C597" s="48" t="s">
        <v>224</v>
      </c>
    </row>
    <row r="598" spans="2:3" x14ac:dyDescent="0.25">
      <c r="B598" s="4" t="s">
        <v>233</v>
      </c>
      <c r="C598" s="48" t="s">
        <v>161</v>
      </c>
    </row>
    <row r="599" spans="2:3" x14ac:dyDescent="0.25">
      <c r="B599" s="4" t="s">
        <v>233</v>
      </c>
      <c r="C599" s="48" t="s">
        <v>161</v>
      </c>
    </row>
    <row r="600" spans="2:3" x14ac:dyDescent="0.25">
      <c r="B600" s="4" t="s">
        <v>248</v>
      </c>
      <c r="C600" s="48" t="s">
        <v>15</v>
      </c>
    </row>
    <row r="601" spans="2:3" x14ac:dyDescent="0.25">
      <c r="B601" s="4" t="s">
        <v>236</v>
      </c>
      <c r="C601" s="48" t="s">
        <v>108</v>
      </c>
    </row>
    <row r="602" spans="2:3" x14ac:dyDescent="0.25">
      <c r="B602" s="4" t="s">
        <v>236</v>
      </c>
      <c r="C602" s="48" t="s">
        <v>108</v>
      </c>
    </row>
    <row r="603" spans="2:3" x14ac:dyDescent="0.25">
      <c r="B603" s="4" t="s">
        <v>238</v>
      </c>
      <c r="C603" s="48" t="s">
        <v>108</v>
      </c>
    </row>
    <row r="604" spans="2:3" x14ac:dyDescent="0.25">
      <c r="B604" s="4" t="s">
        <v>229</v>
      </c>
      <c r="C604" s="48" t="s">
        <v>224</v>
      </c>
    </row>
    <row r="605" spans="2:3" x14ac:dyDescent="0.25">
      <c r="B605" s="4" t="s">
        <v>229</v>
      </c>
      <c r="C605" s="48" t="s">
        <v>224</v>
      </c>
    </row>
    <row r="606" spans="2:3" x14ac:dyDescent="0.25">
      <c r="B606" s="4" t="s">
        <v>229</v>
      </c>
      <c r="C606" s="48" t="s">
        <v>224</v>
      </c>
    </row>
    <row r="607" spans="2:3" x14ac:dyDescent="0.25">
      <c r="B607" s="4" t="s">
        <v>229</v>
      </c>
      <c r="C607" s="48" t="s">
        <v>224</v>
      </c>
    </row>
    <row r="608" spans="2:3" x14ac:dyDescent="0.25">
      <c r="B608" s="4" t="s">
        <v>238</v>
      </c>
      <c r="C608" s="48" t="s">
        <v>108</v>
      </c>
    </row>
    <row r="609" spans="2:3" x14ac:dyDescent="0.25">
      <c r="B609" s="4" t="s">
        <v>236</v>
      </c>
      <c r="C609" s="48" t="s">
        <v>108</v>
      </c>
    </row>
    <row r="610" spans="2:3" x14ac:dyDescent="0.25">
      <c r="B610" s="4" t="s">
        <v>228</v>
      </c>
      <c r="C610" s="48" t="s">
        <v>224</v>
      </c>
    </row>
    <row r="611" spans="2:3" x14ac:dyDescent="0.25">
      <c r="B611" s="4" t="s">
        <v>229</v>
      </c>
      <c r="C611" s="48" t="s">
        <v>224</v>
      </c>
    </row>
    <row r="612" spans="2:3" x14ac:dyDescent="0.25">
      <c r="B612" s="4" t="s">
        <v>229</v>
      </c>
      <c r="C612" s="48" t="s">
        <v>224</v>
      </c>
    </row>
    <row r="613" spans="2:3" x14ac:dyDescent="0.25">
      <c r="B613" s="4" t="s">
        <v>229</v>
      </c>
      <c r="C613" s="48" t="s">
        <v>224</v>
      </c>
    </row>
    <row r="614" spans="2:3" x14ac:dyDescent="0.25">
      <c r="B614" s="4" t="s">
        <v>228</v>
      </c>
      <c r="C614" s="48" t="s">
        <v>224</v>
      </c>
    </row>
    <row r="615" spans="2:3" x14ac:dyDescent="0.25">
      <c r="B615" s="4" t="s">
        <v>228</v>
      </c>
      <c r="C615" s="48" t="s">
        <v>224</v>
      </c>
    </row>
    <row r="616" spans="2:3" x14ac:dyDescent="0.25">
      <c r="B616" s="4" t="s">
        <v>228</v>
      </c>
      <c r="C616" s="48" t="s">
        <v>224</v>
      </c>
    </row>
    <row r="617" spans="2:3" x14ac:dyDescent="0.25">
      <c r="B617" s="4" t="s">
        <v>261</v>
      </c>
      <c r="C617" s="48" t="s">
        <v>226</v>
      </c>
    </row>
    <row r="618" spans="2:3" x14ac:dyDescent="0.25">
      <c r="B618" s="4" t="s">
        <v>261</v>
      </c>
      <c r="C618" s="48" t="s">
        <v>226</v>
      </c>
    </row>
    <row r="619" spans="2:3" x14ac:dyDescent="0.25">
      <c r="B619" s="4" t="s">
        <v>229</v>
      </c>
      <c r="C619" s="48" t="s">
        <v>224</v>
      </c>
    </row>
    <row r="620" spans="2:3" x14ac:dyDescent="0.25">
      <c r="B620" s="4" t="s">
        <v>229</v>
      </c>
      <c r="C620" s="48" t="s">
        <v>224</v>
      </c>
    </row>
    <row r="621" spans="2:3" x14ac:dyDescent="0.25">
      <c r="B621" s="4" t="s">
        <v>229</v>
      </c>
      <c r="C621" s="48" t="s">
        <v>224</v>
      </c>
    </row>
    <row r="622" spans="2:3" x14ac:dyDescent="0.25">
      <c r="B622" s="4" t="s">
        <v>228</v>
      </c>
      <c r="C622" s="48" t="s">
        <v>224</v>
      </c>
    </row>
    <row r="623" spans="2:3" x14ac:dyDescent="0.25">
      <c r="B623" s="4" t="s">
        <v>228</v>
      </c>
      <c r="C623" s="48" t="s">
        <v>224</v>
      </c>
    </row>
    <row r="624" spans="2:3" x14ac:dyDescent="0.25">
      <c r="B624" s="4" t="s">
        <v>229</v>
      </c>
      <c r="C624" s="48" t="s">
        <v>224</v>
      </c>
    </row>
    <row r="625" spans="2:3" x14ac:dyDescent="0.25">
      <c r="B625" s="4" t="s">
        <v>233</v>
      </c>
      <c r="C625" s="48" t="s">
        <v>224</v>
      </c>
    </row>
    <row r="626" spans="2:3" x14ac:dyDescent="0.25">
      <c r="B626" s="4" t="s">
        <v>233</v>
      </c>
      <c r="C626" s="48" t="s">
        <v>224</v>
      </c>
    </row>
    <row r="627" spans="2:3" x14ac:dyDescent="0.25">
      <c r="B627" s="4" t="s">
        <v>236</v>
      </c>
      <c r="C627" s="48" t="s">
        <v>108</v>
      </c>
    </row>
    <row r="628" spans="2:3" x14ac:dyDescent="0.25">
      <c r="B628" s="4" t="s">
        <v>236</v>
      </c>
      <c r="C628" s="48" t="s">
        <v>108</v>
      </c>
    </row>
    <row r="629" spans="2:3" x14ac:dyDescent="0.25">
      <c r="B629" s="4" t="s">
        <v>238</v>
      </c>
      <c r="C629" s="48" t="s">
        <v>108</v>
      </c>
    </row>
    <row r="630" spans="2:3" x14ac:dyDescent="0.25">
      <c r="B630" s="4" t="s">
        <v>229</v>
      </c>
      <c r="C630" s="48" t="s">
        <v>224</v>
      </c>
    </row>
    <row r="631" spans="2:3" x14ac:dyDescent="0.25">
      <c r="B631" s="4" t="s">
        <v>229</v>
      </c>
      <c r="C631" s="48" t="s">
        <v>224</v>
      </c>
    </row>
    <row r="632" spans="2:3" x14ac:dyDescent="0.25">
      <c r="B632" s="4" t="s">
        <v>228</v>
      </c>
      <c r="C632" s="48" t="s">
        <v>224</v>
      </c>
    </row>
    <row r="633" spans="2:3" x14ac:dyDescent="0.25">
      <c r="B633" s="4" t="s">
        <v>229</v>
      </c>
      <c r="C633" s="48" t="s">
        <v>224</v>
      </c>
    </row>
    <row r="634" spans="2:3" x14ac:dyDescent="0.25">
      <c r="B634" s="4" t="s">
        <v>228</v>
      </c>
      <c r="C634" s="48" t="s">
        <v>224</v>
      </c>
    </row>
    <row r="635" spans="2:3" x14ac:dyDescent="0.25">
      <c r="B635" s="4" t="s">
        <v>238</v>
      </c>
      <c r="C635" s="48" t="s">
        <v>108</v>
      </c>
    </row>
    <row r="636" spans="2:3" x14ac:dyDescent="0.25">
      <c r="B636" s="4" t="s">
        <v>229</v>
      </c>
      <c r="C636" s="48" t="s">
        <v>224</v>
      </c>
    </row>
    <row r="637" spans="2:3" x14ac:dyDescent="0.25">
      <c r="B637" s="4" t="s">
        <v>229</v>
      </c>
      <c r="C637" s="48" t="s">
        <v>224</v>
      </c>
    </row>
    <row r="638" spans="2:3" x14ac:dyDescent="0.25">
      <c r="B638" s="4" t="s">
        <v>229</v>
      </c>
      <c r="C638" s="48" t="s">
        <v>224</v>
      </c>
    </row>
    <row r="639" spans="2:3" x14ac:dyDescent="0.25">
      <c r="B639" s="4" t="s">
        <v>229</v>
      </c>
      <c r="C639" s="48" t="s">
        <v>224</v>
      </c>
    </row>
    <row r="640" spans="2:3" x14ac:dyDescent="0.25">
      <c r="B640" s="4" t="s">
        <v>228</v>
      </c>
      <c r="C640" s="48" t="s">
        <v>224</v>
      </c>
    </row>
    <row r="641" spans="2:3" x14ac:dyDescent="0.25">
      <c r="B641" s="4" t="s">
        <v>263</v>
      </c>
      <c r="C641" s="48" t="s">
        <v>224</v>
      </c>
    </row>
    <row r="642" spans="2:3" x14ac:dyDescent="0.25">
      <c r="B642" s="4" t="s">
        <v>229</v>
      </c>
      <c r="C642" s="48" t="s">
        <v>224</v>
      </c>
    </row>
    <row r="643" spans="2:3" x14ac:dyDescent="0.25">
      <c r="B643" s="4" t="s">
        <v>229</v>
      </c>
      <c r="C643" s="48" t="s">
        <v>224</v>
      </c>
    </row>
    <row r="644" spans="2:3" x14ac:dyDescent="0.25">
      <c r="B644" s="4" t="s">
        <v>229</v>
      </c>
      <c r="C644" s="48" t="s">
        <v>224</v>
      </c>
    </row>
    <row r="645" spans="2:3" x14ac:dyDescent="0.25">
      <c r="B645" s="4" t="s">
        <v>228</v>
      </c>
      <c r="C645" s="48" t="s">
        <v>224</v>
      </c>
    </row>
    <row r="646" spans="2:3" x14ac:dyDescent="0.25">
      <c r="B646" s="4" t="s">
        <v>233</v>
      </c>
      <c r="C646" s="48" t="s">
        <v>224</v>
      </c>
    </row>
    <row r="647" spans="2:3" x14ac:dyDescent="0.25">
      <c r="B647" s="4" t="s">
        <v>239</v>
      </c>
      <c r="C647" s="48" t="s">
        <v>15</v>
      </c>
    </row>
    <row r="648" spans="2:3" x14ac:dyDescent="0.25">
      <c r="B648" s="4" t="s">
        <v>264</v>
      </c>
      <c r="C648" s="48" t="s">
        <v>164</v>
      </c>
    </row>
    <row r="649" spans="2:3" x14ac:dyDescent="0.25">
      <c r="B649" s="4" t="s">
        <v>264</v>
      </c>
      <c r="C649" s="48" t="s">
        <v>15</v>
      </c>
    </row>
    <row r="650" spans="2:3" x14ac:dyDescent="0.25">
      <c r="B650" s="4" t="s">
        <v>231</v>
      </c>
      <c r="C650" s="48" t="s">
        <v>15</v>
      </c>
    </row>
    <row r="651" spans="2:3" x14ac:dyDescent="0.25">
      <c r="B651" s="4" t="s">
        <v>231</v>
      </c>
      <c r="C651" s="48" t="s">
        <v>15</v>
      </c>
    </row>
    <row r="652" spans="2:3" x14ac:dyDescent="0.25">
      <c r="B652" s="4" t="s">
        <v>231</v>
      </c>
      <c r="C652" s="48" t="s">
        <v>15</v>
      </c>
    </row>
    <row r="653" spans="2:3" x14ac:dyDescent="0.25">
      <c r="B653" s="4" t="s">
        <v>249</v>
      </c>
      <c r="C653" s="48" t="s">
        <v>15</v>
      </c>
    </row>
    <row r="654" spans="2:3" x14ac:dyDescent="0.25">
      <c r="B654" s="4" t="s">
        <v>249</v>
      </c>
      <c r="C654" s="48" t="s">
        <v>15</v>
      </c>
    </row>
    <row r="655" spans="2:3" x14ac:dyDescent="0.25">
      <c r="B655" s="4" t="s">
        <v>231</v>
      </c>
      <c r="C655" s="48" t="s">
        <v>15</v>
      </c>
    </row>
    <row r="656" spans="2:3" x14ac:dyDescent="0.25">
      <c r="B656" s="4" t="s">
        <v>231</v>
      </c>
      <c r="C656" s="48" t="s">
        <v>15</v>
      </c>
    </row>
    <row r="657" spans="2:3" x14ac:dyDescent="0.25">
      <c r="B657" s="4" t="s">
        <v>247</v>
      </c>
      <c r="C657" s="48" t="s">
        <v>15</v>
      </c>
    </row>
    <row r="658" spans="2:3" x14ac:dyDescent="0.25">
      <c r="B658" s="4" t="s">
        <v>264</v>
      </c>
      <c r="C658" s="48" t="s">
        <v>15</v>
      </c>
    </row>
    <row r="659" spans="2:3" x14ac:dyDescent="0.25">
      <c r="B659" s="4" t="s">
        <v>239</v>
      </c>
      <c r="C659" s="48" t="s">
        <v>15</v>
      </c>
    </row>
    <row r="660" spans="2:3" x14ac:dyDescent="0.25">
      <c r="B660" s="4" t="s">
        <v>243</v>
      </c>
      <c r="C660" s="48" t="s">
        <v>15</v>
      </c>
    </row>
    <row r="661" spans="2:3" x14ac:dyDescent="0.25">
      <c r="B661" s="4" t="s">
        <v>243</v>
      </c>
      <c r="C661" s="48" t="s">
        <v>15</v>
      </c>
    </row>
    <row r="662" spans="2:3" x14ac:dyDescent="0.25">
      <c r="B662" s="4" t="s">
        <v>264</v>
      </c>
      <c r="C662" s="48" t="s">
        <v>15</v>
      </c>
    </row>
    <row r="663" spans="2:3" x14ac:dyDescent="0.25">
      <c r="B663" s="4" t="s">
        <v>264</v>
      </c>
      <c r="C663" s="48" t="s">
        <v>15</v>
      </c>
    </row>
    <row r="664" spans="2:3" x14ac:dyDescent="0.25">
      <c r="B664" s="4" t="s">
        <v>243</v>
      </c>
      <c r="C664" s="48" t="s">
        <v>15</v>
      </c>
    </row>
    <row r="665" spans="2:3" x14ac:dyDescent="0.25">
      <c r="B665" s="4" t="s">
        <v>244</v>
      </c>
      <c r="C665" s="48" t="s">
        <v>15</v>
      </c>
    </row>
    <row r="666" spans="2:3" x14ac:dyDescent="0.25">
      <c r="B666" s="4" t="s">
        <v>244</v>
      </c>
      <c r="C666" s="48" t="s">
        <v>15</v>
      </c>
    </row>
    <row r="667" spans="2:3" x14ac:dyDescent="0.25">
      <c r="B667" s="4" t="s">
        <v>244</v>
      </c>
      <c r="C667" s="48" t="s">
        <v>15</v>
      </c>
    </row>
    <row r="668" spans="2:3" x14ac:dyDescent="0.25">
      <c r="B668" s="4" t="s">
        <v>264</v>
      </c>
      <c r="C668" s="48" t="s">
        <v>15</v>
      </c>
    </row>
    <row r="669" spans="2:3" x14ac:dyDescent="0.25">
      <c r="B669" s="4" t="s">
        <v>249</v>
      </c>
      <c r="C669" s="48" t="s">
        <v>15</v>
      </c>
    </row>
    <row r="670" spans="2:3" x14ac:dyDescent="0.25">
      <c r="B670" s="4" t="s">
        <v>249</v>
      </c>
      <c r="C670" s="48" t="s">
        <v>15</v>
      </c>
    </row>
    <row r="671" spans="2:3" x14ac:dyDescent="0.25">
      <c r="B671" s="4" t="s">
        <v>248</v>
      </c>
      <c r="C671" s="48" t="s">
        <v>15</v>
      </c>
    </row>
    <row r="672" spans="2:3" x14ac:dyDescent="0.25">
      <c r="B672" s="4" t="s">
        <v>243</v>
      </c>
      <c r="C672" s="48" t="s">
        <v>15</v>
      </c>
    </row>
    <row r="673" spans="2:3" x14ac:dyDescent="0.25">
      <c r="B673" s="4" t="s">
        <v>243</v>
      </c>
      <c r="C673" s="48" t="s">
        <v>15</v>
      </c>
    </row>
    <row r="674" spans="2:3" x14ac:dyDescent="0.25">
      <c r="B674" s="4" t="s">
        <v>264</v>
      </c>
      <c r="C674" s="48" t="s">
        <v>15</v>
      </c>
    </row>
    <row r="675" spans="2:3" x14ac:dyDescent="0.25">
      <c r="B675" s="4" t="s">
        <v>264</v>
      </c>
      <c r="C675" s="48" t="s">
        <v>15</v>
      </c>
    </row>
    <row r="676" spans="2:3" x14ac:dyDescent="0.25">
      <c r="B676" s="4" t="s">
        <v>249</v>
      </c>
      <c r="C676" s="48" t="s">
        <v>15</v>
      </c>
    </row>
    <row r="677" spans="2:3" x14ac:dyDescent="0.25">
      <c r="B677" s="4" t="s">
        <v>249</v>
      </c>
      <c r="C677" s="48" t="s">
        <v>15</v>
      </c>
    </row>
    <row r="678" spans="2:3" x14ac:dyDescent="0.25">
      <c r="B678" s="4" t="s">
        <v>243</v>
      </c>
      <c r="C678" s="48" t="s">
        <v>15</v>
      </c>
    </row>
    <row r="679" spans="2:3" x14ac:dyDescent="0.25">
      <c r="B679" s="4" t="s">
        <v>249</v>
      </c>
      <c r="C679" s="48" t="s">
        <v>15</v>
      </c>
    </row>
    <row r="680" spans="2:3" x14ac:dyDescent="0.25">
      <c r="B680" s="4" t="s">
        <v>244</v>
      </c>
      <c r="C680" s="48" t="s">
        <v>15</v>
      </c>
    </row>
    <row r="681" spans="2:3" x14ac:dyDescent="0.25">
      <c r="B681" s="4" t="s">
        <v>244</v>
      </c>
      <c r="C681" s="48" t="s">
        <v>15</v>
      </c>
    </row>
    <row r="682" spans="2:3" x14ac:dyDescent="0.25">
      <c r="B682" s="4" t="s">
        <v>244</v>
      </c>
      <c r="C682" s="48" t="s">
        <v>15</v>
      </c>
    </row>
    <row r="683" spans="2:3" x14ac:dyDescent="0.25">
      <c r="B683" s="4" t="s">
        <v>265</v>
      </c>
      <c r="C683" s="48" t="s">
        <v>15</v>
      </c>
    </row>
    <row r="684" spans="2:3" x14ac:dyDescent="0.25">
      <c r="B684" s="4" t="s">
        <v>265</v>
      </c>
      <c r="C684" s="48" t="s">
        <v>15</v>
      </c>
    </row>
    <row r="685" spans="2:3" x14ac:dyDescent="0.25">
      <c r="B685" s="4" t="s">
        <v>243</v>
      </c>
      <c r="C685" s="48" t="s">
        <v>15</v>
      </c>
    </row>
    <row r="686" spans="2:3" x14ac:dyDescent="0.25">
      <c r="B686" s="4" t="s">
        <v>243</v>
      </c>
      <c r="C686" s="48" t="s">
        <v>15</v>
      </c>
    </row>
    <row r="687" spans="2:3" x14ac:dyDescent="0.25">
      <c r="B687" s="4" t="s">
        <v>264</v>
      </c>
      <c r="C687" s="48" t="s">
        <v>15</v>
      </c>
    </row>
    <row r="688" spans="2:3" x14ac:dyDescent="0.25">
      <c r="B688" s="4" t="s">
        <v>264</v>
      </c>
      <c r="C688" s="48" t="s">
        <v>15</v>
      </c>
    </row>
    <row r="689" spans="2:3" x14ac:dyDescent="0.25">
      <c r="B689" s="4" t="s">
        <v>244</v>
      </c>
      <c r="C689" s="48" t="s">
        <v>15</v>
      </c>
    </row>
    <row r="690" spans="2:3" x14ac:dyDescent="0.25">
      <c r="B690" s="4" t="s">
        <v>239</v>
      </c>
      <c r="C690" s="48" t="s">
        <v>15</v>
      </c>
    </row>
    <row r="691" spans="2:3" x14ac:dyDescent="0.25">
      <c r="B691" s="4" t="s">
        <v>265</v>
      </c>
      <c r="C691" s="48" t="s">
        <v>15</v>
      </c>
    </row>
    <row r="692" spans="2:3" x14ac:dyDescent="0.25">
      <c r="B692" s="4" t="s">
        <v>265</v>
      </c>
      <c r="C692" s="48" t="s">
        <v>15</v>
      </c>
    </row>
    <row r="693" spans="2:3" x14ac:dyDescent="0.25">
      <c r="B693" s="4" t="s">
        <v>239</v>
      </c>
      <c r="C693" s="48" t="s">
        <v>15</v>
      </c>
    </row>
    <row r="694" spans="2:3" x14ac:dyDescent="0.25">
      <c r="B694" s="4" t="s">
        <v>266</v>
      </c>
      <c r="C694" s="48" t="s">
        <v>15</v>
      </c>
    </row>
    <row r="695" spans="2:3" x14ac:dyDescent="0.25">
      <c r="B695" s="4" t="s">
        <v>248</v>
      </c>
      <c r="C695" s="48" t="s">
        <v>15</v>
      </c>
    </row>
    <row r="696" spans="2:3" x14ac:dyDescent="0.25">
      <c r="B696" s="4" t="s">
        <v>248</v>
      </c>
      <c r="C696" s="48" t="s">
        <v>15</v>
      </c>
    </row>
    <row r="697" spans="2:3" x14ac:dyDescent="0.25">
      <c r="B697" s="4" t="s">
        <v>247</v>
      </c>
      <c r="C697" s="48" t="s">
        <v>15</v>
      </c>
    </row>
    <row r="698" spans="2:3" x14ac:dyDescent="0.25">
      <c r="B698" s="4" t="s">
        <v>264</v>
      </c>
      <c r="C698" s="48" t="s">
        <v>15</v>
      </c>
    </row>
    <row r="699" spans="2:3" x14ac:dyDescent="0.25">
      <c r="B699" s="4" t="s">
        <v>264</v>
      </c>
      <c r="C699" s="48" t="s">
        <v>15</v>
      </c>
    </row>
    <row r="700" spans="2:3" x14ac:dyDescent="0.25">
      <c r="B700" s="4" t="s">
        <v>248</v>
      </c>
      <c r="C700" s="48" t="s">
        <v>15</v>
      </c>
    </row>
    <row r="701" spans="2:3" x14ac:dyDescent="0.25">
      <c r="B701" s="4" t="s">
        <v>248</v>
      </c>
      <c r="C701" s="48" t="s">
        <v>15</v>
      </c>
    </row>
    <row r="702" spans="2:3" x14ac:dyDescent="0.25">
      <c r="B702" s="4" t="s">
        <v>248</v>
      </c>
      <c r="C702" s="48" t="s">
        <v>15</v>
      </c>
    </row>
    <row r="703" spans="2:3" x14ac:dyDescent="0.25">
      <c r="B703" s="4" t="s">
        <v>231</v>
      </c>
      <c r="C703" s="48" t="s">
        <v>15</v>
      </c>
    </row>
    <row r="704" spans="2:3" x14ac:dyDescent="0.25">
      <c r="B704" s="4" t="s">
        <v>231</v>
      </c>
      <c r="C704" s="48" t="s">
        <v>15</v>
      </c>
    </row>
    <row r="705" spans="2:3" x14ac:dyDescent="0.25">
      <c r="B705" s="4" t="s">
        <v>231</v>
      </c>
      <c r="C705" s="48" t="s">
        <v>15</v>
      </c>
    </row>
    <row r="706" spans="2:3" x14ac:dyDescent="0.25">
      <c r="B706" s="4" t="s">
        <v>267</v>
      </c>
      <c r="C706" s="48" t="s">
        <v>15</v>
      </c>
    </row>
    <row r="707" spans="2:3" x14ac:dyDescent="0.25">
      <c r="B707" s="4" t="s">
        <v>268</v>
      </c>
      <c r="C707" s="48" t="s">
        <v>15</v>
      </c>
    </row>
    <row r="708" spans="2:3" x14ac:dyDescent="0.25">
      <c r="B708" s="4" t="s">
        <v>264</v>
      </c>
      <c r="C708" s="48" t="s">
        <v>15</v>
      </c>
    </row>
    <row r="709" spans="2:3" x14ac:dyDescent="0.25">
      <c r="B709" s="4" t="s">
        <v>264</v>
      </c>
      <c r="C709" s="48" t="s">
        <v>15</v>
      </c>
    </row>
    <row r="710" spans="2:3" x14ac:dyDescent="0.25">
      <c r="B710" s="4" t="s">
        <v>239</v>
      </c>
      <c r="C710" s="48" t="s">
        <v>15</v>
      </c>
    </row>
    <row r="711" spans="2:3" x14ac:dyDescent="0.25">
      <c r="B711" s="4" t="s">
        <v>231</v>
      </c>
      <c r="C711" s="48" t="s">
        <v>15</v>
      </c>
    </row>
    <row r="712" spans="2:3" x14ac:dyDescent="0.25">
      <c r="B712" s="4" t="s">
        <v>231</v>
      </c>
      <c r="C712" s="48" t="s">
        <v>15</v>
      </c>
    </row>
    <row r="713" spans="2:3" x14ac:dyDescent="0.25">
      <c r="B713" s="4" t="s">
        <v>231</v>
      </c>
      <c r="C713" s="48" t="s">
        <v>15</v>
      </c>
    </row>
    <row r="714" spans="2:3" x14ac:dyDescent="0.25">
      <c r="B714" s="4" t="s">
        <v>264</v>
      </c>
      <c r="C714" s="48" t="s">
        <v>15</v>
      </c>
    </row>
    <row r="715" spans="2:3" x14ac:dyDescent="0.25">
      <c r="B715" s="4" t="s">
        <v>264</v>
      </c>
      <c r="C715" s="48" t="s">
        <v>15</v>
      </c>
    </row>
    <row r="716" spans="2:3" x14ac:dyDescent="0.25">
      <c r="B716" s="4" t="s">
        <v>264</v>
      </c>
      <c r="C716" s="48" t="s">
        <v>227</v>
      </c>
    </row>
    <row r="717" spans="2:3" x14ac:dyDescent="0.25">
      <c r="B717" s="4" t="s">
        <v>264</v>
      </c>
      <c r="C717" s="48" t="s">
        <v>227</v>
      </c>
    </row>
    <row r="718" spans="2:3" x14ac:dyDescent="0.25">
      <c r="B718" s="4" t="s">
        <v>243</v>
      </c>
      <c r="C718" s="48" t="s">
        <v>15</v>
      </c>
    </row>
    <row r="719" spans="2:3" x14ac:dyDescent="0.25">
      <c r="B719" s="4" t="s">
        <v>243</v>
      </c>
      <c r="C719" s="48" t="s">
        <v>15</v>
      </c>
    </row>
    <row r="720" spans="2:3" x14ac:dyDescent="0.25">
      <c r="B720" s="4" t="s">
        <v>231</v>
      </c>
      <c r="C720" s="48" t="s">
        <v>15</v>
      </c>
    </row>
    <row r="721" spans="2:3" x14ac:dyDescent="0.25">
      <c r="B721" s="4" t="s">
        <v>258</v>
      </c>
      <c r="C721" s="48" t="s">
        <v>15</v>
      </c>
    </row>
    <row r="722" spans="2:3" x14ac:dyDescent="0.25">
      <c r="B722" s="4" t="s">
        <v>248</v>
      </c>
      <c r="C722" s="48" t="s">
        <v>15</v>
      </c>
    </row>
    <row r="723" spans="2:3" x14ac:dyDescent="0.25">
      <c r="B723" s="4" t="s">
        <v>269</v>
      </c>
      <c r="C723" s="48" t="s">
        <v>15</v>
      </c>
    </row>
    <row r="724" spans="2:3" x14ac:dyDescent="0.25">
      <c r="B724" s="4" t="s">
        <v>269</v>
      </c>
      <c r="C724" s="48" t="s">
        <v>15</v>
      </c>
    </row>
    <row r="725" spans="2:3" x14ac:dyDescent="0.25">
      <c r="B725" s="4" t="s">
        <v>264</v>
      </c>
      <c r="C725" s="48" t="s">
        <v>15</v>
      </c>
    </row>
    <row r="726" spans="2:3" x14ac:dyDescent="0.25">
      <c r="B726" s="4" t="s">
        <v>264</v>
      </c>
      <c r="C726" s="48" t="s">
        <v>15</v>
      </c>
    </row>
    <row r="727" spans="2:3" x14ac:dyDescent="0.25">
      <c r="B727" s="4" t="s">
        <v>248</v>
      </c>
      <c r="C727" s="48" t="s">
        <v>15</v>
      </c>
    </row>
    <row r="728" spans="2:3" x14ac:dyDescent="0.25">
      <c r="B728" s="4" t="s">
        <v>239</v>
      </c>
      <c r="C728" s="48" t="s">
        <v>15</v>
      </c>
    </row>
    <row r="729" spans="2:3" x14ac:dyDescent="0.25">
      <c r="B729" s="4" t="s">
        <v>239</v>
      </c>
      <c r="C729" s="48" t="s">
        <v>15</v>
      </c>
    </row>
    <row r="730" spans="2:3" x14ac:dyDescent="0.25">
      <c r="B730" s="4" t="s">
        <v>248</v>
      </c>
      <c r="C730" s="48" t="s">
        <v>15</v>
      </c>
    </row>
    <row r="731" spans="2:3" x14ac:dyDescent="0.25">
      <c r="B731" s="4" t="s">
        <v>264</v>
      </c>
      <c r="C731" s="48" t="s">
        <v>15</v>
      </c>
    </row>
    <row r="732" spans="2:3" x14ac:dyDescent="0.25">
      <c r="B732" s="4" t="s">
        <v>231</v>
      </c>
      <c r="C732" s="48" t="s">
        <v>15</v>
      </c>
    </row>
    <row r="733" spans="2:3" x14ac:dyDescent="0.25">
      <c r="B733" s="4" t="s">
        <v>247</v>
      </c>
      <c r="C733" s="48" t="s">
        <v>15</v>
      </c>
    </row>
    <row r="734" spans="2:3" x14ac:dyDescent="0.25">
      <c r="B734" s="4" t="s">
        <v>264</v>
      </c>
      <c r="C734" s="48" t="s">
        <v>15</v>
      </c>
    </row>
    <row r="735" spans="2:3" x14ac:dyDescent="0.25">
      <c r="B735" s="4" t="s">
        <v>239</v>
      </c>
      <c r="C735" s="48" t="s">
        <v>15</v>
      </c>
    </row>
    <row r="736" spans="2:3" x14ac:dyDescent="0.25">
      <c r="B736" s="4" t="s">
        <v>239</v>
      </c>
      <c r="C736" s="48" t="s">
        <v>15</v>
      </c>
    </row>
    <row r="737" spans="2:3" x14ac:dyDescent="0.25">
      <c r="B737" s="4" t="s">
        <v>247</v>
      </c>
      <c r="C737" s="48" t="s">
        <v>15</v>
      </c>
    </row>
    <row r="738" spans="2:3" x14ac:dyDescent="0.25">
      <c r="B738" s="4" t="s">
        <v>248</v>
      </c>
      <c r="C738" s="48" t="s">
        <v>15</v>
      </c>
    </row>
    <row r="739" spans="2:3" x14ac:dyDescent="0.25">
      <c r="B739" s="4" t="s">
        <v>248</v>
      </c>
      <c r="C739" s="48" t="s">
        <v>15</v>
      </c>
    </row>
    <row r="740" spans="2:3" x14ac:dyDescent="0.25">
      <c r="B740" s="4" t="s">
        <v>248</v>
      </c>
      <c r="C740" s="48" t="s">
        <v>15</v>
      </c>
    </row>
    <row r="741" spans="2:3" x14ac:dyDescent="0.25">
      <c r="B741" s="4" t="s">
        <v>248</v>
      </c>
      <c r="C741" s="48" t="s">
        <v>15</v>
      </c>
    </row>
    <row r="742" spans="2:3" x14ac:dyDescent="0.25">
      <c r="B742" s="4" t="s">
        <v>231</v>
      </c>
      <c r="C742" s="48" t="s">
        <v>15</v>
      </c>
    </row>
    <row r="743" spans="2:3" x14ac:dyDescent="0.25">
      <c r="B743" s="4" t="s">
        <v>264</v>
      </c>
      <c r="C743" s="48" t="s">
        <v>15</v>
      </c>
    </row>
    <row r="744" spans="2:3" x14ac:dyDescent="0.25">
      <c r="B744" s="4" t="s">
        <v>264</v>
      </c>
      <c r="C744" s="48" t="s">
        <v>15</v>
      </c>
    </row>
    <row r="745" spans="2:3" x14ac:dyDescent="0.25">
      <c r="B745" s="4" t="s">
        <v>231</v>
      </c>
      <c r="C745" s="48" t="s">
        <v>15</v>
      </c>
    </row>
    <row r="746" spans="2:3" x14ac:dyDescent="0.25">
      <c r="B746" s="4" t="s">
        <v>231</v>
      </c>
      <c r="C746" s="48" t="s">
        <v>15</v>
      </c>
    </row>
    <row r="747" spans="2:3" x14ac:dyDescent="0.25">
      <c r="B747" s="4" t="s">
        <v>264</v>
      </c>
      <c r="C747" s="48" t="s">
        <v>15</v>
      </c>
    </row>
    <row r="748" spans="2:3" x14ac:dyDescent="0.25">
      <c r="B748" s="4" t="s">
        <v>264</v>
      </c>
      <c r="C748" s="48" t="s">
        <v>15</v>
      </c>
    </row>
    <row r="749" spans="2:3" x14ac:dyDescent="0.25">
      <c r="B749" s="4" t="s">
        <v>231</v>
      </c>
      <c r="C749" s="48" t="s">
        <v>15</v>
      </c>
    </row>
    <row r="750" spans="2:3" x14ac:dyDescent="0.25">
      <c r="B750" s="4" t="s">
        <v>231</v>
      </c>
      <c r="C750" s="48" t="s">
        <v>15</v>
      </c>
    </row>
    <row r="751" spans="2:3" x14ac:dyDescent="0.25">
      <c r="B751" s="4" t="s">
        <v>231</v>
      </c>
      <c r="C751" s="48" t="s">
        <v>15</v>
      </c>
    </row>
    <row r="752" spans="2:3" x14ac:dyDescent="0.25">
      <c r="B752" s="4" t="s">
        <v>231</v>
      </c>
      <c r="C752" s="48" t="s">
        <v>15</v>
      </c>
    </row>
    <row r="753" spans="2:3" x14ac:dyDescent="0.25">
      <c r="B753" s="4" t="s">
        <v>231</v>
      </c>
      <c r="C753" s="48" t="s">
        <v>15</v>
      </c>
    </row>
    <row r="754" spans="2:3" x14ac:dyDescent="0.25">
      <c r="B754" s="4" t="s">
        <v>231</v>
      </c>
      <c r="C754" s="48" t="s">
        <v>15</v>
      </c>
    </row>
    <row r="755" spans="2:3" x14ac:dyDescent="0.25">
      <c r="B755" s="4" t="s">
        <v>231</v>
      </c>
      <c r="C755" s="48" t="s">
        <v>15</v>
      </c>
    </row>
    <row r="756" spans="2:3" x14ac:dyDescent="0.25">
      <c r="B756" s="4" t="s">
        <v>231</v>
      </c>
      <c r="C756" s="48" t="s">
        <v>15</v>
      </c>
    </row>
    <row r="757" spans="2:3" x14ac:dyDescent="0.25">
      <c r="B757" s="4" t="s">
        <v>248</v>
      </c>
      <c r="C757" s="48" t="s">
        <v>15</v>
      </c>
    </row>
    <row r="758" spans="2:3" x14ac:dyDescent="0.25">
      <c r="B758" s="4" t="s">
        <v>248</v>
      </c>
      <c r="C758" s="48" t="s">
        <v>15</v>
      </c>
    </row>
    <row r="759" spans="2:3" x14ac:dyDescent="0.25">
      <c r="B759" s="4" t="s">
        <v>248</v>
      </c>
      <c r="C759" s="48" t="s">
        <v>15</v>
      </c>
    </row>
    <row r="760" spans="2:3" x14ac:dyDescent="0.25">
      <c r="B760" s="4" t="s">
        <v>231</v>
      </c>
      <c r="C760" s="48" t="s">
        <v>15</v>
      </c>
    </row>
    <row r="761" spans="2:3" x14ac:dyDescent="0.25">
      <c r="B761" s="4" t="s">
        <v>248</v>
      </c>
      <c r="C761" s="48" t="s">
        <v>15</v>
      </c>
    </row>
    <row r="762" spans="2:3" x14ac:dyDescent="0.25">
      <c r="B762" s="4" t="s">
        <v>248</v>
      </c>
      <c r="C762" s="48" t="s">
        <v>15</v>
      </c>
    </row>
    <row r="763" spans="2:3" x14ac:dyDescent="0.25">
      <c r="B763" s="4" t="s">
        <v>231</v>
      </c>
      <c r="C763" s="48" t="s">
        <v>15</v>
      </c>
    </row>
    <row r="764" spans="2:3" x14ac:dyDescent="0.25">
      <c r="B764" s="4" t="s">
        <v>248</v>
      </c>
      <c r="C764" s="48" t="s">
        <v>15</v>
      </c>
    </row>
    <row r="765" spans="2:3" x14ac:dyDescent="0.25">
      <c r="B765" s="4" t="s">
        <v>248</v>
      </c>
      <c r="C765" s="48" t="s">
        <v>15</v>
      </c>
    </row>
    <row r="766" spans="2:3" x14ac:dyDescent="0.25">
      <c r="B766" s="4" t="s">
        <v>248</v>
      </c>
      <c r="C766" s="48" t="s">
        <v>15</v>
      </c>
    </row>
    <row r="767" spans="2:3" x14ac:dyDescent="0.25">
      <c r="B767" s="4" t="s">
        <v>248</v>
      </c>
      <c r="C767" s="48" t="s">
        <v>15</v>
      </c>
    </row>
    <row r="768" spans="2:3" x14ac:dyDescent="0.25">
      <c r="B768" s="4" t="s">
        <v>248</v>
      </c>
      <c r="C768" s="48" t="s">
        <v>15</v>
      </c>
    </row>
    <row r="769" spans="2:3" x14ac:dyDescent="0.25">
      <c r="B769" s="4" t="s">
        <v>248</v>
      </c>
      <c r="C769" s="48" t="s">
        <v>15</v>
      </c>
    </row>
    <row r="770" spans="2:3" x14ac:dyDescent="0.25">
      <c r="B770" s="4" t="s">
        <v>248</v>
      </c>
      <c r="C770" s="48" t="s">
        <v>15</v>
      </c>
    </row>
    <row r="771" spans="2:3" x14ac:dyDescent="0.25">
      <c r="B771" s="4" t="s">
        <v>248</v>
      </c>
      <c r="C771" s="48" t="s">
        <v>15</v>
      </c>
    </row>
    <row r="772" spans="2:3" x14ac:dyDescent="0.25">
      <c r="B772" s="4" t="s">
        <v>248</v>
      </c>
      <c r="C772" s="48" t="s">
        <v>15</v>
      </c>
    </row>
    <row r="773" spans="2:3" x14ac:dyDescent="0.25">
      <c r="B773" s="4" t="s">
        <v>248</v>
      </c>
      <c r="C773" s="48" t="s">
        <v>15</v>
      </c>
    </row>
    <row r="774" spans="2:3" x14ac:dyDescent="0.25">
      <c r="B774" s="4" t="s">
        <v>248</v>
      </c>
      <c r="C774" s="48" t="s">
        <v>15</v>
      </c>
    </row>
    <row r="775" spans="2:3" x14ac:dyDescent="0.25">
      <c r="B775" s="4" t="s">
        <v>248</v>
      </c>
      <c r="C775" s="48" t="s">
        <v>15</v>
      </c>
    </row>
  </sheetData>
  <phoneticPr fontId="20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CF45-6F6C-40B3-B77E-B1FC6EAE318F}">
  <dimension ref="B1:O716"/>
  <sheetViews>
    <sheetView showGridLines="0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" sqref="B3:N3"/>
    </sheetView>
  </sheetViews>
  <sheetFormatPr defaultRowHeight="15" x14ac:dyDescent="0.25"/>
  <cols>
    <col min="1" max="1" width="1.28515625" customWidth="1"/>
    <col min="2" max="2" width="10.7109375" style="1" bestFit="1" customWidth="1"/>
    <col min="3" max="3" width="22" style="1" bestFit="1" customWidth="1"/>
    <col min="4" max="4" width="13.7109375" style="1" bestFit="1" customWidth="1"/>
    <col min="5" max="5" width="40.85546875" style="1" bestFit="1" customWidth="1"/>
    <col min="6" max="6" width="36.85546875" style="1" bestFit="1" customWidth="1"/>
    <col min="7" max="7" width="38.140625" style="1" bestFit="1" customWidth="1"/>
    <col min="8" max="8" width="15.5703125" style="1" bestFit="1" customWidth="1"/>
    <col min="9" max="9" width="14.42578125" style="1" bestFit="1" customWidth="1"/>
    <col min="10" max="10" width="17.7109375" style="1" bestFit="1" customWidth="1"/>
    <col min="11" max="11" width="15.140625" style="1" bestFit="1" customWidth="1"/>
    <col min="12" max="12" width="23.28515625" style="1" bestFit="1" customWidth="1"/>
    <col min="13" max="13" width="62.5703125" style="1" bestFit="1" customWidth="1"/>
    <col min="14" max="14" width="61.42578125" bestFit="1" customWidth="1"/>
    <col min="15" max="15" width="17.85546875" style="1" bestFit="1" customWidth="1"/>
  </cols>
  <sheetData>
    <row r="1" spans="2:15" ht="6" customHeight="1" x14ac:dyDescent="0.25"/>
    <row r="2" spans="2:15" ht="21" x14ac:dyDescent="0.25">
      <c r="B2" s="173" t="s">
        <v>271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2:15" x14ac:dyDescent="0.25">
      <c r="B3" s="84" t="s">
        <v>0</v>
      </c>
      <c r="C3" s="84" t="s">
        <v>1</v>
      </c>
      <c r="D3" s="84" t="s">
        <v>2</v>
      </c>
      <c r="E3" s="84" t="s">
        <v>3</v>
      </c>
      <c r="F3" s="84" t="s">
        <v>4</v>
      </c>
      <c r="G3" s="84" t="s">
        <v>5</v>
      </c>
      <c r="H3" s="84" t="s">
        <v>6</v>
      </c>
      <c r="I3" s="84" t="s">
        <v>7</v>
      </c>
      <c r="J3" s="84" t="s">
        <v>8</v>
      </c>
      <c r="K3" s="84" t="s">
        <v>9</v>
      </c>
      <c r="L3" s="84" t="s">
        <v>10</v>
      </c>
      <c r="M3" t="s">
        <v>1115</v>
      </c>
      <c r="N3" s="84" t="s">
        <v>12</v>
      </c>
      <c r="O3" s="84" t="s">
        <v>13</v>
      </c>
    </row>
    <row r="4" spans="2:15" x14ac:dyDescent="0.25">
      <c r="B4" s="66">
        <v>45870</v>
      </c>
      <c r="C4" s="65">
        <v>1</v>
      </c>
      <c r="D4" s="63" t="s">
        <v>181</v>
      </c>
      <c r="E4" s="65" t="s">
        <v>182</v>
      </c>
      <c r="F4" s="65" t="s">
        <v>166</v>
      </c>
      <c r="G4" s="65" t="s">
        <v>218</v>
      </c>
      <c r="H4" s="63">
        <v>71</v>
      </c>
      <c r="I4" s="65" t="s">
        <v>172</v>
      </c>
      <c r="J4" s="63">
        <v>3098</v>
      </c>
      <c r="K4" s="64">
        <v>813.84</v>
      </c>
      <c r="L4" s="63" t="s">
        <v>1852</v>
      </c>
      <c r="M4" t="s">
        <v>1117</v>
      </c>
      <c r="N4" s="65" t="str">
        <f>queryCARRADAS_20250905_83647[[#This Row],[ORIGEM]]&amp;queryCARRADAS_20250905_83647[[#This Row],[DESTINO]]&amp;queryCARRADAS_20250905_83647[[#This Row],[MATERIAL]]</f>
        <v>GRANORTEEXPOEMABICA CORRIDA</v>
      </c>
      <c r="O4" s="68" t="s">
        <v>164</v>
      </c>
    </row>
    <row r="5" spans="2:15" x14ac:dyDescent="0.25">
      <c r="B5" s="66">
        <v>45870</v>
      </c>
      <c r="C5" s="65">
        <v>1</v>
      </c>
      <c r="D5" s="63" t="s">
        <v>196</v>
      </c>
      <c r="E5" s="65" t="s">
        <v>197</v>
      </c>
      <c r="F5" s="65" t="s">
        <v>190</v>
      </c>
      <c r="G5" s="65" t="s">
        <v>191</v>
      </c>
      <c r="H5" s="63">
        <v>217</v>
      </c>
      <c r="I5" s="65" t="s">
        <v>165</v>
      </c>
      <c r="J5" s="63">
        <v>819</v>
      </c>
      <c r="K5" s="64">
        <v>6575.75</v>
      </c>
      <c r="L5" s="63" t="s">
        <v>1853</v>
      </c>
      <c r="M5" t="s">
        <v>1854</v>
      </c>
      <c r="N5" s="65" t="str">
        <f>queryCARRADAS_20250905_83647[[#This Row],[ORIGEM]]&amp;queryCARRADAS_20250905_83647[[#This Row],[DESTINO]]&amp;queryCARRADAS_20250905_83647[[#This Row],[MATERIAL]]</f>
        <v>SERVENGOLINDA NOVA - MAPÓ DE BRITA</v>
      </c>
      <c r="O5" s="68" t="s">
        <v>164</v>
      </c>
    </row>
    <row r="6" spans="2:15" x14ac:dyDescent="0.25">
      <c r="B6" s="66">
        <v>45870</v>
      </c>
      <c r="C6" s="65">
        <v>1</v>
      </c>
      <c r="D6" s="63" t="s">
        <v>179</v>
      </c>
      <c r="E6" s="65" t="s">
        <v>214</v>
      </c>
      <c r="F6" s="65" t="s">
        <v>163</v>
      </c>
      <c r="G6" s="65" t="s">
        <v>164</v>
      </c>
      <c r="H6" s="63">
        <v>52</v>
      </c>
      <c r="I6" s="65" t="s">
        <v>185</v>
      </c>
      <c r="J6" s="63">
        <v>2558</v>
      </c>
      <c r="K6" s="64">
        <v>492.16</v>
      </c>
      <c r="L6" s="63" t="s">
        <v>1855</v>
      </c>
      <c r="M6" t="s">
        <v>1117</v>
      </c>
      <c r="N6" s="65" t="str">
        <f>queryCARRADAS_20250905_83647[[#This Row],[ORIGEM]]&amp;queryCARRADAS_20250905_83647[[#This Row],[DESTINO]]&amp;queryCARRADAS_20250905_83647[[#This Row],[MATERIAL]]</f>
        <v>BRASIL MINERACAOUA SAO LUISRACHÃOZINHO</v>
      </c>
      <c r="O6" s="68" t="s">
        <v>164</v>
      </c>
    </row>
    <row r="7" spans="2:15" x14ac:dyDescent="0.25">
      <c r="B7" s="66">
        <v>45870</v>
      </c>
      <c r="C7" s="65">
        <v>1</v>
      </c>
      <c r="D7" s="63" t="s">
        <v>170</v>
      </c>
      <c r="E7" s="65" t="s">
        <v>171</v>
      </c>
      <c r="F7" s="65" t="s">
        <v>163</v>
      </c>
      <c r="G7" s="65" t="s">
        <v>164</v>
      </c>
      <c r="H7" s="63">
        <v>52</v>
      </c>
      <c r="I7" s="65" t="s">
        <v>175</v>
      </c>
      <c r="J7" s="63">
        <v>262</v>
      </c>
      <c r="K7" s="64">
        <v>504.09</v>
      </c>
      <c r="L7" s="63" t="s">
        <v>1856</v>
      </c>
      <c r="M7" t="s">
        <v>1117</v>
      </c>
      <c r="N7" s="65" t="str">
        <f>queryCARRADAS_20250905_83647[[#This Row],[ORIGEM]]&amp;queryCARRADAS_20250905_83647[[#This Row],[DESTINO]]&amp;queryCARRADAS_20250905_83647[[#This Row],[MATERIAL]]</f>
        <v>BRASIL MINERACAOUA SAO LUISBRITA 0</v>
      </c>
      <c r="O7" s="68" t="s">
        <v>164</v>
      </c>
    </row>
    <row r="8" spans="2:15" x14ac:dyDescent="0.25">
      <c r="B8" s="66">
        <v>45870</v>
      </c>
      <c r="C8" s="65">
        <v>1</v>
      </c>
      <c r="D8" s="63" t="s">
        <v>167</v>
      </c>
      <c r="E8" s="65" t="s">
        <v>168</v>
      </c>
      <c r="F8" s="65" t="s">
        <v>163</v>
      </c>
      <c r="G8" s="65" t="s">
        <v>164</v>
      </c>
      <c r="H8" s="63">
        <v>52</v>
      </c>
      <c r="I8" s="65" t="s">
        <v>175</v>
      </c>
      <c r="J8" s="63">
        <v>2652</v>
      </c>
      <c r="K8" s="64">
        <v>510.24</v>
      </c>
      <c r="L8" s="63" t="s">
        <v>1857</v>
      </c>
      <c r="M8" t="s">
        <v>1117</v>
      </c>
      <c r="N8" s="65" t="str">
        <f>queryCARRADAS_20250905_83647[[#This Row],[ORIGEM]]&amp;queryCARRADAS_20250905_83647[[#This Row],[DESTINO]]&amp;queryCARRADAS_20250905_83647[[#This Row],[MATERIAL]]</f>
        <v>BRASIL MINERACAOUA SAO LUISBRITA 0</v>
      </c>
      <c r="O8" s="68" t="s">
        <v>164</v>
      </c>
    </row>
    <row r="9" spans="2:15" x14ac:dyDescent="0.25">
      <c r="B9" s="66">
        <v>45870</v>
      </c>
      <c r="C9" s="65">
        <v>1</v>
      </c>
      <c r="D9" s="63" t="s">
        <v>202</v>
      </c>
      <c r="E9" s="65" t="s">
        <v>1153</v>
      </c>
      <c r="F9" s="65" t="s">
        <v>190</v>
      </c>
      <c r="G9" s="65" t="s">
        <v>191</v>
      </c>
      <c r="H9" s="63">
        <v>217</v>
      </c>
      <c r="I9" s="65" t="s">
        <v>165</v>
      </c>
      <c r="J9" s="63">
        <v>8072</v>
      </c>
      <c r="K9" s="64">
        <v>6481.01</v>
      </c>
      <c r="L9" s="63" t="s">
        <v>1858</v>
      </c>
      <c r="M9" t="s">
        <v>1117</v>
      </c>
      <c r="N9" s="65" t="str">
        <f>queryCARRADAS_20250905_83647[[#This Row],[ORIGEM]]&amp;queryCARRADAS_20250905_83647[[#This Row],[DESTINO]]&amp;queryCARRADAS_20250905_83647[[#This Row],[MATERIAL]]</f>
        <v>SERVENGOLINDA NOVA - MAPÓ DE BRITA</v>
      </c>
      <c r="O9" s="68" t="s">
        <v>164</v>
      </c>
    </row>
    <row r="10" spans="2:15" x14ac:dyDescent="0.25">
      <c r="B10" s="66">
        <v>45870</v>
      </c>
      <c r="C10" s="65">
        <v>1</v>
      </c>
      <c r="D10" s="63" t="s">
        <v>188</v>
      </c>
      <c r="E10" s="65" t="s">
        <v>189</v>
      </c>
      <c r="F10" s="65" t="s">
        <v>190</v>
      </c>
      <c r="G10" s="65" t="s">
        <v>191</v>
      </c>
      <c r="H10" s="63">
        <v>217</v>
      </c>
      <c r="I10" s="65" t="s">
        <v>165</v>
      </c>
      <c r="J10" s="63">
        <v>7099</v>
      </c>
      <c r="K10" s="64">
        <v>5699.79</v>
      </c>
      <c r="L10" s="63" t="s">
        <v>1859</v>
      </c>
      <c r="M10" t="s">
        <v>1117</v>
      </c>
      <c r="N10" s="65" t="str">
        <f>queryCARRADAS_20250905_83647[[#This Row],[ORIGEM]]&amp;queryCARRADAS_20250905_83647[[#This Row],[DESTINO]]&amp;queryCARRADAS_20250905_83647[[#This Row],[MATERIAL]]</f>
        <v>SERVENGOLINDA NOVA - MAPÓ DE BRITA</v>
      </c>
      <c r="O10" s="68" t="s">
        <v>11</v>
      </c>
    </row>
    <row r="11" spans="2:15" x14ac:dyDescent="0.25">
      <c r="B11" s="66">
        <v>45870</v>
      </c>
      <c r="C11" s="65">
        <v>1</v>
      </c>
      <c r="D11" s="63" t="s">
        <v>179</v>
      </c>
      <c r="E11" s="65" t="s">
        <v>214</v>
      </c>
      <c r="F11" s="65" t="s">
        <v>163</v>
      </c>
      <c r="G11" s="65" t="s">
        <v>164</v>
      </c>
      <c r="H11" s="63">
        <v>52</v>
      </c>
      <c r="I11" s="65" t="s">
        <v>185</v>
      </c>
      <c r="J11" s="63">
        <v>2596</v>
      </c>
      <c r="K11" s="64">
        <v>499.47</v>
      </c>
      <c r="L11" s="63" t="s">
        <v>1860</v>
      </c>
      <c r="M11" t="s">
        <v>1117</v>
      </c>
      <c r="N11" s="65" t="str">
        <f>queryCARRADAS_20250905_83647[[#This Row],[ORIGEM]]&amp;queryCARRADAS_20250905_83647[[#This Row],[DESTINO]]&amp;queryCARRADAS_20250905_83647[[#This Row],[MATERIAL]]</f>
        <v>BRASIL MINERACAOUA SAO LUISRACHÃOZINHO</v>
      </c>
      <c r="O11" s="68" t="s">
        <v>164</v>
      </c>
    </row>
    <row r="12" spans="2:15" x14ac:dyDescent="0.25">
      <c r="B12" s="66">
        <v>45870</v>
      </c>
      <c r="C12" s="65">
        <v>1</v>
      </c>
      <c r="D12" s="63" t="s">
        <v>167</v>
      </c>
      <c r="E12" s="65" t="s">
        <v>168</v>
      </c>
      <c r="F12" s="65" t="s">
        <v>166</v>
      </c>
      <c r="G12" s="65" t="s">
        <v>218</v>
      </c>
      <c r="H12" s="63">
        <v>71</v>
      </c>
      <c r="I12" s="65" t="s">
        <v>172</v>
      </c>
      <c r="J12" s="63">
        <v>2592</v>
      </c>
      <c r="K12" s="64">
        <v>680.92</v>
      </c>
      <c r="L12" s="63" t="s">
        <v>1861</v>
      </c>
      <c r="M12" t="s">
        <v>1117</v>
      </c>
      <c r="N12" s="65" t="str">
        <f>queryCARRADAS_20250905_83647[[#This Row],[ORIGEM]]&amp;queryCARRADAS_20250905_83647[[#This Row],[DESTINO]]&amp;queryCARRADAS_20250905_83647[[#This Row],[MATERIAL]]</f>
        <v>GRANORTEEXPOEMABICA CORRIDA</v>
      </c>
      <c r="O12" s="68" t="s">
        <v>164</v>
      </c>
    </row>
    <row r="13" spans="2:15" x14ac:dyDescent="0.25">
      <c r="B13" s="66">
        <v>45870</v>
      </c>
      <c r="C13" s="65">
        <v>1</v>
      </c>
      <c r="D13" s="63" t="s">
        <v>173</v>
      </c>
      <c r="E13" s="65" t="s">
        <v>174</v>
      </c>
      <c r="F13" s="65" t="s">
        <v>166</v>
      </c>
      <c r="G13" s="65" t="s">
        <v>218</v>
      </c>
      <c r="H13" s="63">
        <v>71</v>
      </c>
      <c r="I13" s="65" t="s">
        <v>172</v>
      </c>
      <c r="J13" s="63">
        <v>2528</v>
      </c>
      <c r="K13" s="64">
        <v>664.11</v>
      </c>
      <c r="L13" s="63" t="s">
        <v>1862</v>
      </c>
      <c r="M13" t="s">
        <v>1117</v>
      </c>
      <c r="N13" s="65" t="str">
        <f>queryCARRADAS_20250905_83647[[#This Row],[ORIGEM]]&amp;queryCARRADAS_20250905_83647[[#This Row],[DESTINO]]&amp;queryCARRADAS_20250905_83647[[#This Row],[MATERIAL]]</f>
        <v>GRANORTEEXPOEMABICA CORRIDA</v>
      </c>
      <c r="O13" s="68" t="s">
        <v>11</v>
      </c>
    </row>
    <row r="14" spans="2:15" x14ac:dyDescent="0.25">
      <c r="B14" s="66">
        <v>45870</v>
      </c>
      <c r="C14" s="65">
        <v>1</v>
      </c>
      <c r="D14" s="63" t="s">
        <v>170</v>
      </c>
      <c r="E14" s="65" t="s">
        <v>171</v>
      </c>
      <c r="F14" s="65" t="s">
        <v>163</v>
      </c>
      <c r="G14" s="65" t="s">
        <v>164</v>
      </c>
      <c r="H14" s="63">
        <v>52</v>
      </c>
      <c r="I14" s="65" t="s">
        <v>185</v>
      </c>
      <c r="J14" s="63">
        <v>2484</v>
      </c>
      <c r="K14" s="64">
        <v>477.92</v>
      </c>
      <c r="L14" s="63" t="s">
        <v>1863</v>
      </c>
      <c r="M14" t="s">
        <v>1117</v>
      </c>
      <c r="N14" s="65" t="str">
        <f>queryCARRADAS_20250905_83647[[#This Row],[ORIGEM]]&amp;queryCARRADAS_20250905_83647[[#This Row],[DESTINO]]&amp;queryCARRADAS_20250905_83647[[#This Row],[MATERIAL]]</f>
        <v>BRASIL MINERACAOUA SAO LUISRACHÃOZINHO</v>
      </c>
      <c r="O14" s="68" t="s">
        <v>164</v>
      </c>
    </row>
    <row r="15" spans="2:15" x14ac:dyDescent="0.25">
      <c r="B15" s="66">
        <v>45870</v>
      </c>
      <c r="C15" s="65">
        <v>1</v>
      </c>
      <c r="D15" s="63" t="s">
        <v>181</v>
      </c>
      <c r="E15" s="65" t="s">
        <v>182</v>
      </c>
      <c r="F15" s="65" t="s">
        <v>166</v>
      </c>
      <c r="G15" s="65" t="s">
        <v>218</v>
      </c>
      <c r="H15" s="63">
        <v>71</v>
      </c>
      <c r="I15" s="65" t="s">
        <v>172</v>
      </c>
      <c r="J15" s="63">
        <v>2634</v>
      </c>
      <c r="K15" s="64">
        <v>691.95</v>
      </c>
      <c r="L15" s="63" t="s">
        <v>1864</v>
      </c>
      <c r="M15" t="s">
        <v>1117</v>
      </c>
      <c r="N15" s="65" t="str">
        <f>queryCARRADAS_20250905_83647[[#This Row],[ORIGEM]]&amp;queryCARRADAS_20250905_83647[[#This Row],[DESTINO]]&amp;queryCARRADAS_20250905_83647[[#This Row],[MATERIAL]]</f>
        <v>GRANORTEEXPOEMABICA CORRIDA</v>
      </c>
      <c r="O15" s="68" t="s">
        <v>11</v>
      </c>
    </row>
    <row r="16" spans="2:15" x14ac:dyDescent="0.25">
      <c r="B16" s="66">
        <v>45870</v>
      </c>
      <c r="C16" s="65">
        <v>1</v>
      </c>
      <c r="D16" s="63" t="s">
        <v>200</v>
      </c>
      <c r="E16" s="65" t="s">
        <v>201</v>
      </c>
      <c r="F16" s="65" t="s">
        <v>190</v>
      </c>
      <c r="G16" s="65" t="s">
        <v>212</v>
      </c>
      <c r="H16" s="63">
        <v>376</v>
      </c>
      <c r="I16" s="65" t="s">
        <v>165</v>
      </c>
      <c r="J16" s="63">
        <v>4854</v>
      </c>
      <c r="K16" s="64">
        <v>5840.33</v>
      </c>
      <c r="L16" s="63" t="s">
        <v>1865</v>
      </c>
      <c r="M16" t="s">
        <v>1117</v>
      </c>
      <c r="N16" s="65" t="str">
        <f>queryCARRADAS_20250905_83647[[#This Row],[ORIGEM]]&amp;queryCARRADAS_20250905_83647[[#This Row],[DESTINO]]&amp;queryCARRADAS_20250905_83647[[#This Row],[MATERIAL]]</f>
        <v>SERVENGUSINA PINHEIROPÓ DE BRITA</v>
      </c>
      <c r="O16" s="68" t="s">
        <v>164</v>
      </c>
    </row>
    <row r="17" spans="2:15" x14ac:dyDescent="0.25">
      <c r="B17" s="66">
        <v>45870</v>
      </c>
      <c r="C17" s="65">
        <v>1</v>
      </c>
      <c r="D17" s="63" t="s">
        <v>167</v>
      </c>
      <c r="E17" s="65" t="s">
        <v>168</v>
      </c>
      <c r="F17" s="65" t="s">
        <v>166</v>
      </c>
      <c r="G17" s="65" t="s">
        <v>218</v>
      </c>
      <c r="H17" s="63">
        <v>71</v>
      </c>
      <c r="I17" s="65" t="s">
        <v>172</v>
      </c>
      <c r="J17" s="63">
        <v>2684</v>
      </c>
      <c r="K17" s="64">
        <v>705.09</v>
      </c>
      <c r="L17" s="63" t="s">
        <v>1866</v>
      </c>
      <c r="M17" t="s">
        <v>1117</v>
      </c>
      <c r="N17" s="65" t="str">
        <f>queryCARRADAS_20250905_83647[[#This Row],[ORIGEM]]&amp;queryCARRADAS_20250905_83647[[#This Row],[DESTINO]]&amp;queryCARRADAS_20250905_83647[[#This Row],[MATERIAL]]</f>
        <v>GRANORTEEXPOEMABICA CORRIDA</v>
      </c>
      <c r="O17" s="68" t="s">
        <v>280</v>
      </c>
    </row>
    <row r="18" spans="2:15" x14ac:dyDescent="0.25">
      <c r="B18" s="66">
        <v>45870</v>
      </c>
      <c r="C18" s="65">
        <v>1</v>
      </c>
      <c r="D18" s="63" t="s">
        <v>173</v>
      </c>
      <c r="E18" s="65" t="s">
        <v>174</v>
      </c>
      <c r="F18" s="65" t="s">
        <v>166</v>
      </c>
      <c r="G18" s="65" t="s">
        <v>218</v>
      </c>
      <c r="H18" s="63">
        <v>71</v>
      </c>
      <c r="I18" s="65" t="s">
        <v>172</v>
      </c>
      <c r="J18" s="63">
        <v>2746</v>
      </c>
      <c r="K18" s="64">
        <v>721.37</v>
      </c>
      <c r="L18" s="63" t="s">
        <v>1867</v>
      </c>
      <c r="M18" t="s">
        <v>1117</v>
      </c>
      <c r="N18" s="65" t="str">
        <f>queryCARRADAS_20250905_83647[[#This Row],[ORIGEM]]&amp;queryCARRADAS_20250905_83647[[#This Row],[DESTINO]]&amp;queryCARRADAS_20250905_83647[[#This Row],[MATERIAL]]</f>
        <v>GRANORTEEXPOEMABICA CORRIDA</v>
      </c>
      <c r="O18" s="68" t="s">
        <v>164</v>
      </c>
    </row>
    <row r="19" spans="2:15" x14ac:dyDescent="0.25">
      <c r="B19" s="66">
        <v>45870</v>
      </c>
      <c r="C19" s="65">
        <v>1</v>
      </c>
      <c r="D19" s="63" t="s">
        <v>179</v>
      </c>
      <c r="E19" s="65" t="s">
        <v>214</v>
      </c>
      <c r="F19" s="65" t="s">
        <v>163</v>
      </c>
      <c r="G19" s="65" t="s">
        <v>164</v>
      </c>
      <c r="H19" s="63">
        <v>52</v>
      </c>
      <c r="I19" s="65" t="s">
        <v>185</v>
      </c>
      <c r="J19" s="63">
        <v>2611</v>
      </c>
      <c r="K19" s="64">
        <v>502.36</v>
      </c>
      <c r="L19" s="63" t="s">
        <v>1868</v>
      </c>
      <c r="M19" t="s">
        <v>1117</v>
      </c>
      <c r="N19" s="65" t="str">
        <f>queryCARRADAS_20250905_83647[[#This Row],[ORIGEM]]&amp;queryCARRADAS_20250905_83647[[#This Row],[DESTINO]]&amp;queryCARRADAS_20250905_83647[[#This Row],[MATERIAL]]</f>
        <v>BRASIL MINERACAOUA SAO LUISRACHÃOZINHO</v>
      </c>
      <c r="O19" s="68" t="s">
        <v>111</v>
      </c>
    </row>
    <row r="20" spans="2:15" x14ac:dyDescent="0.25">
      <c r="B20" s="66">
        <v>45870</v>
      </c>
      <c r="C20" s="65">
        <v>1</v>
      </c>
      <c r="D20" s="63" t="s">
        <v>205</v>
      </c>
      <c r="E20" s="65" t="s">
        <v>206</v>
      </c>
      <c r="F20" s="65" t="s">
        <v>276</v>
      </c>
      <c r="G20" s="65" t="s">
        <v>1869</v>
      </c>
      <c r="H20" s="63">
        <v>358</v>
      </c>
      <c r="I20" s="65" t="s">
        <v>221</v>
      </c>
      <c r="J20" s="63">
        <v>540</v>
      </c>
      <c r="K20" s="64">
        <v>6186.24</v>
      </c>
      <c r="L20" s="63" t="s">
        <v>1870</v>
      </c>
      <c r="M20" t="s">
        <v>1871</v>
      </c>
      <c r="N20" s="65" t="str">
        <f>queryCARRADAS_20250905_83647[[#This Row],[ORIGEM]]&amp;queryCARRADAS_20250905_83647[[#This Row],[DESTINO]]&amp;queryCARRADAS_20250905_83647[[#This Row],[MATERIAL]]</f>
        <v>MINERADORA PORTO FRANCOVALE NOVA VIDABGS</v>
      </c>
      <c r="O20" s="68" t="s">
        <v>164</v>
      </c>
    </row>
    <row r="21" spans="2:15" x14ac:dyDescent="0.25">
      <c r="B21" s="66">
        <v>45870</v>
      </c>
      <c r="C21" s="65">
        <v>1</v>
      </c>
      <c r="D21" s="63" t="s">
        <v>1535</v>
      </c>
      <c r="E21" s="65" t="s">
        <v>1536</v>
      </c>
      <c r="F21" s="65" t="s">
        <v>276</v>
      </c>
      <c r="G21" s="65" t="s">
        <v>277</v>
      </c>
      <c r="H21" s="63">
        <v>118</v>
      </c>
      <c r="I21" s="65" t="s">
        <v>165</v>
      </c>
      <c r="J21" s="63">
        <v>404</v>
      </c>
      <c r="K21" s="64">
        <v>1525.5</v>
      </c>
      <c r="L21" s="63" t="s">
        <v>1872</v>
      </c>
      <c r="M21" t="s">
        <v>1117</v>
      </c>
      <c r="N21" s="65" t="str">
        <f>queryCARRADAS_20250905_83647[[#This Row],[ORIGEM]]&amp;queryCARRADAS_20250905_83647[[#This Row],[DESTINO]]&amp;queryCARRADAS_20250905_83647[[#This Row],[MATERIAL]]</f>
        <v>MINERADORA PORTO FRANCOCONCRENORTEPÓ DE BRITA</v>
      </c>
      <c r="O21" s="68" t="s">
        <v>111</v>
      </c>
    </row>
    <row r="22" spans="2:15" x14ac:dyDescent="0.25">
      <c r="B22" s="66">
        <v>45870</v>
      </c>
      <c r="C22" s="65">
        <v>1</v>
      </c>
      <c r="D22" s="63" t="s">
        <v>203</v>
      </c>
      <c r="E22" s="65" t="s">
        <v>204</v>
      </c>
      <c r="F22" s="65" t="s">
        <v>190</v>
      </c>
      <c r="G22" s="65" t="s">
        <v>212</v>
      </c>
      <c r="H22" s="63">
        <v>376</v>
      </c>
      <c r="I22" s="65" t="s">
        <v>165</v>
      </c>
      <c r="J22" s="63">
        <v>4664</v>
      </c>
      <c r="K22" s="64">
        <v>5611.72</v>
      </c>
      <c r="L22" s="63" t="s">
        <v>1873</v>
      </c>
      <c r="M22" t="s">
        <v>1117</v>
      </c>
      <c r="N22" s="65" t="str">
        <f>queryCARRADAS_20250905_83647[[#This Row],[ORIGEM]]&amp;queryCARRADAS_20250905_83647[[#This Row],[DESTINO]]&amp;queryCARRADAS_20250905_83647[[#This Row],[MATERIAL]]</f>
        <v>SERVENGUSINA PINHEIROPÓ DE BRITA</v>
      </c>
      <c r="O22" s="68" t="s">
        <v>164</v>
      </c>
    </row>
    <row r="23" spans="2:15" x14ac:dyDescent="0.25">
      <c r="B23" s="66">
        <v>45870</v>
      </c>
      <c r="C23" s="65">
        <v>1</v>
      </c>
      <c r="D23" s="63" t="s">
        <v>1127</v>
      </c>
      <c r="E23" s="65" t="s">
        <v>178</v>
      </c>
      <c r="F23" s="65" t="s">
        <v>163</v>
      </c>
      <c r="G23" s="65" t="s">
        <v>164</v>
      </c>
      <c r="H23" s="63">
        <v>52</v>
      </c>
      <c r="I23" s="65" t="s">
        <v>185</v>
      </c>
      <c r="J23" s="63">
        <v>2698</v>
      </c>
      <c r="K23" s="64">
        <v>519.1</v>
      </c>
      <c r="L23" s="63" t="s">
        <v>1874</v>
      </c>
      <c r="M23" t="s">
        <v>1117</v>
      </c>
      <c r="N23" s="65" t="str">
        <f>queryCARRADAS_20250905_83647[[#This Row],[ORIGEM]]&amp;queryCARRADAS_20250905_83647[[#This Row],[DESTINO]]&amp;queryCARRADAS_20250905_83647[[#This Row],[MATERIAL]]</f>
        <v>BRASIL MINERACAOUA SAO LUISRACHÃOZINHO</v>
      </c>
      <c r="O23" s="68" t="s">
        <v>164</v>
      </c>
    </row>
    <row r="24" spans="2:15" x14ac:dyDescent="0.25">
      <c r="B24" s="66">
        <v>45870</v>
      </c>
      <c r="C24" s="65">
        <v>1</v>
      </c>
      <c r="D24" s="63" t="s">
        <v>1127</v>
      </c>
      <c r="E24" s="65" t="s">
        <v>178</v>
      </c>
      <c r="F24" s="65" t="s">
        <v>163</v>
      </c>
      <c r="G24" s="65" t="s">
        <v>164</v>
      </c>
      <c r="H24" s="63">
        <v>52</v>
      </c>
      <c r="I24" s="65" t="s">
        <v>185</v>
      </c>
      <c r="J24" s="63">
        <v>270</v>
      </c>
      <c r="K24" s="64">
        <v>519.48</v>
      </c>
      <c r="L24" s="63" t="s">
        <v>1875</v>
      </c>
      <c r="M24" t="s">
        <v>1117</v>
      </c>
      <c r="N24" s="65" t="str">
        <f>queryCARRADAS_20250905_83647[[#This Row],[ORIGEM]]&amp;queryCARRADAS_20250905_83647[[#This Row],[DESTINO]]&amp;queryCARRADAS_20250905_83647[[#This Row],[MATERIAL]]</f>
        <v>BRASIL MINERACAOUA SAO LUISRACHÃOZINHO</v>
      </c>
      <c r="O24" s="68" t="s">
        <v>111</v>
      </c>
    </row>
    <row r="25" spans="2:15" x14ac:dyDescent="0.25">
      <c r="B25" s="66">
        <v>45870</v>
      </c>
      <c r="C25" s="65">
        <v>1</v>
      </c>
      <c r="D25" s="63" t="s">
        <v>1127</v>
      </c>
      <c r="E25" s="65" t="s">
        <v>178</v>
      </c>
      <c r="F25" s="65" t="s">
        <v>163</v>
      </c>
      <c r="G25" s="65" t="s">
        <v>164</v>
      </c>
      <c r="H25" s="63">
        <v>52</v>
      </c>
      <c r="I25" s="65" t="s">
        <v>169</v>
      </c>
      <c r="J25" s="63">
        <v>2823</v>
      </c>
      <c r="K25" s="64">
        <v>543.15</v>
      </c>
      <c r="L25" s="63" t="s">
        <v>1876</v>
      </c>
      <c r="M25" t="s">
        <v>1117</v>
      </c>
      <c r="N25" s="65" t="str">
        <f>queryCARRADAS_20250905_83647[[#This Row],[ORIGEM]]&amp;queryCARRADAS_20250905_83647[[#This Row],[DESTINO]]&amp;queryCARRADAS_20250905_83647[[#This Row],[MATERIAL]]</f>
        <v>BRASIL MINERACAOUA SAO LUISPULMÃOZINHO</v>
      </c>
      <c r="O25" s="68" t="s">
        <v>164</v>
      </c>
    </row>
    <row r="26" spans="2:15" x14ac:dyDescent="0.25">
      <c r="B26" s="66">
        <v>45870</v>
      </c>
      <c r="C26" s="65">
        <v>1</v>
      </c>
      <c r="D26" s="63" t="s">
        <v>167</v>
      </c>
      <c r="E26" s="65" t="s">
        <v>168</v>
      </c>
      <c r="F26" s="65" t="s">
        <v>166</v>
      </c>
      <c r="G26" s="65" t="s">
        <v>218</v>
      </c>
      <c r="H26" s="63">
        <v>71</v>
      </c>
      <c r="I26" s="65" t="s">
        <v>172</v>
      </c>
      <c r="J26" s="63">
        <v>2638</v>
      </c>
      <c r="K26" s="64">
        <v>693</v>
      </c>
      <c r="L26" s="63" t="s">
        <v>1877</v>
      </c>
      <c r="M26" t="s">
        <v>1117</v>
      </c>
      <c r="N26" s="65" t="str">
        <f>queryCARRADAS_20250905_83647[[#This Row],[ORIGEM]]&amp;queryCARRADAS_20250905_83647[[#This Row],[DESTINO]]&amp;queryCARRADAS_20250905_83647[[#This Row],[MATERIAL]]</f>
        <v>GRANORTEEXPOEMABICA CORRIDA</v>
      </c>
      <c r="O26" s="68" t="s">
        <v>111</v>
      </c>
    </row>
    <row r="27" spans="2:15" x14ac:dyDescent="0.25">
      <c r="B27" s="66">
        <v>45870</v>
      </c>
      <c r="C27" s="65">
        <v>1</v>
      </c>
      <c r="D27" s="63" t="s">
        <v>179</v>
      </c>
      <c r="E27" s="65" t="s">
        <v>214</v>
      </c>
      <c r="F27" s="65" t="s">
        <v>163</v>
      </c>
      <c r="G27" s="65" t="s">
        <v>164</v>
      </c>
      <c r="H27" s="63">
        <v>52</v>
      </c>
      <c r="I27" s="65" t="s">
        <v>185</v>
      </c>
      <c r="J27" s="63">
        <v>2682</v>
      </c>
      <c r="K27" s="64">
        <v>516.02</v>
      </c>
      <c r="L27" s="63" t="s">
        <v>1878</v>
      </c>
      <c r="M27" t="s">
        <v>1117</v>
      </c>
      <c r="N27" s="65" t="str">
        <f>queryCARRADAS_20250905_83647[[#This Row],[ORIGEM]]&amp;queryCARRADAS_20250905_83647[[#This Row],[DESTINO]]&amp;queryCARRADAS_20250905_83647[[#This Row],[MATERIAL]]</f>
        <v>BRASIL MINERACAOUA SAO LUISRACHÃOZINHO</v>
      </c>
      <c r="O27" s="68" t="s">
        <v>111</v>
      </c>
    </row>
    <row r="28" spans="2:15" x14ac:dyDescent="0.25">
      <c r="B28" s="66">
        <v>45870</v>
      </c>
      <c r="C28" s="65">
        <v>1</v>
      </c>
      <c r="D28" s="63" t="s">
        <v>173</v>
      </c>
      <c r="E28" s="65" t="s">
        <v>174</v>
      </c>
      <c r="F28" s="65" t="s">
        <v>166</v>
      </c>
      <c r="G28" s="65" t="s">
        <v>218</v>
      </c>
      <c r="H28" s="63">
        <v>71</v>
      </c>
      <c r="I28" s="65" t="s">
        <v>172</v>
      </c>
      <c r="J28" s="63">
        <v>258</v>
      </c>
      <c r="K28" s="64">
        <v>677.77</v>
      </c>
      <c r="L28" s="63" t="s">
        <v>1879</v>
      </c>
      <c r="M28" t="s">
        <v>1117</v>
      </c>
      <c r="N28" s="65" t="str">
        <f>queryCARRADAS_20250905_83647[[#This Row],[ORIGEM]]&amp;queryCARRADAS_20250905_83647[[#This Row],[DESTINO]]&amp;queryCARRADAS_20250905_83647[[#This Row],[MATERIAL]]</f>
        <v>GRANORTEEXPOEMABICA CORRIDA</v>
      </c>
      <c r="O28" s="68" t="s">
        <v>111</v>
      </c>
    </row>
    <row r="29" spans="2:15" x14ac:dyDescent="0.25">
      <c r="B29" s="66">
        <v>45870</v>
      </c>
      <c r="C29" s="65">
        <v>1</v>
      </c>
      <c r="D29" s="63" t="s">
        <v>170</v>
      </c>
      <c r="E29" s="65" t="s">
        <v>171</v>
      </c>
      <c r="F29" s="65" t="s">
        <v>163</v>
      </c>
      <c r="G29" s="65" t="s">
        <v>164</v>
      </c>
      <c r="H29" s="63">
        <v>52</v>
      </c>
      <c r="I29" s="65" t="s">
        <v>185</v>
      </c>
      <c r="J29" s="63">
        <v>2558</v>
      </c>
      <c r="K29" s="64">
        <v>492.16</v>
      </c>
      <c r="L29" s="63" t="s">
        <v>1880</v>
      </c>
      <c r="M29" t="s">
        <v>1117</v>
      </c>
      <c r="N29" s="65" t="str">
        <f>queryCARRADAS_20250905_83647[[#This Row],[ORIGEM]]&amp;queryCARRADAS_20250905_83647[[#This Row],[DESTINO]]&amp;queryCARRADAS_20250905_83647[[#This Row],[MATERIAL]]</f>
        <v>BRASIL MINERACAOUA SAO LUISRACHÃOZINHO</v>
      </c>
      <c r="O29" s="68" t="s">
        <v>164</v>
      </c>
    </row>
    <row r="30" spans="2:15" x14ac:dyDescent="0.25">
      <c r="B30" s="66">
        <v>45870</v>
      </c>
      <c r="C30" s="65">
        <v>1</v>
      </c>
      <c r="D30" s="63" t="s">
        <v>183</v>
      </c>
      <c r="E30" s="65" t="s">
        <v>184</v>
      </c>
      <c r="F30" s="65" t="s">
        <v>163</v>
      </c>
      <c r="G30" s="65" t="s">
        <v>164</v>
      </c>
      <c r="H30" s="63">
        <v>52</v>
      </c>
      <c r="I30" s="65" t="s">
        <v>185</v>
      </c>
      <c r="J30" s="63">
        <v>2734</v>
      </c>
      <c r="K30" s="64">
        <v>526.02</v>
      </c>
      <c r="L30" s="63" t="s">
        <v>1881</v>
      </c>
      <c r="M30" t="s">
        <v>1117</v>
      </c>
      <c r="N30" s="65" t="str">
        <f>queryCARRADAS_20250905_83647[[#This Row],[ORIGEM]]&amp;queryCARRADAS_20250905_83647[[#This Row],[DESTINO]]&amp;queryCARRADAS_20250905_83647[[#This Row],[MATERIAL]]</f>
        <v>BRASIL MINERACAOUA SAO LUISRACHÃOZINHO</v>
      </c>
      <c r="O30" s="68" t="s">
        <v>164</v>
      </c>
    </row>
    <row r="31" spans="2:15" x14ac:dyDescent="0.25">
      <c r="B31" s="66">
        <v>45870</v>
      </c>
      <c r="C31" s="65">
        <v>1</v>
      </c>
      <c r="D31" s="63" t="s">
        <v>183</v>
      </c>
      <c r="E31" s="65" t="s">
        <v>184</v>
      </c>
      <c r="F31" s="65" t="s">
        <v>163</v>
      </c>
      <c r="G31" s="65" t="s">
        <v>164</v>
      </c>
      <c r="H31" s="63">
        <v>52</v>
      </c>
      <c r="I31" s="65" t="s">
        <v>185</v>
      </c>
      <c r="J31" s="63">
        <v>2724</v>
      </c>
      <c r="K31" s="64">
        <v>524.1</v>
      </c>
      <c r="L31" s="63" t="s">
        <v>1882</v>
      </c>
      <c r="M31" t="s">
        <v>1117</v>
      </c>
      <c r="N31" s="65" t="str">
        <f>queryCARRADAS_20250905_83647[[#This Row],[ORIGEM]]&amp;queryCARRADAS_20250905_83647[[#This Row],[DESTINO]]&amp;queryCARRADAS_20250905_83647[[#This Row],[MATERIAL]]</f>
        <v>BRASIL MINERACAOUA SAO LUISRACHÃOZINHO</v>
      </c>
      <c r="O31" s="68" t="s">
        <v>164</v>
      </c>
    </row>
    <row r="32" spans="2:15" x14ac:dyDescent="0.25">
      <c r="B32" s="66">
        <v>45870</v>
      </c>
      <c r="C32" s="65">
        <v>1</v>
      </c>
      <c r="D32" s="63" t="s">
        <v>183</v>
      </c>
      <c r="E32" s="65" t="s">
        <v>184</v>
      </c>
      <c r="F32" s="65" t="s">
        <v>163</v>
      </c>
      <c r="G32" s="65" t="s">
        <v>164</v>
      </c>
      <c r="H32" s="63">
        <v>52</v>
      </c>
      <c r="I32" s="65" t="s">
        <v>185</v>
      </c>
      <c r="J32" s="63">
        <v>2736</v>
      </c>
      <c r="K32" s="64">
        <v>526.41</v>
      </c>
      <c r="L32" s="63" t="s">
        <v>1883</v>
      </c>
      <c r="M32" t="s">
        <v>1117</v>
      </c>
      <c r="N32" s="65" t="str">
        <f>queryCARRADAS_20250905_83647[[#This Row],[ORIGEM]]&amp;queryCARRADAS_20250905_83647[[#This Row],[DESTINO]]&amp;queryCARRADAS_20250905_83647[[#This Row],[MATERIAL]]</f>
        <v>BRASIL MINERACAOUA SAO LUISRACHÃOZINHO</v>
      </c>
      <c r="O32" s="68" t="s">
        <v>164</v>
      </c>
    </row>
    <row r="33" spans="2:15" x14ac:dyDescent="0.25">
      <c r="B33" s="66">
        <v>45870</v>
      </c>
      <c r="C33" s="65">
        <v>1</v>
      </c>
      <c r="D33" s="63" t="s">
        <v>1129</v>
      </c>
      <c r="E33" s="65" t="s">
        <v>1130</v>
      </c>
      <c r="F33" s="65" t="s">
        <v>1131</v>
      </c>
      <c r="G33" s="65" t="s">
        <v>1132</v>
      </c>
      <c r="H33" s="63">
        <v>69</v>
      </c>
      <c r="I33" s="65" t="s">
        <v>175</v>
      </c>
      <c r="J33" s="63">
        <v>3378</v>
      </c>
      <c r="K33" s="64">
        <v>862.4</v>
      </c>
      <c r="L33" s="63" t="s">
        <v>1884</v>
      </c>
      <c r="M33" t="s">
        <v>1117</v>
      </c>
      <c r="N33" s="65" t="str">
        <f>queryCARRADAS_20250905_83647[[#This Row],[ORIGEM]]&amp;queryCARRADAS_20250905_83647[[#This Row],[DESTINO]]&amp;queryCARRADAS_20250905_83647[[#This Row],[MATERIAL]]</f>
        <v>MINERACAO OURO PRETO - COLINAS/MAMIRADOR- MABRITA 0</v>
      </c>
      <c r="O33" s="68" t="s">
        <v>111</v>
      </c>
    </row>
    <row r="34" spans="2:15" x14ac:dyDescent="0.25">
      <c r="B34" s="66">
        <v>45870</v>
      </c>
      <c r="C34" s="65">
        <v>1</v>
      </c>
      <c r="D34" s="63" t="s">
        <v>208</v>
      </c>
      <c r="E34" s="65" t="s">
        <v>209</v>
      </c>
      <c r="F34" s="65" t="s">
        <v>190</v>
      </c>
      <c r="G34" s="65" t="s">
        <v>212</v>
      </c>
      <c r="H34" s="63">
        <v>376</v>
      </c>
      <c r="I34" s="65" t="s">
        <v>165</v>
      </c>
      <c r="J34" s="63">
        <v>490</v>
      </c>
      <c r="K34" s="64">
        <v>5895.68</v>
      </c>
      <c r="L34" s="63" t="s">
        <v>1885</v>
      </c>
      <c r="M34" t="s">
        <v>1117</v>
      </c>
      <c r="N34" s="65" t="str">
        <f>queryCARRADAS_20250905_83647[[#This Row],[ORIGEM]]&amp;queryCARRADAS_20250905_83647[[#This Row],[DESTINO]]&amp;queryCARRADAS_20250905_83647[[#This Row],[MATERIAL]]</f>
        <v>SERVENGUSINA PINHEIROPÓ DE BRITA</v>
      </c>
      <c r="O34" s="68" t="s">
        <v>111</v>
      </c>
    </row>
    <row r="35" spans="2:15" x14ac:dyDescent="0.25">
      <c r="B35" s="66">
        <v>45870</v>
      </c>
      <c r="C35" s="65">
        <v>1</v>
      </c>
      <c r="D35" s="63" t="s">
        <v>219</v>
      </c>
      <c r="E35" s="65" t="s">
        <v>220</v>
      </c>
      <c r="F35" s="65" t="s">
        <v>166</v>
      </c>
      <c r="G35" s="65" t="s">
        <v>164</v>
      </c>
      <c r="H35" s="63">
        <v>58</v>
      </c>
      <c r="I35" s="65" t="s">
        <v>165</v>
      </c>
      <c r="J35" s="63">
        <v>710</v>
      </c>
      <c r="K35" s="64">
        <v>1523.66</v>
      </c>
      <c r="L35" s="63" t="s">
        <v>1886</v>
      </c>
      <c r="M35" t="s">
        <v>1117</v>
      </c>
      <c r="N35" s="65" t="str">
        <f>queryCARRADAS_20250905_83647[[#This Row],[ORIGEM]]&amp;queryCARRADAS_20250905_83647[[#This Row],[DESTINO]]&amp;queryCARRADAS_20250905_83647[[#This Row],[MATERIAL]]</f>
        <v>GRANORTEUA SAO LUISPÓ DE BRITA</v>
      </c>
      <c r="O35" s="68" t="s">
        <v>111</v>
      </c>
    </row>
    <row r="36" spans="2:15" x14ac:dyDescent="0.25">
      <c r="B36" s="66">
        <v>45870</v>
      </c>
      <c r="C36" s="65">
        <v>1</v>
      </c>
      <c r="D36" s="63" t="s">
        <v>186</v>
      </c>
      <c r="E36" s="65" t="s">
        <v>187</v>
      </c>
      <c r="F36" s="65" t="s">
        <v>190</v>
      </c>
      <c r="G36" s="65" t="s">
        <v>212</v>
      </c>
      <c r="H36" s="63">
        <v>376</v>
      </c>
      <c r="I36" s="65" t="s">
        <v>165</v>
      </c>
      <c r="J36" s="63">
        <v>449</v>
      </c>
      <c r="K36" s="64">
        <v>5402.37</v>
      </c>
      <c r="L36" s="63" t="s">
        <v>1887</v>
      </c>
      <c r="M36" t="s">
        <v>1117</v>
      </c>
      <c r="N36" s="65" t="str">
        <f>queryCARRADAS_20250905_83647[[#This Row],[ORIGEM]]&amp;queryCARRADAS_20250905_83647[[#This Row],[DESTINO]]&amp;queryCARRADAS_20250905_83647[[#This Row],[MATERIAL]]</f>
        <v>SERVENGUSINA PINHEIROPÓ DE BRITA</v>
      </c>
      <c r="O36" s="68" t="s">
        <v>161</v>
      </c>
    </row>
    <row r="37" spans="2:15" x14ac:dyDescent="0.25">
      <c r="B37" s="66">
        <v>45871</v>
      </c>
      <c r="C37" s="65">
        <v>1</v>
      </c>
      <c r="D37" s="63" t="s">
        <v>167</v>
      </c>
      <c r="E37" s="65" t="s">
        <v>168</v>
      </c>
      <c r="F37" s="65" t="s">
        <v>166</v>
      </c>
      <c r="G37" s="65" t="s">
        <v>218</v>
      </c>
      <c r="H37" s="63">
        <v>71</v>
      </c>
      <c r="I37" s="65" t="s">
        <v>172</v>
      </c>
      <c r="J37" s="63">
        <v>2648</v>
      </c>
      <c r="K37" s="64">
        <v>695.63</v>
      </c>
      <c r="L37" s="63" t="s">
        <v>1837</v>
      </c>
      <c r="M37" t="s">
        <v>1117</v>
      </c>
      <c r="N37" s="65" t="str">
        <f>queryCARRADAS_20250905_83647[[#This Row],[ORIGEM]]&amp;queryCARRADAS_20250905_83647[[#This Row],[DESTINO]]&amp;queryCARRADAS_20250905_83647[[#This Row],[MATERIAL]]</f>
        <v>GRANORTEEXPOEMABICA CORRIDA</v>
      </c>
      <c r="O37" s="68" t="s">
        <v>11</v>
      </c>
    </row>
    <row r="38" spans="2:15" x14ac:dyDescent="0.25">
      <c r="B38" s="66">
        <v>45871</v>
      </c>
      <c r="C38" s="65">
        <v>1</v>
      </c>
      <c r="D38" s="63" t="s">
        <v>188</v>
      </c>
      <c r="E38" s="65" t="s">
        <v>189</v>
      </c>
      <c r="F38" s="65" t="s">
        <v>190</v>
      </c>
      <c r="G38" s="65" t="s">
        <v>191</v>
      </c>
      <c r="H38" s="63">
        <v>217</v>
      </c>
      <c r="I38" s="65" t="s">
        <v>165</v>
      </c>
      <c r="J38" s="63">
        <v>829</v>
      </c>
      <c r="K38" s="64">
        <v>6656.04</v>
      </c>
      <c r="L38" s="63" t="s">
        <v>1838</v>
      </c>
      <c r="M38" t="s">
        <v>1117</v>
      </c>
      <c r="N38" s="65" t="str">
        <f>queryCARRADAS_20250905_83647[[#This Row],[ORIGEM]]&amp;queryCARRADAS_20250905_83647[[#This Row],[DESTINO]]&amp;queryCARRADAS_20250905_83647[[#This Row],[MATERIAL]]</f>
        <v>SERVENGOLINDA NOVA - MAPÓ DE BRITA</v>
      </c>
      <c r="O38" s="68" t="s">
        <v>164</v>
      </c>
    </row>
    <row r="39" spans="2:15" x14ac:dyDescent="0.25">
      <c r="B39" s="66">
        <v>45871</v>
      </c>
      <c r="C39" s="65">
        <v>1</v>
      </c>
      <c r="D39" s="63" t="s">
        <v>179</v>
      </c>
      <c r="E39" s="65" t="s">
        <v>214</v>
      </c>
      <c r="F39" s="65" t="s">
        <v>163</v>
      </c>
      <c r="G39" s="65" t="s">
        <v>164</v>
      </c>
      <c r="H39" s="63">
        <v>52</v>
      </c>
      <c r="I39" s="65" t="s">
        <v>185</v>
      </c>
      <c r="J39" s="63">
        <v>2581</v>
      </c>
      <c r="K39" s="64">
        <v>496.58</v>
      </c>
      <c r="L39" s="63" t="s">
        <v>1839</v>
      </c>
      <c r="M39" t="s">
        <v>1117</v>
      </c>
      <c r="N39" s="65" t="str">
        <f>queryCARRADAS_20250905_83647[[#This Row],[ORIGEM]]&amp;queryCARRADAS_20250905_83647[[#This Row],[DESTINO]]&amp;queryCARRADAS_20250905_83647[[#This Row],[MATERIAL]]</f>
        <v>BRASIL MINERACAOUA SAO LUISRACHÃOZINHO</v>
      </c>
      <c r="O39" s="68" t="s">
        <v>164</v>
      </c>
    </row>
    <row r="40" spans="2:15" x14ac:dyDescent="0.25">
      <c r="B40" s="66">
        <v>45871</v>
      </c>
      <c r="C40" s="65">
        <v>1</v>
      </c>
      <c r="D40" s="63" t="s">
        <v>202</v>
      </c>
      <c r="E40" s="65" t="s">
        <v>1153</v>
      </c>
      <c r="F40" s="65" t="s">
        <v>190</v>
      </c>
      <c r="G40" s="65" t="s">
        <v>191</v>
      </c>
      <c r="H40" s="63">
        <v>217</v>
      </c>
      <c r="I40" s="65" t="s">
        <v>165</v>
      </c>
      <c r="J40" s="63">
        <v>803</v>
      </c>
      <c r="K40" s="64">
        <v>6447.29</v>
      </c>
      <c r="L40" s="63" t="s">
        <v>1840</v>
      </c>
      <c r="M40" t="s">
        <v>1117</v>
      </c>
      <c r="N40" s="65" t="str">
        <f>queryCARRADAS_20250905_83647[[#This Row],[ORIGEM]]&amp;queryCARRADAS_20250905_83647[[#This Row],[DESTINO]]&amp;queryCARRADAS_20250905_83647[[#This Row],[MATERIAL]]</f>
        <v>SERVENGOLINDA NOVA - MAPÓ DE BRITA</v>
      </c>
      <c r="O40" s="68" t="s">
        <v>164</v>
      </c>
    </row>
    <row r="41" spans="2:15" x14ac:dyDescent="0.25">
      <c r="B41" s="66">
        <v>45871</v>
      </c>
      <c r="C41" s="65">
        <v>1</v>
      </c>
      <c r="D41" s="63" t="s">
        <v>181</v>
      </c>
      <c r="E41" s="65" t="s">
        <v>182</v>
      </c>
      <c r="F41" s="65" t="s">
        <v>166</v>
      </c>
      <c r="G41" s="65" t="s">
        <v>218</v>
      </c>
      <c r="H41" s="63">
        <v>71</v>
      </c>
      <c r="I41" s="65" t="s">
        <v>172</v>
      </c>
      <c r="J41" s="63">
        <v>2578</v>
      </c>
      <c r="K41" s="64">
        <v>677.24</v>
      </c>
      <c r="L41" s="63" t="s">
        <v>1841</v>
      </c>
      <c r="M41" t="s">
        <v>1117</v>
      </c>
      <c r="N41" s="65" t="str">
        <f>queryCARRADAS_20250905_83647[[#This Row],[ORIGEM]]&amp;queryCARRADAS_20250905_83647[[#This Row],[DESTINO]]&amp;queryCARRADAS_20250905_83647[[#This Row],[MATERIAL]]</f>
        <v>GRANORTEEXPOEMABICA CORRIDA</v>
      </c>
      <c r="O41" s="68" t="s">
        <v>164</v>
      </c>
    </row>
    <row r="42" spans="2:15" x14ac:dyDescent="0.25">
      <c r="B42" s="66">
        <v>45871</v>
      </c>
      <c r="C42" s="65">
        <v>1</v>
      </c>
      <c r="D42" s="63" t="s">
        <v>170</v>
      </c>
      <c r="E42" s="65" t="s">
        <v>171</v>
      </c>
      <c r="F42" s="65" t="s">
        <v>163</v>
      </c>
      <c r="G42" s="65" t="s">
        <v>164</v>
      </c>
      <c r="H42" s="63">
        <v>52</v>
      </c>
      <c r="I42" s="65" t="s">
        <v>185</v>
      </c>
      <c r="J42" s="63">
        <v>2585</v>
      </c>
      <c r="K42" s="64">
        <v>497.35</v>
      </c>
      <c r="L42" s="63" t="s">
        <v>1842</v>
      </c>
      <c r="M42" t="s">
        <v>1117</v>
      </c>
      <c r="N42" s="65" t="str">
        <f>queryCARRADAS_20250905_83647[[#This Row],[ORIGEM]]&amp;queryCARRADAS_20250905_83647[[#This Row],[DESTINO]]&amp;queryCARRADAS_20250905_83647[[#This Row],[MATERIAL]]</f>
        <v>BRASIL MINERACAOUA SAO LUISRACHÃOZINHO</v>
      </c>
      <c r="O42" s="68" t="s">
        <v>164</v>
      </c>
    </row>
    <row r="43" spans="2:15" x14ac:dyDescent="0.25">
      <c r="B43" s="66">
        <v>45871</v>
      </c>
      <c r="C43" s="65">
        <v>1</v>
      </c>
      <c r="D43" s="63" t="s">
        <v>1127</v>
      </c>
      <c r="E43" s="65" t="s">
        <v>178</v>
      </c>
      <c r="F43" s="65" t="s">
        <v>163</v>
      </c>
      <c r="G43" s="65" t="s">
        <v>164</v>
      </c>
      <c r="H43" s="63">
        <v>52</v>
      </c>
      <c r="I43" s="65" t="s">
        <v>185</v>
      </c>
      <c r="J43" s="63">
        <v>2701</v>
      </c>
      <c r="K43" s="64">
        <v>519.66999999999996</v>
      </c>
      <c r="L43" s="63" t="s">
        <v>1843</v>
      </c>
      <c r="M43" t="s">
        <v>1117</v>
      </c>
      <c r="N43" s="65" t="str">
        <f>queryCARRADAS_20250905_83647[[#This Row],[ORIGEM]]&amp;queryCARRADAS_20250905_83647[[#This Row],[DESTINO]]&amp;queryCARRADAS_20250905_83647[[#This Row],[MATERIAL]]</f>
        <v>BRASIL MINERACAOUA SAO LUISRACHÃOZINHO</v>
      </c>
      <c r="O43" s="68" t="s">
        <v>164</v>
      </c>
    </row>
    <row r="44" spans="2:15" x14ac:dyDescent="0.25">
      <c r="B44" s="66">
        <v>45871</v>
      </c>
      <c r="C44" s="65">
        <v>1</v>
      </c>
      <c r="D44" s="63" t="s">
        <v>179</v>
      </c>
      <c r="E44" s="65" t="s">
        <v>214</v>
      </c>
      <c r="F44" s="65" t="s">
        <v>163</v>
      </c>
      <c r="G44" s="65" t="s">
        <v>164</v>
      </c>
      <c r="H44" s="63">
        <v>52</v>
      </c>
      <c r="I44" s="65" t="s">
        <v>185</v>
      </c>
      <c r="J44" s="63">
        <v>2536</v>
      </c>
      <c r="K44" s="64">
        <v>487.93</v>
      </c>
      <c r="L44" s="63" t="s">
        <v>1844</v>
      </c>
      <c r="M44" t="s">
        <v>1117</v>
      </c>
      <c r="N44" s="65" t="str">
        <f>queryCARRADAS_20250905_83647[[#This Row],[ORIGEM]]&amp;queryCARRADAS_20250905_83647[[#This Row],[DESTINO]]&amp;queryCARRADAS_20250905_83647[[#This Row],[MATERIAL]]</f>
        <v>BRASIL MINERACAOUA SAO LUISRACHÃOZINHO</v>
      </c>
      <c r="O44" s="68" t="s">
        <v>164</v>
      </c>
    </row>
    <row r="45" spans="2:15" x14ac:dyDescent="0.25">
      <c r="B45" s="66">
        <v>45871</v>
      </c>
      <c r="C45" s="65">
        <v>1</v>
      </c>
      <c r="D45" s="63" t="s">
        <v>1129</v>
      </c>
      <c r="E45" s="65" t="s">
        <v>1130</v>
      </c>
      <c r="F45" s="65" t="s">
        <v>1131</v>
      </c>
      <c r="G45" s="65" t="s">
        <v>1132</v>
      </c>
      <c r="H45" s="63">
        <v>69</v>
      </c>
      <c r="I45" s="65" t="s">
        <v>175</v>
      </c>
      <c r="J45" s="63">
        <v>3118</v>
      </c>
      <c r="K45" s="64">
        <v>796.03</v>
      </c>
      <c r="L45" s="63" t="s">
        <v>1845</v>
      </c>
      <c r="M45" t="s">
        <v>1117</v>
      </c>
      <c r="N45" s="65" t="str">
        <f>queryCARRADAS_20250905_83647[[#This Row],[ORIGEM]]&amp;queryCARRADAS_20250905_83647[[#This Row],[DESTINO]]&amp;queryCARRADAS_20250905_83647[[#This Row],[MATERIAL]]</f>
        <v>MINERACAO OURO PRETO - COLINAS/MAMIRADOR- MABRITA 0</v>
      </c>
      <c r="O45" s="68" t="s">
        <v>164</v>
      </c>
    </row>
    <row r="46" spans="2:15" x14ac:dyDescent="0.25">
      <c r="B46" s="66">
        <v>45871</v>
      </c>
      <c r="C46" s="65">
        <v>1</v>
      </c>
      <c r="D46" s="63" t="s">
        <v>170</v>
      </c>
      <c r="E46" s="65" t="s">
        <v>171</v>
      </c>
      <c r="F46" s="65" t="s">
        <v>163</v>
      </c>
      <c r="G46" s="65" t="s">
        <v>164</v>
      </c>
      <c r="H46" s="63">
        <v>52</v>
      </c>
      <c r="I46" s="65" t="s">
        <v>185</v>
      </c>
      <c r="J46" s="63">
        <v>2581</v>
      </c>
      <c r="K46" s="64">
        <v>496.58</v>
      </c>
      <c r="L46" s="63" t="s">
        <v>1846</v>
      </c>
      <c r="M46" t="s">
        <v>1117</v>
      </c>
      <c r="N46" s="65" t="str">
        <f>queryCARRADAS_20250905_83647[[#This Row],[ORIGEM]]&amp;queryCARRADAS_20250905_83647[[#This Row],[DESTINO]]&amp;queryCARRADAS_20250905_83647[[#This Row],[MATERIAL]]</f>
        <v>BRASIL MINERACAOUA SAO LUISRACHÃOZINHO</v>
      </c>
      <c r="O46" s="68" t="s">
        <v>164</v>
      </c>
    </row>
    <row r="47" spans="2:15" x14ac:dyDescent="0.25">
      <c r="B47" s="66">
        <v>45871</v>
      </c>
      <c r="C47" s="65">
        <v>1</v>
      </c>
      <c r="D47" s="63" t="s">
        <v>181</v>
      </c>
      <c r="E47" s="65" t="s">
        <v>182</v>
      </c>
      <c r="F47" s="65" t="s">
        <v>166</v>
      </c>
      <c r="G47" s="65" t="s">
        <v>218</v>
      </c>
      <c r="H47" s="63">
        <v>71</v>
      </c>
      <c r="I47" s="65" t="s">
        <v>172</v>
      </c>
      <c r="J47" s="63">
        <v>2548</v>
      </c>
      <c r="K47" s="64">
        <v>669.36</v>
      </c>
      <c r="L47" s="63" t="s">
        <v>1847</v>
      </c>
      <c r="M47" t="s">
        <v>1117</v>
      </c>
      <c r="N47" s="65" t="str">
        <f>queryCARRADAS_20250905_83647[[#This Row],[ORIGEM]]&amp;queryCARRADAS_20250905_83647[[#This Row],[DESTINO]]&amp;queryCARRADAS_20250905_83647[[#This Row],[MATERIAL]]</f>
        <v>GRANORTEEXPOEMABICA CORRIDA</v>
      </c>
      <c r="O47" s="68" t="s">
        <v>164</v>
      </c>
    </row>
    <row r="48" spans="2:15" x14ac:dyDescent="0.25">
      <c r="B48" s="66">
        <v>45871</v>
      </c>
      <c r="C48" s="65">
        <v>1</v>
      </c>
      <c r="D48" s="63" t="s">
        <v>167</v>
      </c>
      <c r="E48" s="65" t="s">
        <v>168</v>
      </c>
      <c r="F48" s="65" t="s">
        <v>166</v>
      </c>
      <c r="G48" s="65" t="s">
        <v>218</v>
      </c>
      <c r="H48" s="63">
        <v>71</v>
      </c>
      <c r="I48" s="65" t="s">
        <v>172</v>
      </c>
      <c r="J48" s="63">
        <v>2468</v>
      </c>
      <c r="K48" s="64">
        <v>648.34</v>
      </c>
      <c r="L48" s="63" t="s">
        <v>1848</v>
      </c>
      <c r="M48" t="s">
        <v>1117</v>
      </c>
      <c r="N48" s="65" t="str">
        <f>queryCARRADAS_20250905_83647[[#This Row],[ORIGEM]]&amp;queryCARRADAS_20250905_83647[[#This Row],[DESTINO]]&amp;queryCARRADAS_20250905_83647[[#This Row],[MATERIAL]]</f>
        <v>GRANORTEEXPOEMABICA CORRIDA</v>
      </c>
      <c r="O48" s="68" t="s">
        <v>11</v>
      </c>
    </row>
    <row r="49" spans="2:15" x14ac:dyDescent="0.25">
      <c r="B49" s="66">
        <v>45871</v>
      </c>
      <c r="C49" s="65">
        <v>1</v>
      </c>
      <c r="D49" s="63" t="s">
        <v>210</v>
      </c>
      <c r="E49" s="65" t="s">
        <v>211</v>
      </c>
      <c r="F49" s="65" t="s">
        <v>190</v>
      </c>
      <c r="G49" s="65" t="s">
        <v>212</v>
      </c>
      <c r="H49" s="63">
        <v>376</v>
      </c>
      <c r="I49" s="65" t="s">
        <v>165</v>
      </c>
      <c r="J49" s="63">
        <v>4692</v>
      </c>
      <c r="K49" s="64">
        <v>5645.41</v>
      </c>
      <c r="L49" s="63" t="s">
        <v>1849</v>
      </c>
      <c r="M49" t="s">
        <v>1117</v>
      </c>
      <c r="N49" s="65" t="str">
        <f>queryCARRADAS_20250905_83647[[#This Row],[ORIGEM]]&amp;queryCARRADAS_20250905_83647[[#This Row],[DESTINO]]&amp;queryCARRADAS_20250905_83647[[#This Row],[MATERIAL]]</f>
        <v>SERVENGUSINA PINHEIROPÓ DE BRITA</v>
      </c>
      <c r="O49" s="68" t="s">
        <v>11</v>
      </c>
    </row>
    <row r="50" spans="2:15" x14ac:dyDescent="0.25">
      <c r="B50" s="66">
        <v>45871</v>
      </c>
      <c r="C50" s="65">
        <v>1</v>
      </c>
      <c r="D50" s="63" t="s">
        <v>183</v>
      </c>
      <c r="E50" s="65" t="s">
        <v>184</v>
      </c>
      <c r="F50" s="65" t="s">
        <v>163</v>
      </c>
      <c r="G50" s="65" t="s">
        <v>164</v>
      </c>
      <c r="H50" s="63">
        <v>52</v>
      </c>
      <c r="I50" s="65" t="s">
        <v>185</v>
      </c>
      <c r="J50" s="63">
        <v>2843</v>
      </c>
      <c r="K50" s="64">
        <v>546.99</v>
      </c>
      <c r="L50" s="63" t="s">
        <v>1850</v>
      </c>
      <c r="M50" t="s">
        <v>1117</v>
      </c>
      <c r="N50" s="65" t="str">
        <f>queryCARRADAS_20250905_83647[[#This Row],[ORIGEM]]&amp;queryCARRADAS_20250905_83647[[#This Row],[DESTINO]]&amp;queryCARRADAS_20250905_83647[[#This Row],[MATERIAL]]</f>
        <v>BRASIL MINERACAOUA SAO LUISRACHÃOZINHO</v>
      </c>
      <c r="O50" s="68" t="s">
        <v>11</v>
      </c>
    </row>
    <row r="51" spans="2:15" x14ac:dyDescent="0.25">
      <c r="B51" s="66">
        <v>45871</v>
      </c>
      <c r="C51" s="65">
        <v>1</v>
      </c>
      <c r="D51" s="63" t="s">
        <v>219</v>
      </c>
      <c r="E51" s="65" t="s">
        <v>220</v>
      </c>
      <c r="F51" s="65" t="s">
        <v>166</v>
      </c>
      <c r="G51" s="65" t="s">
        <v>164</v>
      </c>
      <c r="H51" s="63">
        <v>58</v>
      </c>
      <c r="I51" s="65" t="s">
        <v>165</v>
      </c>
      <c r="J51" s="63">
        <v>730</v>
      </c>
      <c r="K51" s="64">
        <v>1566.58</v>
      </c>
      <c r="L51" s="63" t="s">
        <v>1851</v>
      </c>
      <c r="M51" t="s">
        <v>1117</v>
      </c>
      <c r="N51" s="65" t="str">
        <f>queryCARRADAS_20250905_83647[[#This Row],[ORIGEM]]&amp;queryCARRADAS_20250905_83647[[#This Row],[DESTINO]]&amp;queryCARRADAS_20250905_83647[[#This Row],[MATERIAL]]</f>
        <v>GRANORTEUA SAO LUISPÓ DE BRITA</v>
      </c>
      <c r="O51" s="68" t="s">
        <v>11</v>
      </c>
    </row>
    <row r="52" spans="2:15" x14ac:dyDescent="0.25">
      <c r="B52" s="66">
        <v>45873</v>
      </c>
      <c r="C52" s="65">
        <v>1</v>
      </c>
      <c r="D52" s="63" t="s">
        <v>181</v>
      </c>
      <c r="E52" s="65" t="s">
        <v>182</v>
      </c>
      <c r="F52" s="65" t="s">
        <v>166</v>
      </c>
      <c r="G52" s="65" t="s">
        <v>218</v>
      </c>
      <c r="H52" s="63">
        <v>71</v>
      </c>
      <c r="I52" s="65" t="s">
        <v>172</v>
      </c>
      <c r="J52" s="63">
        <v>2678</v>
      </c>
      <c r="K52" s="64">
        <v>703.51</v>
      </c>
      <c r="L52" s="63" t="s">
        <v>1804</v>
      </c>
      <c r="M52" t="s">
        <v>1117</v>
      </c>
      <c r="N52" s="65" t="str">
        <f>queryCARRADAS_20250905_83647[[#This Row],[ORIGEM]]&amp;queryCARRADAS_20250905_83647[[#This Row],[DESTINO]]&amp;queryCARRADAS_20250905_83647[[#This Row],[MATERIAL]]</f>
        <v>GRANORTEEXPOEMABICA CORRIDA</v>
      </c>
      <c r="O52" s="68" t="s">
        <v>164</v>
      </c>
    </row>
    <row r="53" spans="2:15" x14ac:dyDescent="0.25">
      <c r="B53" s="66">
        <v>45873</v>
      </c>
      <c r="C53" s="65">
        <v>1</v>
      </c>
      <c r="D53" s="63" t="s">
        <v>176</v>
      </c>
      <c r="E53" s="65" t="s">
        <v>177</v>
      </c>
      <c r="F53" s="65" t="s">
        <v>190</v>
      </c>
      <c r="G53" s="65" t="s">
        <v>212</v>
      </c>
      <c r="H53" s="63">
        <v>376</v>
      </c>
      <c r="I53" s="65" t="s">
        <v>165</v>
      </c>
      <c r="J53" s="63">
        <v>4786</v>
      </c>
      <c r="K53" s="64">
        <v>5758.52</v>
      </c>
      <c r="L53" s="63" t="s">
        <v>1805</v>
      </c>
      <c r="M53" t="s">
        <v>1117</v>
      </c>
      <c r="N53" s="65" t="str">
        <f>queryCARRADAS_20250905_83647[[#This Row],[ORIGEM]]&amp;queryCARRADAS_20250905_83647[[#This Row],[DESTINO]]&amp;queryCARRADAS_20250905_83647[[#This Row],[MATERIAL]]</f>
        <v>SERVENGUSINA PINHEIROPÓ DE BRITA</v>
      </c>
      <c r="O53" s="68" t="s">
        <v>111</v>
      </c>
    </row>
    <row r="54" spans="2:15" x14ac:dyDescent="0.25">
      <c r="B54" s="66">
        <v>45873</v>
      </c>
      <c r="C54" s="65">
        <v>1</v>
      </c>
      <c r="D54" s="63" t="s">
        <v>170</v>
      </c>
      <c r="E54" s="65" t="s">
        <v>171</v>
      </c>
      <c r="F54" s="65" t="s">
        <v>166</v>
      </c>
      <c r="G54" s="65" t="s">
        <v>164</v>
      </c>
      <c r="H54" s="63">
        <v>58</v>
      </c>
      <c r="I54" s="65" t="s">
        <v>165</v>
      </c>
      <c r="J54" s="63">
        <v>2444</v>
      </c>
      <c r="K54" s="64">
        <v>524.48</v>
      </c>
      <c r="L54" s="63" t="s">
        <v>1806</v>
      </c>
      <c r="M54" t="s">
        <v>1117</v>
      </c>
      <c r="N54" s="65" t="str">
        <f>queryCARRADAS_20250905_83647[[#This Row],[ORIGEM]]&amp;queryCARRADAS_20250905_83647[[#This Row],[DESTINO]]&amp;queryCARRADAS_20250905_83647[[#This Row],[MATERIAL]]</f>
        <v>GRANORTEUA SAO LUISPÓ DE BRITA</v>
      </c>
      <c r="O54" s="68" t="s">
        <v>164</v>
      </c>
    </row>
    <row r="55" spans="2:15" x14ac:dyDescent="0.25">
      <c r="B55" s="66">
        <v>45873</v>
      </c>
      <c r="C55" s="65">
        <v>1</v>
      </c>
      <c r="D55" s="63" t="s">
        <v>179</v>
      </c>
      <c r="E55" s="65" t="s">
        <v>214</v>
      </c>
      <c r="F55" s="65" t="s">
        <v>166</v>
      </c>
      <c r="G55" s="65" t="s">
        <v>164</v>
      </c>
      <c r="H55" s="63">
        <v>58</v>
      </c>
      <c r="I55" s="65" t="s">
        <v>165</v>
      </c>
      <c r="J55" s="63">
        <v>261</v>
      </c>
      <c r="K55" s="64">
        <v>560.11</v>
      </c>
      <c r="L55" s="63" t="s">
        <v>1807</v>
      </c>
      <c r="M55" t="s">
        <v>1117</v>
      </c>
      <c r="N55" s="65" t="str">
        <f>queryCARRADAS_20250905_83647[[#This Row],[ORIGEM]]&amp;queryCARRADAS_20250905_83647[[#This Row],[DESTINO]]&amp;queryCARRADAS_20250905_83647[[#This Row],[MATERIAL]]</f>
        <v>GRANORTEUA SAO LUISPÓ DE BRITA</v>
      </c>
      <c r="O55" s="68" t="s">
        <v>164</v>
      </c>
    </row>
    <row r="56" spans="2:15" x14ac:dyDescent="0.25">
      <c r="B56" s="66">
        <v>45873</v>
      </c>
      <c r="C56" s="65">
        <v>1</v>
      </c>
      <c r="D56" s="63" t="s">
        <v>167</v>
      </c>
      <c r="E56" s="65" t="s">
        <v>168</v>
      </c>
      <c r="F56" s="65" t="s">
        <v>166</v>
      </c>
      <c r="G56" s="65" t="s">
        <v>218</v>
      </c>
      <c r="H56" s="63">
        <v>71</v>
      </c>
      <c r="I56" s="65" t="s">
        <v>172</v>
      </c>
      <c r="J56" s="63">
        <v>262</v>
      </c>
      <c r="K56" s="64">
        <v>688.27</v>
      </c>
      <c r="L56" s="63" t="s">
        <v>1808</v>
      </c>
      <c r="M56" t="s">
        <v>1117</v>
      </c>
      <c r="N56" s="65" t="str">
        <f>queryCARRADAS_20250905_83647[[#This Row],[ORIGEM]]&amp;queryCARRADAS_20250905_83647[[#This Row],[DESTINO]]&amp;queryCARRADAS_20250905_83647[[#This Row],[MATERIAL]]</f>
        <v>GRANORTEEXPOEMABICA CORRIDA</v>
      </c>
      <c r="O56" s="68" t="s">
        <v>164</v>
      </c>
    </row>
    <row r="57" spans="2:15" x14ac:dyDescent="0.25">
      <c r="B57" s="66">
        <v>45873</v>
      </c>
      <c r="C57" s="65">
        <v>1</v>
      </c>
      <c r="D57" s="63" t="s">
        <v>181</v>
      </c>
      <c r="E57" s="65" t="s">
        <v>182</v>
      </c>
      <c r="F57" s="65" t="s">
        <v>166</v>
      </c>
      <c r="G57" s="65" t="s">
        <v>218</v>
      </c>
      <c r="H57" s="63">
        <v>71</v>
      </c>
      <c r="I57" s="65" t="s">
        <v>172</v>
      </c>
      <c r="J57" s="63">
        <v>2644</v>
      </c>
      <c r="K57" s="64">
        <v>694.58</v>
      </c>
      <c r="L57" s="63" t="s">
        <v>1809</v>
      </c>
      <c r="M57" t="s">
        <v>1117</v>
      </c>
      <c r="N57" s="65" t="str">
        <f>queryCARRADAS_20250905_83647[[#This Row],[ORIGEM]]&amp;queryCARRADAS_20250905_83647[[#This Row],[DESTINO]]&amp;queryCARRADAS_20250905_83647[[#This Row],[MATERIAL]]</f>
        <v>GRANORTEEXPOEMABICA CORRIDA</v>
      </c>
      <c r="O57" s="68" t="s">
        <v>154</v>
      </c>
    </row>
    <row r="58" spans="2:15" x14ac:dyDescent="0.25">
      <c r="B58" s="66">
        <v>45873</v>
      </c>
      <c r="C58" s="65">
        <v>1</v>
      </c>
      <c r="D58" s="63" t="s">
        <v>173</v>
      </c>
      <c r="E58" s="65" t="s">
        <v>174</v>
      </c>
      <c r="F58" s="65" t="s">
        <v>166</v>
      </c>
      <c r="G58" s="65" t="s">
        <v>218</v>
      </c>
      <c r="H58" s="63">
        <v>71</v>
      </c>
      <c r="I58" s="65" t="s">
        <v>216</v>
      </c>
      <c r="J58" s="63">
        <v>3038</v>
      </c>
      <c r="K58" s="64">
        <v>798.08</v>
      </c>
      <c r="L58" s="63" t="s">
        <v>1810</v>
      </c>
      <c r="M58" t="s">
        <v>1117</v>
      </c>
      <c r="N58" s="65" t="str">
        <f>queryCARRADAS_20250905_83647[[#This Row],[ORIGEM]]&amp;queryCARRADAS_20250905_83647[[#This Row],[DESTINO]]&amp;queryCARRADAS_20250905_83647[[#This Row],[MATERIAL]]</f>
        <v>GRANORTEEXPOEMABRITA 3</v>
      </c>
      <c r="O58" s="68" t="s">
        <v>164</v>
      </c>
    </row>
    <row r="59" spans="2:15" x14ac:dyDescent="0.25">
      <c r="B59" s="66">
        <v>45873</v>
      </c>
      <c r="C59" s="65">
        <v>1</v>
      </c>
      <c r="D59" s="63" t="s">
        <v>170</v>
      </c>
      <c r="E59" s="65" t="s">
        <v>171</v>
      </c>
      <c r="F59" s="65" t="s">
        <v>166</v>
      </c>
      <c r="G59" s="65" t="s">
        <v>164</v>
      </c>
      <c r="H59" s="63">
        <v>58</v>
      </c>
      <c r="I59" s="65" t="s">
        <v>165</v>
      </c>
      <c r="J59" s="63">
        <v>2462</v>
      </c>
      <c r="K59" s="64">
        <v>528.35</v>
      </c>
      <c r="L59" s="63" t="s">
        <v>1811</v>
      </c>
      <c r="M59" t="s">
        <v>1117</v>
      </c>
      <c r="N59" s="65" t="str">
        <f>queryCARRADAS_20250905_83647[[#This Row],[ORIGEM]]&amp;queryCARRADAS_20250905_83647[[#This Row],[DESTINO]]&amp;queryCARRADAS_20250905_83647[[#This Row],[MATERIAL]]</f>
        <v>GRANORTEUA SAO LUISPÓ DE BRITA</v>
      </c>
      <c r="O59" s="68" t="s">
        <v>164</v>
      </c>
    </row>
    <row r="60" spans="2:15" x14ac:dyDescent="0.25">
      <c r="B60" s="66">
        <v>45873</v>
      </c>
      <c r="C60" s="65">
        <v>1</v>
      </c>
      <c r="D60" s="63" t="s">
        <v>179</v>
      </c>
      <c r="E60" s="65" t="s">
        <v>214</v>
      </c>
      <c r="F60" s="65" t="s">
        <v>166</v>
      </c>
      <c r="G60" s="65" t="s">
        <v>164</v>
      </c>
      <c r="H60" s="63">
        <v>58</v>
      </c>
      <c r="I60" s="65" t="s">
        <v>165</v>
      </c>
      <c r="J60" s="63">
        <v>2544</v>
      </c>
      <c r="K60" s="64">
        <v>545.94000000000005</v>
      </c>
      <c r="L60" s="63" t="s">
        <v>1812</v>
      </c>
      <c r="M60" t="s">
        <v>1117</v>
      </c>
      <c r="N60" s="65" t="str">
        <f>queryCARRADAS_20250905_83647[[#This Row],[ORIGEM]]&amp;queryCARRADAS_20250905_83647[[#This Row],[DESTINO]]&amp;queryCARRADAS_20250905_83647[[#This Row],[MATERIAL]]</f>
        <v>GRANORTEUA SAO LUISPÓ DE BRITA</v>
      </c>
      <c r="O60" s="68" t="s">
        <v>164</v>
      </c>
    </row>
    <row r="61" spans="2:15" x14ac:dyDescent="0.25">
      <c r="B61" s="66">
        <v>45873</v>
      </c>
      <c r="C61" s="65">
        <v>1</v>
      </c>
      <c r="D61" s="63" t="s">
        <v>167</v>
      </c>
      <c r="E61" s="65" t="s">
        <v>168</v>
      </c>
      <c r="F61" s="65" t="s">
        <v>166</v>
      </c>
      <c r="G61" s="65" t="s">
        <v>218</v>
      </c>
      <c r="H61" s="63">
        <v>71</v>
      </c>
      <c r="I61" s="65" t="s">
        <v>172</v>
      </c>
      <c r="J61" s="63">
        <v>265</v>
      </c>
      <c r="K61" s="64">
        <v>696.16</v>
      </c>
      <c r="L61" s="63" t="s">
        <v>1813</v>
      </c>
      <c r="M61" t="s">
        <v>1117</v>
      </c>
      <c r="N61" s="65" t="str">
        <f>queryCARRADAS_20250905_83647[[#This Row],[ORIGEM]]&amp;queryCARRADAS_20250905_83647[[#This Row],[DESTINO]]&amp;queryCARRADAS_20250905_83647[[#This Row],[MATERIAL]]</f>
        <v>GRANORTEEXPOEMABICA CORRIDA</v>
      </c>
      <c r="O61" s="68" t="s">
        <v>164</v>
      </c>
    </row>
    <row r="62" spans="2:15" x14ac:dyDescent="0.25">
      <c r="B62" s="66">
        <v>45873</v>
      </c>
      <c r="C62" s="65">
        <v>1</v>
      </c>
      <c r="D62" s="63" t="s">
        <v>202</v>
      </c>
      <c r="E62" s="65" t="s">
        <v>1153</v>
      </c>
      <c r="F62" s="65" t="s">
        <v>190</v>
      </c>
      <c r="G62" s="65" t="s">
        <v>191</v>
      </c>
      <c r="H62" s="63">
        <v>217</v>
      </c>
      <c r="I62" s="65" t="s">
        <v>165</v>
      </c>
      <c r="J62" s="63">
        <v>4986</v>
      </c>
      <c r="K62" s="64">
        <v>4003.26</v>
      </c>
      <c r="L62" s="63" t="s">
        <v>1814</v>
      </c>
      <c r="M62" t="s">
        <v>1117</v>
      </c>
      <c r="N62" s="65" t="str">
        <f>queryCARRADAS_20250905_83647[[#This Row],[ORIGEM]]&amp;queryCARRADAS_20250905_83647[[#This Row],[DESTINO]]&amp;queryCARRADAS_20250905_83647[[#This Row],[MATERIAL]]</f>
        <v>SERVENGOLINDA NOVA - MAPÓ DE BRITA</v>
      </c>
      <c r="O62" s="68" t="s">
        <v>164</v>
      </c>
    </row>
    <row r="63" spans="2:15" x14ac:dyDescent="0.25">
      <c r="B63" s="66">
        <v>45873</v>
      </c>
      <c r="C63" s="65">
        <v>1</v>
      </c>
      <c r="D63" s="63" t="s">
        <v>170</v>
      </c>
      <c r="E63" s="65" t="s">
        <v>171</v>
      </c>
      <c r="F63" s="65" t="s">
        <v>166</v>
      </c>
      <c r="G63" s="65" t="s">
        <v>164</v>
      </c>
      <c r="H63" s="63">
        <v>58</v>
      </c>
      <c r="I63" s="65" t="s">
        <v>165</v>
      </c>
      <c r="J63" s="63">
        <v>264</v>
      </c>
      <c r="K63" s="64">
        <v>566.54</v>
      </c>
      <c r="L63" s="63" t="s">
        <v>1815</v>
      </c>
      <c r="M63" t="s">
        <v>1117</v>
      </c>
      <c r="N63" s="65" t="str">
        <f>queryCARRADAS_20250905_83647[[#This Row],[ORIGEM]]&amp;queryCARRADAS_20250905_83647[[#This Row],[DESTINO]]&amp;queryCARRADAS_20250905_83647[[#This Row],[MATERIAL]]</f>
        <v>GRANORTEUA SAO LUISPÓ DE BRITA</v>
      </c>
      <c r="O63" s="68" t="s">
        <v>164</v>
      </c>
    </row>
    <row r="64" spans="2:15" x14ac:dyDescent="0.25">
      <c r="B64" s="66">
        <v>45873</v>
      </c>
      <c r="C64" s="65">
        <v>1</v>
      </c>
      <c r="D64" s="63" t="s">
        <v>1129</v>
      </c>
      <c r="E64" s="65" t="s">
        <v>1130</v>
      </c>
      <c r="F64" s="65" t="s">
        <v>1131</v>
      </c>
      <c r="G64" s="65" t="s">
        <v>1132</v>
      </c>
      <c r="H64" s="63">
        <v>69</v>
      </c>
      <c r="I64" s="65" t="s">
        <v>175</v>
      </c>
      <c r="J64" s="63">
        <v>3521</v>
      </c>
      <c r="K64" s="64">
        <v>898.91</v>
      </c>
      <c r="L64" s="63" t="s">
        <v>1816</v>
      </c>
      <c r="M64" t="s">
        <v>1117</v>
      </c>
      <c r="N64" s="65" t="str">
        <f>queryCARRADAS_20250905_83647[[#This Row],[ORIGEM]]&amp;queryCARRADAS_20250905_83647[[#This Row],[DESTINO]]&amp;queryCARRADAS_20250905_83647[[#This Row],[MATERIAL]]</f>
        <v>MINERACAO OURO PRETO - COLINAS/MAMIRADOR- MABRITA 0</v>
      </c>
      <c r="O64" s="68" t="s">
        <v>164</v>
      </c>
    </row>
    <row r="65" spans="2:15" x14ac:dyDescent="0.25">
      <c r="B65" s="66">
        <v>45873</v>
      </c>
      <c r="C65" s="65">
        <v>1</v>
      </c>
      <c r="D65" s="63" t="s">
        <v>173</v>
      </c>
      <c r="E65" s="65" t="s">
        <v>174</v>
      </c>
      <c r="F65" s="65" t="s">
        <v>166</v>
      </c>
      <c r="G65" s="65" t="s">
        <v>218</v>
      </c>
      <c r="H65" s="63">
        <v>71</v>
      </c>
      <c r="I65" s="65" t="s">
        <v>216</v>
      </c>
      <c r="J65" s="63">
        <v>3018</v>
      </c>
      <c r="K65" s="64">
        <v>792.83</v>
      </c>
      <c r="L65" s="63" t="s">
        <v>1817</v>
      </c>
      <c r="M65" t="s">
        <v>1117</v>
      </c>
      <c r="N65" s="65" t="str">
        <f>queryCARRADAS_20250905_83647[[#This Row],[ORIGEM]]&amp;queryCARRADAS_20250905_83647[[#This Row],[DESTINO]]&amp;queryCARRADAS_20250905_83647[[#This Row],[MATERIAL]]</f>
        <v>GRANORTEEXPOEMABRITA 3</v>
      </c>
      <c r="O65" s="68" t="s">
        <v>11</v>
      </c>
    </row>
    <row r="66" spans="2:15" x14ac:dyDescent="0.25">
      <c r="B66" s="66">
        <v>45873</v>
      </c>
      <c r="C66" s="65">
        <v>1</v>
      </c>
      <c r="D66" s="63" t="s">
        <v>1127</v>
      </c>
      <c r="E66" s="65" t="s">
        <v>178</v>
      </c>
      <c r="F66" s="65" t="s">
        <v>166</v>
      </c>
      <c r="G66" s="65" t="s">
        <v>164</v>
      </c>
      <c r="H66" s="63">
        <v>58</v>
      </c>
      <c r="I66" s="65" t="s">
        <v>165</v>
      </c>
      <c r="J66" s="63">
        <v>2688</v>
      </c>
      <c r="K66" s="64">
        <v>576.84</v>
      </c>
      <c r="L66" s="63" t="s">
        <v>1818</v>
      </c>
      <c r="M66" t="s">
        <v>1117</v>
      </c>
      <c r="N66" s="65" t="str">
        <f>queryCARRADAS_20250905_83647[[#This Row],[ORIGEM]]&amp;queryCARRADAS_20250905_83647[[#This Row],[DESTINO]]&amp;queryCARRADAS_20250905_83647[[#This Row],[MATERIAL]]</f>
        <v>GRANORTEUA SAO LUISPÓ DE BRITA</v>
      </c>
      <c r="O66" s="68" t="s">
        <v>164</v>
      </c>
    </row>
    <row r="67" spans="2:15" x14ac:dyDescent="0.25">
      <c r="B67" s="66">
        <v>45873</v>
      </c>
      <c r="C67" s="65">
        <v>1</v>
      </c>
      <c r="D67" s="63" t="s">
        <v>1127</v>
      </c>
      <c r="E67" s="65" t="s">
        <v>178</v>
      </c>
      <c r="F67" s="65" t="s">
        <v>163</v>
      </c>
      <c r="G67" s="65" t="s">
        <v>164</v>
      </c>
      <c r="H67" s="63">
        <v>52</v>
      </c>
      <c r="I67" s="65" t="s">
        <v>185</v>
      </c>
      <c r="J67" s="63">
        <v>2698</v>
      </c>
      <c r="K67" s="64">
        <v>519.1</v>
      </c>
      <c r="L67" s="63" t="s">
        <v>1819</v>
      </c>
      <c r="M67" t="s">
        <v>1117</v>
      </c>
      <c r="N67" s="65" t="str">
        <f>queryCARRADAS_20250905_83647[[#This Row],[ORIGEM]]&amp;queryCARRADAS_20250905_83647[[#This Row],[DESTINO]]&amp;queryCARRADAS_20250905_83647[[#This Row],[MATERIAL]]</f>
        <v>BRASIL MINERACAOUA SAO LUISRACHÃOZINHO</v>
      </c>
      <c r="O67" s="68" t="s">
        <v>11</v>
      </c>
    </row>
    <row r="68" spans="2:15" x14ac:dyDescent="0.25">
      <c r="B68" s="66">
        <v>45873</v>
      </c>
      <c r="C68" s="65">
        <v>1</v>
      </c>
      <c r="D68" s="63" t="s">
        <v>1127</v>
      </c>
      <c r="E68" s="65" t="s">
        <v>178</v>
      </c>
      <c r="F68" s="65" t="s">
        <v>163</v>
      </c>
      <c r="G68" s="65" t="s">
        <v>164</v>
      </c>
      <c r="H68" s="63">
        <v>52</v>
      </c>
      <c r="I68" s="65" t="s">
        <v>185</v>
      </c>
      <c r="J68" s="63">
        <v>2626</v>
      </c>
      <c r="K68" s="64">
        <v>505.24</v>
      </c>
      <c r="L68" s="63" t="s">
        <v>1820</v>
      </c>
      <c r="M68" t="s">
        <v>1117</v>
      </c>
      <c r="N68" s="65" t="str">
        <f>queryCARRADAS_20250905_83647[[#This Row],[ORIGEM]]&amp;queryCARRADAS_20250905_83647[[#This Row],[DESTINO]]&amp;queryCARRADAS_20250905_83647[[#This Row],[MATERIAL]]</f>
        <v>BRASIL MINERACAOUA SAO LUISRACHÃOZINHO</v>
      </c>
      <c r="O68" s="68" t="s">
        <v>164</v>
      </c>
    </row>
    <row r="69" spans="2:15" x14ac:dyDescent="0.25">
      <c r="B69" s="66">
        <v>45873</v>
      </c>
      <c r="C69" s="65">
        <v>1</v>
      </c>
      <c r="D69" s="63" t="s">
        <v>200</v>
      </c>
      <c r="E69" s="65" t="s">
        <v>201</v>
      </c>
      <c r="F69" s="65" t="s">
        <v>190</v>
      </c>
      <c r="G69" s="65" t="s">
        <v>212</v>
      </c>
      <c r="H69" s="63">
        <v>376</v>
      </c>
      <c r="I69" s="65" t="s">
        <v>165</v>
      </c>
      <c r="J69" s="63">
        <v>4846</v>
      </c>
      <c r="K69" s="64">
        <v>5830.71</v>
      </c>
      <c r="L69" s="63" t="s">
        <v>1821</v>
      </c>
      <c r="M69" t="s">
        <v>1117</v>
      </c>
      <c r="N69" s="65" t="str">
        <f>queryCARRADAS_20250905_83647[[#This Row],[ORIGEM]]&amp;queryCARRADAS_20250905_83647[[#This Row],[DESTINO]]&amp;queryCARRADAS_20250905_83647[[#This Row],[MATERIAL]]</f>
        <v>SERVENGUSINA PINHEIROPÓ DE BRITA</v>
      </c>
      <c r="O69" s="68" t="s">
        <v>164</v>
      </c>
    </row>
    <row r="70" spans="2:15" x14ac:dyDescent="0.25">
      <c r="B70" s="66">
        <v>45873</v>
      </c>
      <c r="C70" s="65">
        <v>1</v>
      </c>
      <c r="D70" s="63" t="s">
        <v>181</v>
      </c>
      <c r="E70" s="65" t="s">
        <v>182</v>
      </c>
      <c r="F70" s="65" t="s">
        <v>166</v>
      </c>
      <c r="G70" s="65" t="s">
        <v>218</v>
      </c>
      <c r="H70" s="63">
        <v>71</v>
      </c>
      <c r="I70" s="65" t="s">
        <v>172</v>
      </c>
      <c r="J70" s="63">
        <v>2598</v>
      </c>
      <c r="K70" s="64">
        <v>682.49</v>
      </c>
      <c r="L70" s="63" t="s">
        <v>1822</v>
      </c>
      <c r="M70" t="s">
        <v>1117</v>
      </c>
      <c r="N70" s="65" t="str">
        <f>queryCARRADAS_20250905_83647[[#This Row],[ORIGEM]]&amp;queryCARRADAS_20250905_83647[[#This Row],[DESTINO]]&amp;queryCARRADAS_20250905_83647[[#This Row],[MATERIAL]]</f>
        <v>GRANORTEEXPOEMABICA CORRIDA</v>
      </c>
      <c r="O70" s="68" t="s">
        <v>164</v>
      </c>
    </row>
    <row r="71" spans="2:15" x14ac:dyDescent="0.25">
      <c r="B71" s="66">
        <v>45873</v>
      </c>
      <c r="C71" s="65">
        <v>1</v>
      </c>
      <c r="D71" s="63" t="s">
        <v>183</v>
      </c>
      <c r="E71" s="65" t="s">
        <v>184</v>
      </c>
      <c r="F71" s="65" t="s">
        <v>166</v>
      </c>
      <c r="G71" s="65" t="s">
        <v>164</v>
      </c>
      <c r="H71" s="63">
        <v>58</v>
      </c>
      <c r="I71" s="65" t="s">
        <v>165</v>
      </c>
      <c r="J71" s="63">
        <v>304</v>
      </c>
      <c r="K71" s="64">
        <v>652.38</v>
      </c>
      <c r="L71" s="63" t="s">
        <v>1823</v>
      </c>
      <c r="M71" t="s">
        <v>1117</v>
      </c>
      <c r="N71" s="65" t="str">
        <f>queryCARRADAS_20250905_83647[[#This Row],[ORIGEM]]&amp;queryCARRADAS_20250905_83647[[#This Row],[DESTINO]]&amp;queryCARRADAS_20250905_83647[[#This Row],[MATERIAL]]</f>
        <v>GRANORTEUA SAO LUISPÓ DE BRITA</v>
      </c>
      <c r="O71" s="68" t="s">
        <v>164</v>
      </c>
    </row>
    <row r="72" spans="2:15" x14ac:dyDescent="0.25">
      <c r="B72" s="66">
        <v>45873</v>
      </c>
      <c r="C72" s="65">
        <v>1</v>
      </c>
      <c r="D72" s="63" t="s">
        <v>183</v>
      </c>
      <c r="E72" s="65" t="s">
        <v>184</v>
      </c>
      <c r="F72" s="65" t="s">
        <v>166</v>
      </c>
      <c r="G72" s="65" t="s">
        <v>164</v>
      </c>
      <c r="H72" s="63">
        <v>58</v>
      </c>
      <c r="I72" s="65" t="s">
        <v>165</v>
      </c>
      <c r="J72" s="63">
        <v>3082</v>
      </c>
      <c r="K72" s="64">
        <v>661.4</v>
      </c>
      <c r="L72" s="63" t="s">
        <v>1824</v>
      </c>
      <c r="M72" t="s">
        <v>1117</v>
      </c>
      <c r="N72" s="65" t="str">
        <f>queryCARRADAS_20250905_83647[[#This Row],[ORIGEM]]&amp;queryCARRADAS_20250905_83647[[#This Row],[DESTINO]]&amp;queryCARRADAS_20250905_83647[[#This Row],[MATERIAL]]</f>
        <v>GRANORTEUA SAO LUISPÓ DE BRITA</v>
      </c>
      <c r="O72" s="68" t="s">
        <v>11</v>
      </c>
    </row>
    <row r="73" spans="2:15" x14ac:dyDescent="0.25">
      <c r="B73" s="66">
        <v>45873</v>
      </c>
      <c r="C73" s="65">
        <v>1</v>
      </c>
      <c r="D73" s="63" t="s">
        <v>203</v>
      </c>
      <c r="E73" s="65" t="s">
        <v>204</v>
      </c>
      <c r="F73" s="65" t="s">
        <v>190</v>
      </c>
      <c r="G73" s="65" t="s">
        <v>212</v>
      </c>
      <c r="H73" s="63">
        <v>376</v>
      </c>
      <c r="I73" s="65" t="s">
        <v>165</v>
      </c>
      <c r="J73" s="63">
        <v>450</v>
      </c>
      <c r="K73" s="64">
        <v>5414.4</v>
      </c>
      <c r="L73" s="63" t="s">
        <v>1825</v>
      </c>
      <c r="M73" t="s">
        <v>1117</v>
      </c>
      <c r="N73" s="65" t="str">
        <f>queryCARRADAS_20250905_83647[[#This Row],[ORIGEM]]&amp;queryCARRADAS_20250905_83647[[#This Row],[DESTINO]]&amp;queryCARRADAS_20250905_83647[[#This Row],[MATERIAL]]</f>
        <v>SERVENGUSINA PINHEIROPÓ DE BRITA</v>
      </c>
      <c r="O73" s="68" t="s">
        <v>11</v>
      </c>
    </row>
    <row r="74" spans="2:15" x14ac:dyDescent="0.25">
      <c r="B74" s="66">
        <v>45873</v>
      </c>
      <c r="C74" s="65">
        <v>1</v>
      </c>
      <c r="D74" s="63" t="s">
        <v>199</v>
      </c>
      <c r="E74" s="65" t="s">
        <v>215</v>
      </c>
      <c r="F74" s="65" t="s">
        <v>163</v>
      </c>
      <c r="G74" s="65" t="s">
        <v>164</v>
      </c>
      <c r="H74" s="63">
        <v>52</v>
      </c>
      <c r="I74" s="65" t="s">
        <v>185</v>
      </c>
      <c r="J74" s="63">
        <v>2722</v>
      </c>
      <c r="K74" s="64">
        <v>523.71</v>
      </c>
      <c r="L74" s="63" t="s">
        <v>1826</v>
      </c>
      <c r="M74" t="s">
        <v>1827</v>
      </c>
      <c r="N74" s="65" t="str">
        <f>queryCARRADAS_20250905_83647[[#This Row],[ORIGEM]]&amp;queryCARRADAS_20250905_83647[[#This Row],[DESTINO]]&amp;queryCARRADAS_20250905_83647[[#This Row],[MATERIAL]]</f>
        <v>BRASIL MINERACAOUA SAO LUISRACHÃOZINHO</v>
      </c>
      <c r="O74" s="68" t="s">
        <v>164</v>
      </c>
    </row>
    <row r="75" spans="2:15" x14ac:dyDescent="0.25">
      <c r="B75" s="66">
        <v>45873</v>
      </c>
      <c r="C75" s="65">
        <v>1</v>
      </c>
      <c r="D75" s="63" t="s">
        <v>199</v>
      </c>
      <c r="E75" s="65" t="s">
        <v>215</v>
      </c>
      <c r="F75" s="65" t="s">
        <v>163</v>
      </c>
      <c r="G75" s="65" t="s">
        <v>164</v>
      </c>
      <c r="H75" s="63">
        <v>52</v>
      </c>
      <c r="I75" s="65" t="s">
        <v>185</v>
      </c>
      <c r="J75" s="63">
        <v>2691</v>
      </c>
      <c r="K75" s="64">
        <v>517.75</v>
      </c>
      <c r="L75" s="63" t="s">
        <v>1828</v>
      </c>
      <c r="M75" t="s">
        <v>1829</v>
      </c>
      <c r="N75" s="65" t="str">
        <f>queryCARRADAS_20250905_83647[[#This Row],[ORIGEM]]&amp;queryCARRADAS_20250905_83647[[#This Row],[DESTINO]]&amp;queryCARRADAS_20250905_83647[[#This Row],[MATERIAL]]</f>
        <v>BRASIL MINERACAOUA SAO LUISRACHÃOZINHO</v>
      </c>
      <c r="O75" s="68" t="s">
        <v>164</v>
      </c>
    </row>
    <row r="76" spans="2:15" x14ac:dyDescent="0.25">
      <c r="B76" s="66">
        <v>45873</v>
      </c>
      <c r="C76" s="65">
        <v>1</v>
      </c>
      <c r="D76" s="63" t="s">
        <v>199</v>
      </c>
      <c r="E76" s="65" t="s">
        <v>215</v>
      </c>
      <c r="F76" s="65" t="s">
        <v>163</v>
      </c>
      <c r="G76" s="65" t="s">
        <v>164</v>
      </c>
      <c r="H76" s="63">
        <v>52</v>
      </c>
      <c r="I76" s="65" t="s">
        <v>185</v>
      </c>
      <c r="J76" s="63">
        <v>2626</v>
      </c>
      <c r="K76" s="64">
        <v>505.24</v>
      </c>
      <c r="L76" s="63" t="s">
        <v>1830</v>
      </c>
      <c r="M76" t="s">
        <v>1831</v>
      </c>
      <c r="N76" s="65" t="str">
        <f>queryCARRADAS_20250905_83647[[#This Row],[ORIGEM]]&amp;queryCARRADAS_20250905_83647[[#This Row],[DESTINO]]&amp;queryCARRADAS_20250905_83647[[#This Row],[MATERIAL]]</f>
        <v>BRASIL MINERACAOUA SAO LUISRACHÃOZINHO</v>
      </c>
      <c r="O76" s="68" t="s">
        <v>164</v>
      </c>
    </row>
    <row r="77" spans="2:15" x14ac:dyDescent="0.25">
      <c r="B77" s="66">
        <v>45873</v>
      </c>
      <c r="C77" s="65">
        <v>1</v>
      </c>
      <c r="D77" s="63" t="s">
        <v>196</v>
      </c>
      <c r="E77" s="65" t="s">
        <v>197</v>
      </c>
      <c r="F77" s="65" t="s">
        <v>190</v>
      </c>
      <c r="G77" s="65" t="s">
        <v>191</v>
      </c>
      <c r="H77" s="63">
        <v>217</v>
      </c>
      <c r="I77" s="65" t="s">
        <v>165</v>
      </c>
      <c r="J77" s="63">
        <v>4918</v>
      </c>
      <c r="K77" s="64">
        <v>3948.66</v>
      </c>
      <c r="L77" s="63" t="s">
        <v>1832</v>
      </c>
      <c r="M77" t="s">
        <v>1193</v>
      </c>
      <c r="N77" s="65" t="str">
        <f>queryCARRADAS_20250905_83647[[#This Row],[ORIGEM]]&amp;queryCARRADAS_20250905_83647[[#This Row],[DESTINO]]&amp;queryCARRADAS_20250905_83647[[#This Row],[MATERIAL]]</f>
        <v>SERVENGOLINDA NOVA - MAPÓ DE BRITA</v>
      </c>
      <c r="O77" s="68" t="s">
        <v>164</v>
      </c>
    </row>
    <row r="78" spans="2:15" x14ac:dyDescent="0.25">
      <c r="B78" s="66">
        <v>45873</v>
      </c>
      <c r="C78" s="65">
        <v>1</v>
      </c>
      <c r="D78" s="63" t="s">
        <v>188</v>
      </c>
      <c r="E78" s="65" t="s">
        <v>189</v>
      </c>
      <c r="F78" s="65" t="s">
        <v>166</v>
      </c>
      <c r="G78" s="65" t="s">
        <v>164</v>
      </c>
      <c r="H78" s="63">
        <v>58</v>
      </c>
      <c r="I78" s="65" t="s">
        <v>165</v>
      </c>
      <c r="J78" s="63">
        <v>501</v>
      </c>
      <c r="K78" s="64">
        <v>1075.1500000000001</v>
      </c>
      <c r="L78" s="63" t="s">
        <v>1833</v>
      </c>
      <c r="M78" t="s">
        <v>1117</v>
      </c>
      <c r="N78" s="65" t="str">
        <f>queryCARRADAS_20250905_83647[[#This Row],[ORIGEM]]&amp;queryCARRADAS_20250905_83647[[#This Row],[DESTINO]]&amp;queryCARRADAS_20250905_83647[[#This Row],[MATERIAL]]</f>
        <v>GRANORTEUA SAO LUISPÓ DE BRITA</v>
      </c>
      <c r="O78" s="68" t="s">
        <v>164</v>
      </c>
    </row>
    <row r="79" spans="2:15" x14ac:dyDescent="0.25">
      <c r="B79" s="66">
        <v>45873</v>
      </c>
      <c r="C79" s="65">
        <v>1</v>
      </c>
      <c r="D79" s="63" t="s">
        <v>208</v>
      </c>
      <c r="E79" s="65" t="s">
        <v>209</v>
      </c>
      <c r="F79" s="65" t="s">
        <v>166</v>
      </c>
      <c r="G79" s="65" t="s">
        <v>223</v>
      </c>
      <c r="H79" s="63">
        <v>370</v>
      </c>
      <c r="I79" s="65" t="s">
        <v>165</v>
      </c>
      <c r="J79" s="63">
        <v>510</v>
      </c>
      <c r="K79" s="64">
        <v>6981.9</v>
      </c>
      <c r="L79" s="63" t="s">
        <v>1834</v>
      </c>
      <c r="M79" t="s">
        <v>1117</v>
      </c>
      <c r="N79" s="65" t="str">
        <f>queryCARRADAS_20250905_83647[[#This Row],[ORIGEM]]&amp;queryCARRADAS_20250905_83647[[#This Row],[DESTINO]]&amp;queryCARRADAS_20250905_83647[[#This Row],[MATERIAL]]</f>
        <v>GRANORTEUA PINHEIRO - MAPÓ DE BRITA</v>
      </c>
      <c r="O79" s="68" t="s">
        <v>11</v>
      </c>
    </row>
    <row r="80" spans="2:15" x14ac:dyDescent="0.25">
      <c r="B80" s="66">
        <v>45873</v>
      </c>
      <c r="C80" s="65">
        <v>1</v>
      </c>
      <c r="D80" s="63" t="s">
        <v>270</v>
      </c>
      <c r="E80" s="65" t="s">
        <v>1146</v>
      </c>
      <c r="F80" s="65" t="s">
        <v>166</v>
      </c>
      <c r="G80" s="65" t="s">
        <v>223</v>
      </c>
      <c r="H80" s="63">
        <v>370</v>
      </c>
      <c r="I80" s="65" t="s">
        <v>165</v>
      </c>
      <c r="J80" s="63">
        <v>5154</v>
      </c>
      <c r="K80" s="64">
        <v>7055.83</v>
      </c>
      <c r="L80" s="63" t="s">
        <v>1835</v>
      </c>
      <c r="M80" t="s">
        <v>1183</v>
      </c>
      <c r="N80" s="65" t="str">
        <f>queryCARRADAS_20250905_83647[[#This Row],[ORIGEM]]&amp;queryCARRADAS_20250905_83647[[#This Row],[DESTINO]]&amp;queryCARRADAS_20250905_83647[[#This Row],[MATERIAL]]</f>
        <v>GRANORTEUA PINHEIRO - MAPÓ DE BRITA</v>
      </c>
      <c r="O80" s="68" t="s">
        <v>11</v>
      </c>
    </row>
    <row r="81" spans="2:15" x14ac:dyDescent="0.25">
      <c r="B81" s="66">
        <v>45873</v>
      </c>
      <c r="C81" s="65">
        <v>1</v>
      </c>
      <c r="D81" s="63" t="s">
        <v>186</v>
      </c>
      <c r="E81" s="65" t="s">
        <v>187</v>
      </c>
      <c r="F81" s="65" t="s">
        <v>190</v>
      </c>
      <c r="G81" s="65" t="s">
        <v>212</v>
      </c>
      <c r="H81" s="63">
        <v>376</v>
      </c>
      <c r="I81" s="65" t="s">
        <v>165</v>
      </c>
      <c r="J81" s="63">
        <v>450</v>
      </c>
      <c r="K81" s="64">
        <v>5414.4</v>
      </c>
      <c r="L81" s="63" t="s">
        <v>1836</v>
      </c>
      <c r="M81" t="s">
        <v>1117</v>
      </c>
      <c r="N81" s="65" t="str">
        <f>queryCARRADAS_20250905_83647[[#This Row],[ORIGEM]]&amp;queryCARRADAS_20250905_83647[[#This Row],[DESTINO]]&amp;queryCARRADAS_20250905_83647[[#This Row],[MATERIAL]]</f>
        <v>SERVENGUSINA PINHEIROPÓ DE BRITA</v>
      </c>
      <c r="O81" s="68" t="s">
        <v>11</v>
      </c>
    </row>
    <row r="82" spans="2:15" x14ac:dyDescent="0.25">
      <c r="B82" s="66">
        <v>45874</v>
      </c>
      <c r="C82" s="65">
        <v>1</v>
      </c>
      <c r="D82" s="63" t="s">
        <v>167</v>
      </c>
      <c r="E82" s="65" t="s">
        <v>168</v>
      </c>
      <c r="F82" s="65" t="s">
        <v>166</v>
      </c>
      <c r="G82" s="65" t="s">
        <v>218</v>
      </c>
      <c r="H82" s="63">
        <v>71</v>
      </c>
      <c r="I82" s="65" t="s">
        <v>172</v>
      </c>
      <c r="J82" s="63">
        <v>2674</v>
      </c>
      <c r="K82" s="64">
        <v>702.46</v>
      </c>
      <c r="L82" s="63" t="s">
        <v>1769</v>
      </c>
      <c r="M82" t="s">
        <v>1117</v>
      </c>
      <c r="N82" s="65" t="str">
        <f>queryCARRADAS_20250905_83647[[#This Row],[ORIGEM]]&amp;queryCARRADAS_20250905_83647[[#This Row],[DESTINO]]&amp;queryCARRADAS_20250905_83647[[#This Row],[MATERIAL]]</f>
        <v>GRANORTEEXPOEMABICA CORRIDA</v>
      </c>
      <c r="O82" s="68" t="s">
        <v>164</v>
      </c>
    </row>
    <row r="83" spans="2:15" x14ac:dyDescent="0.25">
      <c r="B83" s="66">
        <v>45874</v>
      </c>
      <c r="C83" s="65">
        <v>1</v>
      </c>
      <c r="D83" s="63" t="s">
        <v>179</v>
      </c>
      <c r="E83" s="65" t="s">
        <v>214</v>
      </c>
      <c r="F83" s="65" t="s">
        <v>166</v>
      </c>
      <c r="G83" s="65" t="s">
        <v>164</v>
      </c>
      <c r="H83" s="63">
        <v>58</v>
      </c>
      <c r="I83" s="65" t="s">
        <v>165</v>
      </c>
      <c r="J83" s="63">
        <v>2478</v>
      </c>
      <c r="K83" s="64">
        <v>531.78</v>
      </c>
      <c r="L83" s="63" t="s">
        <v>1770</v>
      </c>
      <c r="M83" t="s">
        <v>1117</v>
      </c>
      <c r="N83" s="65" t="str">
        <f>queryCARRADAS_20250905_83647[[#This Row],[ORIGEM]]&amp;queryCARRADAS_20250905_83647[[#This Row],[DESTINO]]&amp;queryCARRADAS_20250905_83647[[#This Row],[MATERIAL]]</f>
        <v>GRANORTEUA SAO LUISPÓ DE BRITA</v>
      </c>
      <c r="O83" s="68" t="s">
        <v>164</v>
      </c>
    </row>
    <row r="84" spans="2:15" x14ac:dyDescent="0.25">
      <c r="B84" s="66">
        <v>45874</v>
      </c>
      <c r="C84" s="65">
        <v>1</v>
      </c>
      <c r="D84" s="63" t="s">
        <v>181</v>
      </c>
      <c r="E84" s="65" t="s">
        <v>182</v>
      </c>
      <c r="F84" s="65" t="s">
        <v>166</v>
      </c>
      <c r="G84" s="65" t="s">
        <v>218</v>
      </c>
      <c r="H84" s="63">
        <v>71</v>
      </c>
      <c r="I84" s="65" t="s">
        <v>172</v>
      </c>
      <c r="J84" s="63">
        <v>2702</v>
      </c>
      <c r="K84" s="64">
        <v>709.82</v>
      </c>
      <c r="L84" s="63" t="s">
        <v>1771</v>
      </c>
      <c r="M84" t="s">
        <v>1117</v>
      </c>
      <c r="N84" s="65" t="str">
        <f>queryCARRADAS_20250905_83647[[#This Row],[ORIGEM]]&amp;queryCARRADAS_20250905_83647[[#This Row],[DESTINO]]&amp;queryCARRADAS_20250905_83647[[#This Row],[MATERIAL]]</f>
        <v>GRANORTEEXPOEMABICA CORRIDA</v>
      </c>
      <c r="O84" s="68" t="s">
        <v>164</v>
      </c>
    </row>
    <row r="85" spans="2:15" x14ac:dyDescent="0.25">
      <c r="B85" s="66">
        <v>45874</v>
      </c>
      <c r="C85" s="65">
        <v>1</v>
      </c>
      <c r="D85" s="63" t="s">
        <v>170</v>
      </c>
      <c r="E85" s="65" t="s">
        <v>171</v>
      </c>
      <c r="F85" s="65" t="s">
        <v>166</v>
      </c>
      <c r="G85" s="65" t="s">
        <v>164</v>
      </c>
      <c r="H85" s="63">
        <v>58</v>
      </c>
      <c r="I85" s="65" t="s">
        <v>165</v>
      </c>
      <c r="J85" s="63">
        <v>2546</v>
      </c>
      <c r="K85" s="64">
        <v>546.37</v>
      </c>
      <c r="L85" s="63" t="s">
        <v>1772</v>
      </c>
      <c r="M85" t="s">
        <v>1117</v>
      </c>
      <c r="N85" s="65" t="str">
        <f>queryCARRADAS_20250905_83647[[#This Row],[ORIGEM]]&amp;queryCARRADAS_20250905_83647[[#This Row],[DESTINO]]&amp;queryCARRADAS_20250905_83647[[#This Row],[MATERIAL]]</f>
        <v>GRANORTEUA SAO LUISPÓ DE BRITA</v>
      </c>
      <c r="O85" s="68" t="s">
        <v>164</v>
      </c>
    </row>
    <row r="86" spans="2:15" x14ac:dyDescent="0.25">
      <c r="B86" s="66">
        <v>45874</v>
      </c>
      <c r="C86" s="65">
        <v>1</v>
      </c>
      <c r="D86" s="63" t="s">
        <v>167</v>
      </c>
      <c r="E86" s="65" t="s">
        <v>168</v>
      </c>
      <c r="F86" s="65" t="s">
        <v>166</v>
      </c>
      <c r="G86" s="65" t="s">
        <v>218</v>
      </c>
      <c r="H86" s="63">
        <v>71</v>
      </c>
      <c r="I86" s="65" t="s">
        <v>172</v>
      </c>
      <c r="J86" s="63">
        <v>251</v>
      </c>
      <c r="K86" s="64">
        <v>659.38</v>
      </c>
      <c r="L86" s="63" t="s">
        <v>1773</v>
      </c>
      <c r="M86" t="s">
        <v>1117</v>
      </c>
      <c r="N86" s="65" t="str">
        <f>queryCARRADAS_20250905_83647[[#This Row],[ORIGEM]]&amp;queryCARRADAS_20250905_83647[[#This Row],[DESTINO]]&amp;queryCARRADAS_20250905_83647[[#This Row],[MATERIAL]]</f>
        <v>GRANORTEEXPOEMABICA CORRIDA</v>
      </c>
      <c r="O86" s="68" t="s">
        <v>164</v>
      </c>
    </row>
    <row r="87" spans="2:15" x14ac:dyDescent="0.25">
      <c r="B87" s="66">
        <v>45874</v>
      </c>
      <c r="C87" s="65">
        <v>1</v>
      </c>
      <c r="D87" s="63" t="s">
        <v>173</v>
      </c>
      <c r="E87" s="65" t="s">
        <v>174</v>
      </c>
      <c r="F87" s="65" t="s">
        <v>166</v>
      </c>
      <c r="G87" s="65" t="s">
        <v>218</v>
      </c>
      <c r="H87" s="63">
        <v>71</v>
      </c>
      <c r="I87" s="65" t="s">
        <v>216</v>
      </c>
      <c r="J87" s="63">
        <v>2836</v>
      </c>
      <c r="K87" s="64">
        <v>745.02</v>
      </c>
      <c r="L87" s="63" t="s">
        <v>1774</v>
      </c>
      <c r="M87" t="s">
        <v>1117</v>
      </c>
      <c r="N87" s="65" t="str">
        <f>queryCARRADAS_20250905_83647[[#This Row],[ORIGEM]]&amp;queryCARRADAS_20250905_83647[[#This Row],[DESTINO]]&amp;queryCARRADAS_20250905_83647[[#This Row],[MATERIAL]]</f>
        <v>GRANORTEEXPOEMABRITA 3</v>
      </c>
      <c r="O87" s="68" t="s">
        <v>164</v>
      </c>
    </row>
    <row r="88" spans="2:15" x14ac:dyDescent="0.25">
      <c r="B88" s="66">
        <v>45874</v>
      </c>
      <c r="C88" s="65">
        <v>1</v>
      </c>
      <c r="D88" s="63" t="s">
        <v>181</v>
      </c>
      <c r="E88" s="65" t="s">
        <v>182</v>
      </c>
      <c r="F88" s="65" t="s">
        <v>166</v>
      </c>
      <c r="G88" s="65" t="s">
        <v>218</v>
      </c>
      <c r="H88" s="63">
        <v>71</v>
      </c>
      <c r="I88" s="65" t="s">
        <v>172</v>
      </c>
      <c r="J88" s="63">
        <v>2584</v>
      </c>
      <c r="K88" s="64">
        <v>678.82</v>
      </c>
      <c r="L88" s="63" t="s">
        <v>1775</v>
      </c>
      <c r="M88" t="s">
        <v>1117</v>
      </c>
      <c r="N88" s="65" t="str">
        <f>queryCARRADAS_20250905_83647[[#This Row],[ORIGEM]]&amp;queryCARRADAS_20250905_83647[[#This Row],[DESTINO]]&amp;queryCARRADAS_20250905_83647[[#This Row],[MATERIAL]]</f>
        <v>GRANORTEEXPOEMABICA CORRIDA</v>
      </c>
      <c r="O88" s="68" t="s">
        <v>164</v>
      </c>
    </row>
    <row r="89" spans="2:15" x14ac:dyDescent="0.25">
      <c r="B89" s="66">
        <v>45874</v>
      </c>
      <c r="C89" s="65">
        <v>1</v>
      </c>
      <c r="D89" s="63" t="s">
        <v>170</v>
      </c>
      <c r="E89" s="65" t="s">
        <v>171</v>
      </c>
      <c r="F89" s="65" t="s">
        <v>166</v>
      </c>
      <c r="G89" s="65" t="s">
        <v>164</v>
      </c>
      <c r="H89" s="63">
        <v>58</v>
      </c>
      <c r="I89" s="65" t="s">
        <v>165</v>
      </c>
      <c r="J89" s="63">
        <v>2646</v>
      </c>
      <c r="K89" s="64">
        <v>567.83000000000004</v>
      </c>
      <c r="L89" s="63" t="s">
        <v>1776</v>
      </c>
      <c r="M89" t="s">
        <v>1117</v>
      </c>
      <c r="N89" s="65" t="str">
        <f>queryCARRADAS_20250905_83647[[#This Row],[ORIGEM]]&amp;queryCARRADAS_20250905_83647[[#This Row],[DESTINO]]&amp;queryCARRADAS_20250905_83647[[#This Row],[MATERIAL]]</f>
        <v>GRANORTEUA SAO LUISPÓ DE BRITA</v>
      </c>
      <c r="O89" s="68" t="s">
        <v>164</v>
      </c>
    </row>
    <row r="90" spans="2:15" x14ac:dyDescent="0.25">
      <c r="B90" s="66">
        <v>45874</v>
      </c>
      <c r="C90" s="65">
        <v>1</v>
      </c>
      <c r="D90" s="63" t="s">
        <v>173</v>
      </c>
      <c r="E90" s="65" t="s">
        <v>174</v>
      </c>
      <c r="F90" s="65" t="s">
        <v>166</v>
      </c>
      <c r="G90" s="65" t="s">
        <v>218</v>
      </c>
      <c r="H90" s="63">
        <v>71</v>
      </c>
      <c r="I90" s="65" t="s">
        <v>172</v>
      </c>
      <c r="J90" s="63">
        <v>2586</v>
      </c>
      <c r="K90" s="64">
        <v>679.34</v>
      </c>
      <c r="L90" s="63" t="s">
        <v>1777</v>
      </c>
      <c r="M90" t="s">
        <v>1117</v>
      </c>
      <c r="N90" s="65" t="str">
        <f>queryCARRADAS_20250905_83647[[#This Row],[ORIGEM]]&amp;queryCARRADAS_20250905_83647[[#This Row],[DESTINO]]&amp;queryCARRADAS_20250905_83647[[#This Row],[MATERIAL]]</f>
        <v>GRANORTEEXPOEMABICA CORRIDA</v>
      </c>
      <c r="O90" s="68" t="s">
        <v>191</v>
      </c>
    </row>
    <row r="91" spans="2:15" x14ac:dyDescent="0.25">
      <c r="B91" s="66">
        <v>45874</v>
      </c>
      <c r="C91" s="65">
        <v>1</v>
      </c>
      <c r="D91" s="63" t="s">
        <v>173</v>
      </c>
      <c r="E91" s="65" t="s">
        <v>174</v>
      </c>
      <c r="F91" s="65" t="s">
        <v>166</v>
      </c>
      <c r="G91" s="65" t="s">
        <v>218</v>
      </c>
      <c r="H91" s="63">
        <v>71</v>
      </c>
      <c r="I91" s="65" t="s">
        <v>172</v>
      </c>
      <c r="J91" s="63">
        <v>2494</v>
      </c>
      <c r="K91" s="64">
        <v>655.16999999999996</v>
      </c>
      <c r="L91" s="63" t="s">
        <v>1778</v>
      </c>
      <c r="M91" t="s">
        <v>1117</v>
      </c>
      <c r="N91" s="65" t="str">
        <f>queryCARRADAS_20250905_83647[[#This Row],[ORIGEM]]&amp;queryCARRADAS_20250905_83647[[#This Row],[DESTINO]]&amp;queryCARRADAS_20250905_83647[[#This Row],[MATERIAL]]</f>
        <v>GRANORTEEXPOEMABICA CORRIDA</v>
      </c>
      <c r="O91" s="68" t="s">
        <v>164</v>
      </c>
    </row>
    <row r="92" spans="2:15" x14ac:dyDescent="0.25">
      <c r="B92" s="66">
        <v>45874</v>
      </c>
      <c r="C92" s="65">
        <v>1</v>
      </c>
      <c r="D92" s="63" t="s">
        <v>275</v>
      </c>
      <c r="E92" s="65" t="s">
        <v>217</v>
      </c>
      <c r="F92" s="65" t="s">
        <v>190</v>
      </c>
      <c r="G92" s="65" t="s">
        <v>212</v>
      </c>
      <c r="H92" s="63">
        <v>376</v>
      </c>
      <c r="I92" s="65" t="s">
        <v>165</v>
      </c>
      <c r="J92" s="63">
        <v>4545</v>
      </c>
      <c r="K92" s="64">
        <v>5468.54</v>
      </c>
      <c r="L92" s="63" t="s">
        <v>1779</v>
      </c>
      <c r="M92" t="s">
        <v>1117</v>
      </c>
      <c r="N92" s="65" t="str">
        <f>queryCARRADAS_20250905_83647[[#This Row],[ORIGEM]]&amp;queryCARRADAS_20250905_83647[[#This Row],[DESTINO]]&amp;queryCARRADAS_20250905_83647[[#This Row],[MATERIAL]]</f>
        <v>SERVENGUSINA PINHEIROPÓ DE BRITA</v>
      </c>
      <c r="O92" s="68" t="s">
        <v>164</v>
      </c>
    </row>
    <row r="93" spans="2:15" x14ac:dyDescent="0.25">
      <c r="B93" s="66">
        <v>45874</v>
      </c>
      <c r="C93" s="65">
        <v>1</v>
      </c>
      <c r="D93" s="63" t="s">
        <v>179</v>
      </c>
      <c r="E93" s="65" t="s">
        <v>214</v>
      </c>
      <c r="F93" s="65" t="s">
        <v>166</v>
      </c>
      <c r="G93" s="65" t="s">
        <v>218</v>
      </c>
      <c r="H93" s="63">
        <v>71</v>
      </c>
      <c r="I93" s="65" t="s">
        <v>172</v>
      </c>
      <c r="J93" s="63">
        <v>2568</v>
      </c>
      <c r="K93" s="64">
        <v>674.61</v>
      </c>
      <c r="L93" s="63" t="s">
        <v>1780</v>
      </c>
      <c r="M93" t="s">
        <v>1117</v>
      </c>
      <c r="N93" s="65" t="str">
        <f>queryCARRADAS_20250905_83647[[#This Row],[ORIGEM]]&amp;queryCARRADAS_20250905_83647[[#This Row],[DESTINO]]&amp;queryCARRADAS_20250905_83647[[#This Row],[MATERIAL]]</f>
        <v>GRANORTEEXPOEMABICA CORRIDA</v>
      </c>
      <c r="O93" s="68" t="s">
        <v>164</v>
      </c>
    </row>
    <row r="94" spans="2:15" x14ac:dyDescent="0.25">
      <c r="B94" s="66">
        <v>45874</v>
      </c>
      <c r="C94" s="65">
        <v>1</v>
      </c>
      <c r="D94" s="63" t="s">
        <v>167</v>
      </c>
      <c r="E94" s="65" t="s">
        <v>168</v>
      </c>
      <c r="F94" s="65" t="s">
        <v>166</v>
      </c>
      <c r="G94" s="65" t="s">
        <v>218</v>
      </c>
      <c r="H94" s="63">
        <v>71</v>
      </c>
      <c r="I94" s="65" t="s">
        <v>172</v>
      </c>
      <c r="J94" s="63">
        <v>266</v>
      </c>
      <c r="K94" s="64">
        <v>698.78</v>
      </c>
      <c r="L94" s="63" t="s">
        <v>1781</v>
      </c>
      <c r="M94" t="s">
        <v>1117</v>
      </c>
      <c r="N94" s="65" t="str">
        <f>queryCARRADAS_20250905_83647[[#This Row],[ORIGEM]]&amp;queryCARRADAS_20250905_83647[[#This Row],[DESTINO]]&amp;queryCARRADAS_20250905_83647[[#This Row],[MATERIAL]]</f>
        <v>GRANORTEEXPOEMABICA CORRIDA</v>
      </c>
      <c r="O94" s="68" t="s">
        <v>111</v>
      </c>
    </row>
    <row r="95" spans="2:15" x14ac:dyDescent="0.25">
      <c r="B95" s="66">
        <v>45874</v>
      </c>
      <c r="C95" s="65">
        <v>1</v>
      </c>
      <c r="D95" s="63" t="s">
        <v>181</v>
      </c>
      <c r="E95" s="65" t="s">
        <v>182</v>
      </c>
      <c r="F95" s="65" t="s">
        <v>166</v>
      </c>
      <c r="G95" s="65" t="s">
        <v>218</v>
      </c>
      <c r="H95" s="63">
        <v>71</v>
      </c>
      <c r="I95" s="65" t="s">
        <v>172</v>
      </c>
      <c r="J95" s="63">
        <v>2662</v>
      </c>
      <c r="K95" s="64">
        <v>699.31</v>
      </c>
      <c r="L95" s="63" t="s">
        <v>1782</v>
      </c>
      <c r="M95" t="s">
        <v>1117</v>
      </c>
      <c r="N95" s="65" t="str">
        <f>queryCARRADAS_20250905_83647[[#This Row],[ORIGEM]]&amp;queryCARRADAS_20250905_83647[[#This Row],[DESTINO]]&amp;queryCARRADAS_20250905_83647[[#This Row],[MATERIAL]]</f>
        <v>GRANORTEEXPOEMABICA CORRIDA</v>
      </c>
      <c r="O95" s="68" t="s">
        <v>164</v>
      </c>
    </row>
    <row r="96" spans="2:15" x14ac:dyDescent="0.25">
      <c r="B96" s="66">
        <v>45874</v>
      </c>
      <c r="C96" s="65">
        <v>1</v>
      </c>
      <c r="D96" s="63" t="s">
        <v>173</v>
      </c>
      <c r="E96" s="65" t="s">
        <v>174</v>
      </c>
      <c r="F96" s="65" t="s">
        <v>166</v>
      </c>
      <c r="G96" s="65" t="s">
        <v>218</v>
      </c>
      <c r="H96" s="63">
        <v>71</v>
      </c>
      <c r="I96" s="65" t="s">
        <v>216</v>
      </c>
      <c r="J96" s="63">
        <v>2766</v>
      </c>
      <c r="K96" s="64">
        <v>726.63</v>
      </c>
      <c r="L96" s="63" t="s">
        <v>1783</v>
      </c>
      <c r="M96" t="s">
        <v>1117</v>
      </c>
      <c r="N96" s="65" t="str">
        <f>queryCARRADAS_20250905_83647[[#This Row],[ORIGEM]]&amp;queryCARRADAS_20250905_83647[[#This Row],[DESTINO]]&amp;queryCARRADAS_20250905_83647[[#This Row],[MATERIAL]]</f>
        <v>GRANORTEEXPOEMABRITA 3</v>
      </c>
      <c r="O96" s="68" t="s">
        <v>164</v>
      </c>
    </row>
    <row r="97" spans="2:15" x14ac:dyDescent="0.25">
      <c r="B97" s="66">
        <v>45874</v>
      </c>
      <c r="C97" s="65">
        <v>1</v>
      </c>
      <c r="D97" s="63" t="s">
        <v>1127</v>
      </c>
      <c r="E97" s="65" t="s">
        <v>178</v>
      </c>
      <c r="F97" s="65" t="s">
        <v>166</v>
      </c>
      <c r="G97" s="65" t="s">
        <v>218</v>
      </c>
      <c r="H97" s="63">
        <v>71</v>
      </c>
      <c r="I97" s="65" t="s">
        <v>172</v>
      </c>
      <c r="J97" s="63">
        <v>2692</v>
      </c>
      <c r="K97" s="64">
        <v>707.19</v>
      </c>
      <c r="L97" s="63" t="s">
        <v>1784</v>
      </c>
      <c r="M97" t="s">
        <v>1117</v>
      </c>
      <c r="N97" s="65" t="str">
        <f>queryCARRADAS_20250905_83647[[#This Row],[ORIGEM]]&amp;queryCARRADAS_20250905_83647[[#This Row],[DESTINO]]&amp;queryCARRADAS_20250905_83647[[#This Row],[MATERIAL]]</f>
        <v>GRANORTEEXPOEMABICA CORRIDA</v>
      </c>
      <c r="O97" s="68" t="s">
        <v>164</v>
      </c>
    </row>
    <row r="98" spans="2:15" x14ac:dyDescent="0.25">
      <c r="B98" s="66">
        <v>45874</v>
      </c>
      <c r="C98" s="65">
        <v>1</v>
      </c>
      <c r="D98" s="63" t="s">
        <v>170</v>
      </c>
      <c r="E98" s="65" t="s">
        <v>171</v>
      </c>
      <c r="F98" s="65" t="s">
        <v>166</v>
      </c>
      <c r="G98" s="65" t="s">
        <v>218</v>
      </c>
      <c r="H98" s="63">
        <v>71</v>
      </c>
      <c r="I98" s="65" t="s">
        <v>172</v>
      </c>
      <c r="J98" s="63">
        <v>2524</v>
      </c>
      <c r="K98" s="64">
        <v>663.05</v>
      </c>
      <c r="L98" s="63" t="s">
        <v>1785</v>
      </c>
      <c r="M98" t="s">
        <v>1117</v>
      </c>
      <c r="N98" s="65" t="str">
        <f>queryCARRADAS_20250905_83647[[#This Row],[ORIGEM]]&amp;queryCARRADAS_20250905_83647[[#This Row],[DESTINO]]&amp;queryCARRADAS_20250905_83647[[#This Row],[MATERIAL]]</f>
        <v>GRANORTEEXPOEMABICA CORRIDA</v>
      </c>
      <c r="O98" s="68" t="s">
        <v>164</v>
      </c>
    </row>
    <row r="99" spans="2:15" x14ac:dyDescent="0.25">
      <c r="B99" s="66">
        <v>45874</v>
      </c>
      <c r="C99" s="65">
        <v>1</v>
      </c>
      <c r="D99" s="63" t="s">
        <v>210</v>
      </c>
      <c r="E99" s="65" t="s">
        <v>211</v>
      </c>
      <c r="F99" s="65" t="s">
        <v>190</v>
      </c>
      <c r="G99" s="65" t="s">
        <v>212</v>
      </c>
      <c r="H99" s="63">
        <v>376</v>
      </c>
      <c r="I99" s="65" t="s">
        <v>165</v>
      </c>
      <c r="J99" s="63">
        <v>46068</v>
      </c>
      <c r="K99" s="64">
        <v>5542.9</v>
      </c>
      <c r="L99" s="63" t="s">
        <v>1786</v>
      </c>
      <c r="M99" t="s">
        <v>1117</v>
      </c>
      <c r="N99" s="65" t="str">
        <f>queryCARRADAS_20250905_83647[[#This Row],[ORIGEM]]&amp;queryCARRADAS_20250905_83647[[#This Row],[DESTINO]]&amp;queryCARRADAS_20250905_83647[[#This Row],[MATERIAL]]</f>
        <v>SERVENGUSINA PINHEIROPÓ DE BRITA</v>
      </c>
      <c r="O99" s="68" t="s">
        <v>164</v>
      </c>
    </row>
    <row r="100" spans="2:15" x14ac:dyDescent="0.25">
      <c r="B100" s="66">
        <v>45874</v>
      </c>
      <c r="C100" s="65">
        <v>1</v>
      </c>
      <c r="D100" s="63" t="s">
        <v>196</v>
      </c>
      <c r="E100" s="65" t="s">
        <v>197</v>
      </c>
      <c r="F100" s="65" t="s">
        <v>190</v>
      </c>
      <c r="G100" s="65" t="s">
        <v>198</v>
      </c>
      <c r="H100" s="63">
        <v>70</v>
      </c>
      <c r="I100" s="65" t="s">
        <v>165</v>
      </c>
      <c r="J100" s="63">
        <v>5074</v>
      </c>
      <c r="K100" s="64">
        <v>1314.17</v>
      </c>
      <c r="L100" s="63" t="s">
        <v>1787</v>
      </c>
      <c r="M100" t="s">
        <v>1788</v>
      </c>
      <c r="N100" s="65" t="str">
        <f>queryCARRADAS_20250905_83647[[#This Row],[ORIGEM]]&amp;queryCARRADAS_20250905_83647[[#This Row],[DESTINO]]&amp;queryCARRADAS_20250905_83647[[#This Row],[MATERIAL]]</f>
        <v>SERVENGUSINA SAO LUISPÓ DE BRITA</v>
      </c>
      <c r="O100" s="68" t="s">
        <v>164</v>
      </c>
    </row>
    <row r="101" spans="2:15" x14ac:dyDescent="0.25">
      <c r="B101" s="66">
        <v>45874</v>
      </c>
      <c r="C101" s="65">
        <v>1</v>
      </c>
      <c r="D101" s="63" t="s">
        <v>179</v>
      </c>
      <c r="E101" s="65" t="s">
        <v>214</v>
      </c>
      <c r="F101" s="65" t="s">
        <v>166</v>
      </c>
      <c r="G101" s="65" t="s">
        <v>218</v>
      </c>
      <c r="H101" s="63">
        <v>71</v>
      </c>
      <c r="I101" s="65" t="s">
        <v>172</v>
      </c>
      <c r="J101" s="63">
        <v>2622</v>
      </c>
      <c r="K101" s="64">
        <v>688.8</v>
      </c>
      <c r="L101" s="63" t="s">
        <v>1789</v>
      </c>
      <c r="M101" t="s">
        <v>1117</v>
      </c>
      <c r="N101" s="65" t="str">
        <f>queryCARRADAS_20250905_83647[[#This Row],[ORIGEM]]&amp;queryCARRADAS_20250905_83647[[#This Row],[DESTINO]]&amp;queryCARRADAS_20250905_83647[[#This Row],[MATERIAL]]</f>
        <v>GRANORTEEXPOEMABICA CORRIDA</v>
      </c>
      <c r="O101" s="68" t="s">
        <v>164</v>
      </c>
    </row>
    <row r="102" spans="2:15" x14ac:dyDescent="0.25">
      <c r="B102" s="66">
        <v>45874</v>
      </c>
      <c r="C102" s="65">
        <v>1</v>
      </c>
      <c r="D102" s="63" t="s">
        <v>1127</v>
      </c>
      <c r="E102" s="65" t="s">
        <v>178</v>
      </c>
      <c r="F102" s="65" t="s">
        <v>166</v>
      </c>
      <c r="G102" s="65" t="s">
        <v>164</v>
      </c>
      <c r="H102" s="63">
        <v>58</v>
      </c>
      <c r="I102" s="65" t="s">
        <v>165</v>
      </c>
      <c r="J102" s="63">
        <v>273</v>
      </c>
      <c r="K102" s="64">
        <v>585.86</v>
      </c>
      <c r="L102" s="63" t="s">
        <v>1790</v>
      </c>
      <c r="M102" t="s">
        <v>1117</v>
      </c>
      <c r="N102" s="65" t="str">
        <f>queryCARRADAS_20250905_83647[[#This Row],[ORIGEM]]&amp;queryCARRADAS_20250905_83647[[#This Row],[DESTINO]]&amp;queryCARRADAS_20250905_83647[[#This Row],[MATERIAL]]</f>
        <v>GRANORTEUA SAO LUISPÓ DE BRITA</v>
      </c>
      <c r="O102" s="68" t="s">
        <v>164</v>
      </c>
    </row>
    <row r="103" spans="2:15" x14ac:dyDescent="0.25">
      <c r="B103" s="66">
        <v>45874</v>
      </c>
      <c r="C103" s="65">
        <v>1</v>
      </c>
      <c r="D103" s="63" t="s">
        <v>1127</v>
      </c>
      <c r="E103" s="65" t="s">
        <v>178</v>
      </c>
      <c r="F103" s="65" t="s">
        <v>166</v>
      </c>
      <c r="G103" s="65" t="s">
        <v>218</v>
      </c>
      <c r="H103" s="63">
        <v>71</v>
      </c>
      <c r="I103" s="65" t="s">
        <v>172</v>
      </c>
      <c r="J103" s="63">
        <v>2708</v>
      </c>
      <c r="K103" s="64">
        <v>711.39</v>
      </c>
      <c r="L103" s="63" t="s">
        <v>1791</v>
      </c>
      <c r="M103" t="s">
        <v>1117</v>
      </c>
      <c r="N103" s="65" t="str">
        <f>queryCARRADAS_20250905_83647[[#This Row],[ORIGEM]]&amp;queryCARRADAS_20250905_83647[[#This Row],[DESTINO]]&amp;queryCARRADAS_20250905_83647[[#This Row],[MATERIAL]]</f>
        <v>GRANORTEEXPOEMABICA CORRIDA</v>
      </c>
      <c r="O103" s="68" t="s">
        <v>164</v>
      </c>
    </row>
    <row r="104" spans="2:15" x14ac:dyDescent="0.25">
      <c r="B104" s="66">
        <v>45874</v>
      </c>
      <c r="C104" s="65">
        <v>1</v>
      </c>
      <c r="D104" s="63" t="s">
        <v>173</v>
      </c>
      <c r="E104" s="65" t="s">
        <v>174</v>
      </c>
      <c r="F104" s="65" t="s">
        <v>166</v>
      </c>
      <c r="G104" s="65" t="s">
        <v>218</v>
      </c>
      <c r="H104" s="63">
        <v>71</v>
      </c>
      <c r="I104" s="65" t="s">
        <v>216</v>
      </c>
      <c r="J104" s="63">
        <v>2796</v>
      </c>
      <c r="K104" s="64">
        <v>734.51</v>
      </c>
      <c r="L104" s="63" t="s">
        <v>1792</v>
      </c>
      <c r="M104" t="s">
        <v>1117</v>
      </c>
      <c r="N104" s="65" t="str">
        <f>queryCARRADAS_20250905_83647[[#This Row],[ORIGEM]]&amp;queryCARRADAS_20250905_83647[[#This Row],[DESTINO]]&amp;queryCARRADAS_20250905_83647[[#This Row],[MATERIAL]]</f>
        <v>GRANORTEEXPOEMABRITA 3</v>
      </c>
      <c r="O104" s="68" t="s">
        <v>164</v>
      </c>
    </row>
    <row r="105" spans="2:15" x14ac:dyDescent="0.25">
      <c r="B105" s="66">
        <v>45874</v>
      </c>
      <c r="C105" s="65">
        <v>1</v>
      </c>
      <c r="D105" s="63" t="s">
        <v>199</v>
      </c>
      <c r="E105" s="65" t="s">
        <v>215</v>
      </c>
      <c r="F105" s="65" t="s">
        <v>166</v>
      </c>
      <c r="G105" s="65" t="s">
        <v>218</v>
      </c>
      <c r="H105" s="63">
        <v>71</v>
      </c>
      <c r="I105" s="65" t="s">
        <v>172</v>
      </c>
      <c r="J105" s="63">
        <v>273</v>
      </c>
      <c r="K105" s="64">
        <v>717.17</v>
      </c>
      <c r="L105" s="63" t="s">
        <v>1793</v>
      </c>
      <c r="M105" t="s">
        <v>1794</v>
      </c>
      <c r="N105" s="65" t="str">
        <f>queryCARRADAS_20250905_83647[[#This Row],[ORIGEM]]&amp;queryCARRADAS_20250905_83647[[#This Row],[DESTINO]]&amp;queryCARRADAS_20250905_83647[[#This Row],[MATERIAL]]</f>
        <v>GRANORTEEXPOEMABICA CORRIDA</v>
      </c>
      <c r="O105" s="68" t="s">
        <v>164</v>
      </c>
    </row>
    <row r="106" spans="2:15" x14ac:dyDescent="0.25">
      <c r="B106" s="66">
        <v>45874</v>
      </c>
      <c r="C106" s="65">
        <v>1</v>
      </c>
      <c r="D106" s="63" t="s">
        <v>199</v>
      </c>
      <c r="E106" s="65" t="s">
        <v>215</v>
      </c>
      <c r="F106" s="65" t="s">
        <v>166</v>
      </c>
      <c r="G106" s="65" t="s">
        <v>218</v>
      </c>
      <c r="H106" s="63">
        <v>71</v>
      </c>
      <c r="I106" s="65" t="s">
        <v>216</v>
      </c>
      <c r="J106" s="63">
        <v>2834</v>
      </c>
      <c r="K106" s="64">
        <v>744.49</v>
      </c>
      <c r="L106" s="63" t="s">
        <v>1795</v>
      </c>
      <c r="M106" t="s">
        <v>1796</v>
      </c>
      <c r="N106" s="65" t="str">
        <f>queryCARRADAS_20250905_83647[[#This Row],[ORIGEM]]&amp;queryCARRADAS_20250905_83647[[#This Row],[DESTINO]]&amp;queryCARRADAS_20250905_83647[[#This Row],[MATERIAL]]</f>
        <v>GRANORTEEXPOEMABRITA 3</v>
      </c>
      <c r="O106" s="68" t="s">
        <v>164</v>
      </c>
    </row>
    <row r="107" spans="2:15" x14ac:dyDescent="0.25">
      <c r="B107" s="66">
        <v>45874</v>
      </c>
      <c r="C107" s="65">
        <v>1</v>
      </c>
      <c r="D107" s="63" t="s">
        <v>202</v>
      </c>
      <c r="E107" s="65" t="s">
        <v>1153</v>
      </c>
      <c r="F107" s="65" t="s">
        <v>190</v>
      </c>
      <c r="G107" s="65" t="s">
        <v>191</v>
      </c>
      <c r="H107" s="63">
        <v>217</v>
      </c>
      <c r="I107" s="65" t="s">
        <v>165</v>
      </c>
      <c r="J107" s="63">
        <v>5216</v>
      </c>
      <c r="K107" s="64">
        <v>4187.93</v>
      </c>
      <c r="L107" s="63" t="s">
        <v>1797</v>
      </c>
      <c r="M107" t="s">
        <v>1117</v>
      </c>
      <c r="N107" s="65" t="str">
        <f>queryCARRADAS_20250905_83647[[#This Row],[ORIGEM]]&amp;queryCARRADAS_20250905_83647[[#This Row],[DESTINO]]&amp;queryCARRADAS_20250905_83647[[#This Row],[MATERIAL]]</f>
        <v>SERVENGOLINDA NOVA - MAPÓ DE BRITA</v>
      </c>
      <c r="O107" s="68" t="s">
        <v>164</v>
      </c>
    </row>
    <row r="108" spans="2:15" x14ac:dyDescent="0.25">
      <c r="B108" s="66">
        <v>45874</v>
      </c>
      <c r="C108" s="65">
        <v>1</v>
      </c>
      <c r="D108" s="63" t="s">
        <v>176</v>
      </c>
      <c r="E108" s="65" t="s">
        <v>177</v>
      </c>
      <c r="F108" s="65" t="s">
        <v>190</v>
      </c>
      <c r="G108" s="65" t="s">
        <v>212</v>
      </c>
      <c r="H108" s="63">
        <v>376</v>
      </c>
      <c r="I108" s="65" t="s">
        <v>165</v>
      </c>
      <c r="J108" s="63">
        <v>47254</v>
      </c>
      <c r="K108" s="64">
        <v>5685.6</v>
      </c>
      <c r="L108" s="63" t="s">
        <v>1798</v>
      </c>
      <c r="M108" t="s">
        <v>1117</v>
      </c>
      <c r="N108" s="65" t="str">
        <f>queryCARRADAS_20250905_83647[[#This Row],[ORIGEM]]&amp;queryCARRADAS_20250905_83647[[#This Row],[DESTINO]]&amp;queryCARRADAS_20250905_83647[[#This Row],[MATERIAL]]</f>
        <v>SERVENGUSINA PINHEIROPÓ DE BRITA</v>
      </c>
      <c r="O108" s="68" t="s">
        <v>164</v>
      </c>
    </row>
    <row r="109" spans="2:15" x14ac:dyDescent="0.25">
      <c r="B109" s="66">
        <v>45874</v>
      </c>
      <c r="C109" s="65">
        <v>1</v>
      </c>
      <c r="D109" s="63" t="s">
        <v>183</v>
      </c>
      <c r="E109" s="65" t="s">
        <v>184</v>
      </c>
      <c r="F109" s="65" t="s">
        <v>166</v>
      </c>
      <c r="G109" s="65" t="s">
        <v>164</v>
      </c>
      <c r="H109" s="63">
        <v>58</v>
      </c>
      <c r="I109" s="65" t="s">
        <v>165</v>
      </c>
      <c r="J109" s="63">
        <v>3046</v>
      </c>
      <c r="K109" s="64">
        <v>653.66999999999996</v>
      </c>
      <c r="L109" s="63" t="s">
        <v>1799</v>
      </c>
      <c r="M109" t="s">
        <v>1117</v>
      </c>
      <c r="N109" s="65" t="str">
        <f>queryCARRADAS_20250905_83647[[#This Row],[ORIGEM]]&amp;queryCARRADAS_20250905_83647[[#This Row],[DESTINO]]&amp;queryCARRADAS_20250905_83647[[#This Row],[MATERIAL]]</f>
        <v>GRANORTEUA SAO LUISPÓ DE BRITA</v>
      </c>
      <c r="O109" s="68" t="s">
        <v>164</v>
      </c>
    </row>
    <row r="110" spans="2:15" x14ac:dyDescent="0.25">
      <c r="B110" s="66">
        <v>45874</v>
      </c>
      <c r="C110" s="65">
        <v>1</v>
      </c>
      <c r="D110" s="63" t="s">
        <v>1129</v>
      </c>
      <c r="E110" s="65" t="s">
        <v>1130</v>
      </c>
      <c r="F110" s="65" t="s">
        <v>1131</v>
      </c>
      <c r="G110" s="65" t="s">
        <v>1132</v>
      </c>
      <c r="H110" s="63">
        <v>69</v>
      </c>
      <c r="I110" s="65" t="s">
        <v>175</v>
      </c>
      <c r="J110" s="63">
        <v>3433</v>
      </c>
      <c r="K110" s="64">
        <v>876.44</v>
      </c>
      <c r="L110" s="63" t="s">
        <v>1800</v>
      </c>
      <c r="M110" t="s">
        <v>1117</v>
      </c>
      <c r="N110" s="65" t="str">
        <f>queryCARRADAS_20250905_83647[[#This Row],[ORIGEM]]&amp;queryCARRADAS_20250905_83647[[#This Row],[DESTINO]]&amp;queryCARRADAS_20250905_83647[[#This Row],[MATERIAL]]</f>
        <v>MINERACAO OURO PRETO - COLINAS/MAMIRADOR- MABRITA 0</v>
      </c>
      <c r="O110" s="68" t="s">
        <v>164</v>
      </c>
    </row>
    <row r="111" spans="2:15" x14ac:dyDescent="0.25">
      <c r="B111" s="66">
        <v>45874</v>
      </c>
      <c r="C111" s="65">
        <v>1</v>
      </c>
      <c r="D111" s="63" t="s">
        <v>193</v>
      </c>
      <c r="E111" s="65" t="s">
        <v>194</v>
      </c>
      <c r="F111" s="65" t="s">
        <v>166</v>
      </c>
      <c r="G111" s="65" t="s">
        <v>218</v>
      </c>
      <c r="H111" s="63">
        <v>71</v>
      </c>
      <c r="I111" s="65" t="s">
        <v>216</v>
      </c>
      <c r="J111" s="63">
        <v>2616</v>
      </c>
      <c r="K111" s="64">
        <v>687.22</v>
      </c>
      <c r="L111" s="63" t="s">
        <v>1801</v>
      </c>
      <c r="M111" t="s">
        <v>1117</v>
      </c>
      <c r="N111" s="65" t="str">
        <f>queryCARRADAS_20250905_83647[[#This Row],[ORIGEM]]&amp;queryCARRADAS_20250905_83647[[#This Row],[DESTINO]]&amp;queryCARRADAS_20250905_83647[[#This Row],[MATERIAL]]</f>
        <v>GRANORTEEXPOEMABRITA 3</v>
      </c>
      <c r="O111" s="68" t="s">
        <v>111</v>
      </c>
    </row>
    <row r="112" spans="2:15" x14ac:dyDescent="0.25">
      <c r="B112" s="66">
        <v>45874</v>
      </c>
      <c r="C112" s="65">
        <v>1</v>
      </c>
      <c r="D112" s="63" t="s">
        <v>219</v>
      </c>
      <c r="E112" s="65" t="s">
        <v>220</v>
      </c>
      <c r="F112" s="65" t="s">
        <v>190</v>
      </c>
      <c r="G112" s="65" t="s">
        <v>191</v>
      </c>
      <c r="H112" s="63">
        <v>217</v>
      </c>
      <c r="I112" s="65" t="s">
        <v>165</v>
      </c>
      <c r="J112" s="63">
        <v>348</v>
      </c>
      <c r="K112" s="64">
        <v>2416.5100000000002</v>
      </c>
      <c r="L112" s="63" t="s">
        <v>1802</v>
      </c>
      <c r="M112" t="s">
        <v>1117</v>
      </c>
      <c r="N112" s="65" t="str">
        <f>queryCARRADAS_20250905_83647[[#This Row],[ORIGEM]]&amp;queryCARRADAS_20250905_83647[[#This Row],[DESTINO]]&amp;queryCARRADAS_20250905_83647[[#This Row],[MATERIAL]]</f>
        <v>SERVENGOLINDA NOVA - MAPÓ DE BRITA</v>
      </c>
      <c r="O112" s="68" t="s">
        <v>164</v>
      </c>
    </row>
    <row r="113" spans="2:15" x14ac:dyDescent="0.25">
      <c r="B113" s="66">
        <v>45874</v>
      </c>
      <c r="C113" s="65">
        <v>1</v>
      </c>
      <c r="D113" s="63" t="s">
        <v>219</v>
      </c>
      <c r="E113" s="65" t="s">
        <v>220</v>
      </c>
      <c r="F113" s="65" t="s">
        <v>166</v>
      </c>
      <c r="G113" s="65" t="s">
        <v>164</v>
      </c>
      <c r="H113" s="63">
        <v>58</v>
      </c>
      <c r="I113" s="65" t="s">
        <v>165</v>
      </c>
      <c r="J113" s="63">
        <v>783</v>
      </c>
      <c r="K113" s="64">
        <v>1680.32</v>
      </c>
      <c r="L113" s="63" t="s">
        <v>1803</v>
      </c>
      <c r="M113" t="s">
        <v>1117</v>
      </c>
      <c r="N113" s="65" t="str">
        <f>queryCARRADAS_20250905_83647[[#This Row],[ORIGEM]]&amp;queryCARRADAS_20250905_83647[[#This Row],[DESTINO]]&amp;queryCARRADAS_20250905_83647[[#This Row],[MATERIAL]]</f>
        <v>GRANORTEUA SAO LUISPÓ DE BRITA</v>
      </c>
      <c r="O113" s="68" t="s">
        <v>164</v>
      </c>
    </row>
    <row r="114" spans="2:15" x14ac:dyDescent="0.25">
      <c r="B114" s="66">
        <v>45875</v>
      </c>
      <c r="C114" s="65">
        <v>1</v>
      </c>
      <c r="D114" s="63" t="s">
        <v>1129</v>
      </c>
      <c r="E114" s="65" t="s">
        <v>1130</v>
      </c>
      <c r="F114" s="65" t="s">
        <v>1131</v>
      </c>
      <c r="G114" s="65" t="s">
        <v>1132</v>
      </c>
      <c r="H114" s="63">
        <v>69</v>
      </c>
      <c r="I114" s="65" t="s">
        <v>175</v>
      </c>
      <c r="J114" s="63">
        <v>3474</v>
      </c>
      <c r="K114" s="64">
        <v>886.91</v>
      </c>
      <c r="L114" s="63" t="s">
        <v>1732</v>
      </c>
      <c r="M114" t="s">
        <v>1117</v>
      </c>
      <c r="N114" s="65" t="str">
        <f>queryCARRADAS_20250905_83647[[#This Row],[ORIGEM]]&amp;queryCARRADAS_20250905_83647[[#This Row],[DESTINO]]&amp;queryCARRADAS_20250905_83647[[#This Row],[MATERIAL]]</f>
        <v>MINERACAO OURO PRETO - COLINAS/MAMIRADOR- MABRITA 0</v>
      </c>
      <c r="O114" s="68" t="s">
        <v>164</v>
      </c>
    </row>
    <row r="115" spans="2:15" x14ac:dyDescent="0.25">
      <c r="B115" s="66">
        <v>45875</v>
      </c>
      <c r="C115" s="65">
        <v>1</v>
      </c>
      <c r="D115" s="63" t="s">
        <v>181</v>
      </c>
      <c r="E115" s="65" t="s">
        <v>182</v>
      </c>
      <c r="F115" s="65" t="s">
        <v>166</v>
      </c>
      <c r="G115" s="65" t="s">
        <v>218</v>
      </c>
      <c r="H115" s="63">
        <v>71</v>
      </c>
      <c r="I115" s="65" t="s">
        <v>172</v>
      </c>
      <c r="J115" s="63">
        <v>2658</v>
      </c>
      <c r="K115" s="64">
        <v>698.26</v>
      </c>
      <c r="L115" s="63" t="s">
        <v>1733</v>
      </c>
      <c r="M115" t="s">
        <v>1117</v>
      </c>
      <c r="N115" s="65" t="str">
        <f>queryCARRADAS_20250905_83647[[#This Row],[ORIGEM]]&amp;queryCARRADAS_20250905_83647[[#This Row],[DESTINO]]&amp;queryCARRADAS_20250905_83647[[#This Row],[MATERIAL]]</f>
        <v>GRANORTEEXPOEMABICA CORRIDA</v>
      </c>
      <c r="O115" s="68" t="s">
        <v>164</v>
      </c>
    </row>
    <row r="116" spans="2:15" x14ac:dyDescent="0.25">
      <c r="B116" s="66">
        <v>45875</v>
      </c>
      <c r="C116" s="65">
        <v>1</v>
      </c>
      <c r="D116" s="63" t="s">
        <v>167</v>
      </c>
      <c r="E116" s="65" t="s">
        <v>168</v>
      </c>
      <c r="F116" s="65" t="s">
        <v>166</v>
      </c>
      <c r="G116" s="65" t="s">
        <v>218</v>
      </c>
      <c r="H116" s="63">
        <v>71</v>
      </c>
      <c r="I116" s="65" t="s">
        <v>172</v>
      </c>
      <c r="J116" s="63">
        <v>2632</v>
      </c>
      <c r="K116" s="64">
        <v>691.43</v>
      </c>
      <c r="L116" s="63" t="s">
        <v>1734</v>
      </c>
      <c r="M116" t="s">
        <v>1117</v>
      </c>
      <c r="N116" s="65" t="str">
        <f>queryCARRADAS_20250905_83647[[#This Row],[ORIGEM]]&amp;queryCARRADAS_20250905_83647[[#This Row],[DESTINO]]&amp;queryCARRADAS_20250905_83647[[#This Row],[MATERIAL]]</f>
        <v>GRANORTEEXPOEMABICA CORRIDA</v>
      </c>
      <c r="O116" s="68" t="s">
        <v>164</v>
      </c>
    </row>
    <row r="117" spans="2:15" x14ac:dyDescent="0.25">
      <c r="B117" s="66">
        <v>45875</v>
      </c>
      <c r="C117" s="65">
        <v>1</v>
      </c>
      <c r="D117" s="63" t="s">
        <v>179</v>
      </c>
      <c r="E117" s="65" t="s">
        <v>214</v>
      </c>
      <c r="F117" s="65" t="s">
        <v>166</v>
      </c>
      <c r="G117" s="65" t="s">
        <v>218</v>
      </c>
      <c r="H117" s="63">
        <v>71</v>
      </c>
      <c r="I117" s="65" t="s">
        <v>172</v>
      </c>
      <c r="J117" s="63">
        <v>2692</v>
      </c>
      <c r="K117" s="64">
        <v>707.19</v>
      </c>
      <c r="L117" s="63" t="s">
        <v>1735</v>
      </c>
      <c r="M117" t="s">
        <v>1117</v>
      </c>
      <c r="N117" s="65" t="str">
        <f>queryCARRADAS_20250905_83647[[#This Row],[ORIGEM]]&amp;queryCARRADAS_20250905_83647[[#This Row],[DESTINO]]&amp;queryCARRADAS_20250905_83647[[#This Row],[MATERIAL]]</f>
        <v>GRANORTEEXPOEMABICA CORRIDA</v>
      </c>
      <c r="O117" s="68" t="s">
        <v>164</v>
      </c>
    </row>
    <row r="118" spans="2:15" x14ac:dyDescent="0.25">
      <c r="B118" s="66">
        <v>45875</v>
      </c>
      <c r="C118" s="65">
        <v>1</v>
      </c>
      <c r="D118" s="63" t="s">
        <v>170</v>
      </c>
      <c r="E118" s="65" t="s">
        <v>171</v>
      </c>
      <c r="F118" s="65" t="s">
        <v>166</v>
      </c>
      <c r="G118" s="65" t="s">
        <v>164</v>
      </c>
      <c r="H118" s="63">
        <v>58</v>
      </c>
      <c r="I118" s="65" t="s">
        <v>165</v>
      </c>
      <c r="J118" s="63">
        <v>2488</v>
      </c>
      <c r="K118" s="64">
        <v>533.91999999999996</v>
      </c>
      <c r="L118" s="63" t="s">
        <v>1736</v>
      </c>
      <c r="M118" t="s">
        <v>1117</v>
      </c>
      <c r="N118" s="65" t="str">
        <f>queryCARRADAS_20250905_83647[[#This Row],[ORIGEM]]&amp;queryCARRADAS_20250905_83647[[#This Row],[DESTINO]]&amp;queryCARRADAS_20250905_83647[[#This Row],[MATERIAL]]</f>
        <v>GRANORTEUA SAO LUISPÓ DE BRITA</v>
      </c>
      <c r="O118" s="68" t="s">
        <v>164</v>
      </c>
    </row>
    <row r="119" spans="2:15" x14ac:dyDescent="0.25">
      <c r="B119" s="66">
        <v>45875</v>
      </c>
      <c r="C119" s="65">
        <v>1</v>
      </c>
      <c r="D119" s="63" t="s">
        <v>167</v>
      </c>
      <c r="E119" s="65" t="s">
        <v>168</v>
      </c>
      <c r="F119" s="65" t="s">
        <v>166</v>
      </c>
      <c r="G119" s="65" t="s">
        <v>218</v>
      </c>
      <c r="H119" s="63">
        <v>71</v>
      </c>
      <c r="I119" s="65" t="s">
        <v>172</v>
      </c>
      <c r="J119" s="63">
        <v>2588</v>
      </c>
      <c r="K119" s="64">
        <v>679.87</v>
      </c>
      <c r="L119" s="63" t="s">
        <v>1737</v>
      </c>
      <c r="M119" t="s">
        <v>1117</v>
      </c>
      <c r="N119" s="65" t="str">
        <f>queryCARRADAS_20250905_83647[[#This Row],[ORIGEM]]&amp;queryCARRADAS_20250905_83647[[#This Row],[DESTINO]]&amp;queryCARRADAS_20250905_83647[[#This Row],[MATERIAL]]</f>
        <v>GRANORTEEXPOEMABICA CORRIDA</v>
      </c>
      <c r="O119" s="68" t="s">
        <v>164</v>
      </c>
    </row>
    <row r="120" spans="2:15" x14ac:dyDescent="0.25">
      <c r="B120" s="66">
        <v>45875</v>
      </c>
      <c r="C120" s="65">
        <v>1</v>
      </c>
      <c r="D120" s="63" t="s">
        <v>181</v>
      </c>
      <c r="E120" s="65" t="s">
        <v>182</v>
      </c>
      <c r="F120" s="65" t="s">
        <v>166</v>
      </c>
      <c r="G120" s="65" t="s">
        <v>218</v>
      </c>
      <c r="H120" s="63">
        <v>71</v>
      </c>
      <c r="I120" s="65" t="s">
        <v>172</v>
      </c>
      <c r="J120" s="63">
        <v>2588</v>
      </c>
      <c r="K120" s="64">
        <v>679.87</v>
      </c>
      <c r="L120" s="63" t="s">
        <v>1738</v>
      </c>
      <c r="M120" t="s">
        <v>1117</v>
      </c>
      <c r="N120" s="65" t="str">
        <f>queryCARRADAS_20250905_83647[[#This Row],[ORIGEM]]&amp;queryCARRADAS_20250905_83647[[#This Row],[DESTINO]]&amp;queryCARRADAS_20250905_83647[[#This Row],[MATERIAL]]</f>
        <v>GRANORTEEXPOEMABICA CORRIDA</v>
      </c>
      <c r="O120" s="68" t="s">
        <v>164</v>
      </c>
    </row>
    <row r="121" spans="2:15" x14ac:dyDescent="0.25">
      <c r="B121" s="66">
        <v>45875</v>
      </c>
      <c r="C121" s="65">
        <v>1</v>
      </c>
      <c r="D121" s="63" t="s">
        <v>202</v>
      </c>
      <c r="E121" s="65" t="s">
        <v>1153</v>
      </c>
      <c r="F121" s="65" t="s">
        <v>190</v>
      </c>
      <c r="G121" s="65" t="s">
        <v>191</v>
      </c>
      <c r="H121" s="63">
        <v>217</v>
      </c>
      <c r="I121" s="65" t="s">
        <v>165</v>
      </c>
      <c r="J121" s="63">
        <v>5244</v>
      </c>
      <c r="K121" s="64">
        <v>4210.41</v>
      </c>
      <c r="L121" s="63" t="s">
        <v>1739</v>
      </c>
      <c r="M121" t="s">
        <v>1117</v>
      </c>
      <c r="N121" s="65" t="str">
        <f>queryCARRADAS_20250905_83647[[#This Row],[ORIGEM]]&amp;queryCARRADAS_20250905_83647[[#This Row],[DESTINO]]&amp;queryCARRADAS_20250905_83647[[#This Row],[MATERIAL]]</f>
        <v>SERVENGOLINDA NOVA - MAPÓ DE BRITA</v>
      </c>
      <c r="O121" s="68" t="s">
        <v>111</v>
      </c>
    </row>
    <row r="122" spans="2:15" x14ac:dyDescent="0.25">
      <c r="B122" s="66">
        <v>45875</v>
      </c>
      <c r="C122" s="65">
        <v>1</v>
      </c>
      <c r="D122" s="63" t="s">
        <v>179</v>
      </c>
      <c r="E122" s="65" t="s">
        <v>214</v>
      </c>
      <c r="F122" s="65" t="s">
        <v>166</v>
      </c>
      <c r="G122" s="65" t="s">
        <v>164</v>
      </c>
      <c r="H122" s="63">
        <v>58</v>
      </c>
      <c r="I122" s="65" t="s">
        <v>165</v>
      </c>
      <c r="J122" s="63">
        <v>2608</v>
      </c>
      <c r="K122" s="64">
        <v>559.67999999999995</v>
      </c>
      <c r="L122" s="63" t="s">
        <v>1740</v>
      </c>
      <c r="M122" t="s">
        <v>1117</v>
      </c>
      <c r="N122" s="65" t="str">
        <f>queryCARRADAS_20250905_83647[[#This Row],[ORIGEM]]&amp;queryCARRADAS_20250905_83647[[#This Row],[DESTINO]]&amp;queryCARRADAS_20250905_83647[[#This Row],[MATERIAL]]</f>
        <v>GRANORTEUA SAO LUISPÓ DE BRITA</v>
      </c>
      <c r="O122" s="68" t="s">
        <v>164</v>
      </c>
    </row>
    <row r="123" spans="2:15" x14ac:dyDescent="0.25">
      <c r="B123" s="66">
        <v>45875</v>
      </c>
      <c r="C123" s="65">
        <v>1</v>
      </c>
      <c r="D123" s="63" t="s">
        <v>173</v>
      </c>
      <c r="E123" s="65" t="s">
        <v>174</v>
      </c>
      <c r="F123" s="65" t="s">
        <v>166</v>
      </c>
      <c r="G123" s="65" t="s">
        <v>218</v>
      </c>
      <c r="H123" s="63">
        <v>71</v>
      </c>
      <c r="I123" s="65" t="s">
        <v>172</v>
      </c>
      <c r="J123" s="63">
        <v>2508</v>
      </c>
      <c r="K123" s="64">
        <v>658.85</v>
      </c>
      <c r="L123" s="63" t="s">
        <v>1741</v>
      </c>
      <c r="M123" t="s">
        <v>1117</v>
      </c>
      <c r="N123" s="65" t="str">
        <f>queryCARRADAS_20250905_83647[[#This Row],[ORIGEM]]&amp;queryCARRADAS_20250905_83647[[#This Row],[DESTINO]]&amp;queryCARRADAS_20250905_83647[[#This Row],[MATERIAL]]</f>
        <v>GRANORTEEXPOEMABICA CORRIDA</v>
      </c>
      <c r="O123" s="68" t="s">
        <v>164</v>
      </c>
    </row>
    <row r="124" spans="2:15" x14ac:dyDescent="0.25">
      <c r="B124" s="66">
        <v>45875</v>
      </c>
      <c r="C124" s="65">
        <v>1</v>
      </c>
      <c r="D124" s="63" t="s">
        <v>1127</v>
      </c>
      <c r="E124" s="65" t="s">
        <v>178</v>
      </c>
      <c r="F124" s="65" t="s">
        <v>166</v>
      </c>
      <c r="G124" s="65" t="s">
        <v>218</v>
      </c>
      <c r="H124" s="63">
        <v>71</v>
      </c>
      <c r="I124" s="65" t="s">
        <v>172</v>
      </c>
      <c r="J124" s="63">
        <v>2714</v>
      </c>
      <c r="K124" s="64">
        <v>712.97</v>
      </c>
      <c r="L124" s="63" t="s">
        <v>1742</v>
      </c>
      <c r="M124" t="s">
        <v>1117</v>
      </c>
      <c r="N124" s="65" t="str">
        <f>queryCARRADAS_20250905_83647[[#This Row],[ORIGEM]]&amp;queryCARRADAS_20250905_83647[[#This Row],[DESTINO]]&amp;queryCARRADAS_20250905_83647[[#This Row],[MATERIAL]]</f>
        <v>GRANORTEEXPOEMABICA CORRIDA</v>
      </c>
      <c r="O124" s="68" t="s">
        <v>164</v>
      </c>
    </row>
    <row r="125" spans="2:15" x14ac:dyDescent="0.25">
      <c r="B125" s="66">
        <v>45875</v>
      </c>
      <c r="C125" s="65">
        <v>1</v>
      </c>
      <c r="D125" s="63" t="s">
        <v>170</v>
      </c>
      <c r="E125" s="65" t="s">
        <v>171</v>
      </c>
      <c r="F125" s="65" t="s">
        <v>163</v>
      </c>
      <c r="G125" s="65" t="s">
        <v>164</v>
      </c>
      <c r="H125" s="63">
        <v>52</v>
      </c>
      <c r="I125" s="65" t="s">
        <v>165</v>
      </c>
      <c r="J125" s="63">
        <v>2426</v>
      </c>
      <c r="K125" s="64">
        <v>466.76</v>
      </c>
      <c r="L125" s="63" t="s">
        <v>1743</v>
      </c>
      <c r="M125" t="s">
        <v>1117</v>
      </c>
      <c r="N125" s="65" t="str">
        <f>queryCARRADAS_20250905_83647[[#This Row],[ORIGEM]]&amp;queryCARRADAS_20250905_83647[[#This Row],[DESTINO]]&amp;queryCARRADAS_20250905_83647[[#This Row],[MATERIAL]]</f>
        <v>BRASIL MINERACAOUA SAO LUISPÓ DE BRITA</v>
      </c>
      <c r="O125" s="68" t="s">
        <v>164</v>
      </c>
    </row>
    <row r="126" spans="2:15" x14ac:dyDescent="0.25">
      <c r="B126" s="66">
        <v>45875</v>
      </c>
      <c r="C126" s="65">
        <v>1</v>
      </c>
      <c r="D126" s="63" t="s">
        <v>181</v>
      </c>
      <c r="E126" s="65" t="s">
        <v>182</v>
      </c>
      <c r="F126" s="65" t="s">
        <v>166</v>
      </c>
      <c r="G126" s="65" t="s">
        <v>218</v>
      </c>
      <c r="H126" s="63">
        <v>71</v>
      </c>
      <c r="I126" s="65" t="s">
        <v>172</v>
      </c>
      <c r="J126" s="63">
        <v>249</v>
      </c>
      <c r="K126" s="64">
        <v>654.12</v>
      </c>
      <c r="L126" s="63" t="s">
        <v>1744</v>
      </c>
      <c r="M126" t="s">
        <v>1117</v>
      </c>
      <c r="N126" s="65" t="str">
        <f>queryCARRADAS_20250905_83647[[#This Row],[ORIGEM]]&amp;queryCARRADAS_20250905_83647[[#This Row],[DESTINO]]&amp;queryCARRADAS_20250905_83647[[#This Row],[MATERIAL]]</f>
        <v>GRANORTEEXPOEMABICA CORRIDA</v>
      </c>
      <c r="O126" s="68" t="s">
        <v>164</v>
      </c>
    </row>
    <row r="127" spans="2:15" x14ac:dyDescent="0.25">
      <c r="B127" s="66">
        <v>45875</v>
      </c>
      <c r="C127" s="65">
        <v>1</v>
      </c>
      <c r="D127" s="63" t="s">
        <v>167</v>
      </c>
      <c r="E127" s="65" t="s">
        <v>168</v>
      </c>
      <c r="F127" s="65" t="s">
        <v>166</v>
      </c>
      <c r="G127" s="65" t="s">
        <v>218</v>
      </c>
      <c r="H127" s="63">
        <v>71</v>
      </c>
      <c r="I127" s="65" t="s">
        <v>172</v>
      </c>
      <c r="J127" s="63">
        <v>271</v>
      </c>
      <c r="K127" s="64">
        <v>711.92</v>
      </c>
      <c r="L127" s="63" t="s">
        <v>1745</v>
      </c>
      <c r="M127" t="s">
        <v>1117</v>
      </c>
      <c r="N127" s="65" t="str">
        <f>queryCARRADAS_20250905_83647[[#This Row],[ORIGEM]]&amp;queryCARRADAS_20250905_83647[[#This Row],[DESTINO]]&amp;queryCARRADAS_20250905_83647[[#This Row],[MATERIAL]]</f>
        <v>GRANORTEEXPOEMABICA CORRIDA</v>
      </c>
      <c r="O127" s="68" t="s">
        <v>111</v>
      </c>
    </row>
    <row r="128" spans="2:15" x14ac:dyDescent="0.25">
      <c r="B128" s="66">
        <v>45875</v>
      </c>
      <c r="C128" s="65">
        <v>1</v>
      </c>
      <c r="D128" s="63" t="s">
        <v>173</v>
      </c>
      <c r="E128" s="65" t="s">
        <v>174</v>
      </c>
      <c r="F128" s="65" t="s">
        <v>166</v>
      </c>
      <c r="G128" s="65" t="s">
        <v>218</v>
      </c>
      <c r="H128" s="63">
        <v>71</v>
      </c>
      <c r="I128" s="65" t="s">
        <v>172</v>
      </c>
      <c r="J128" s="63">
        <v>2652</v>
      </c>
      <c r="K128" s="64">
        <v>696.68</v>
      </c>
      <c r="L128" s="63" t="s">
        <v>1746</v>
      </c>
      <c r="M128" t="s">
        <v>1117</v>
      </c>
      <c r="N128" s="65" t="str">
        <f>queryCARRADAS_20250905_83647[[#This Row],[ORIGEM]]&amp;queryCARRADAS_20250905_83647[[#This Row],[DESTINO]]&amp;queryCARRADAS_20250905_83647[[#This Row],[MATERIAL]]</f>
        <v>GRANORTEEXPOEMABICA CORRIDA</v>
      </c>
      <c r="O128" s="68" t="s">
        <v>111</v>
      </c>
    </row>
    <row r="129" spans="2:15" x14ac:dyDescent="0.25">
      <c r="B129" s="66">
        <v>45875</v>
      </c>
      <c r="C129" s="65">
        <v>1</v>
      </c>
      <c r="D129" s="63" t="s">
        <v>1127</v>
      </c>
      <c r="E129" s="65" t="s">
        <v>178</v>
      </c>
      <c r="F129" s="65" t="s">
        <v>163</v>
      </c>
      <c r="G129" s="65" t="s">
        <v>164</v>
      </c>
      <c r="H129" s="63">
        <v>52</v>
      </c>
      <c r="I129" s="65" t="s">
        <v>165</v>
      </c>
      <c r="J129" s="63">
        <v>2669</v>
      </c>
      <c r="K129" s="64">
        <v>513.52</v>
      </c>
      <c r="L129" s="63" t="s">
        <v>1747</v>
      </c>
      <c r="M129" t="s">
        <v>1117</v>
      </c>
      <c r="N129" s="65" t="str">
        <f>queryCARRADAS_20250905_83647[[#This Row],[ORIGEM]]&amp;queryCARRADAS_20250905_83647[[#This Row],[DESTINO]]&amp;queryCARRADAS_20250905_83647[[#This Row],[MATERIAL]]</f>
        <v>BRASIL MINERACAOUA SAO LUISPÓ DE BRITA</v>
      </c>
      <c r="O129" s="68" t="s">
        <v>164</v>
      </c>
    </row>
    <row r="130" spans="2:15" x14ac:dyDescent="0.25">
      <c r="B130" s="66">
        <v>45875</v>
      </c>
      <c r="C130" s="65">
        <v>1</v>
      </c>
      <c r="D130" s="63" t="s">
        <v>179</v>
      </c>
      <c r="E130" s="65" t="s">
        <v>214</v>
      </c>
      <c r="F130" s="65" t="s">
        <v>166</v>
      </c>
      <c r="G130" s="65" t="s">
        <v>218</v>
      </c>
      <c r="H130" s="63">
        <v>71</v>
      </c>
      <c r="I130" s="65" t="s">
        <v>172</v>
      </c>
      <c r="J130" s="63">
        <v>2624</v>
      </c>
      <c r="K130" s="64">
        <v>689.32</v>
      </c>
      <c r="L130" s="63" t="s">
        <v>1748</v>
      </c>
      <c r="M130" t="s">
        <v>1117</v>
      </c>
      <c r="N130" s="65" t="str">
        <f>queryCARRADAS_20250905_83647[[#This Row],[ORIGEM]]&amp;queryCARRADAS_20250905_83647[[#This Row],[DESTINO]]&amp;queryCARRADAS_20250905_83647[[#This Row],[MATERIAL]]</f>
        <v>GRANORTEEXPOEMABICA CORRIDA</v>
      </c>
      <c r="O130" s="68" t="s">
        <v>111</v>
      </c>
    </row>
    <row r="131" spans="2:15" x14ac:dyDescent="0.25">
      <c r="B131" s="66">
        <v>45875</v>
      </c>
      <c r="C131" s="65">
        <v>1</v>
      </c>
      <c r="D131" s="63" t="s">
        <v>1127</v>
      </c>
      <c r="E131" s="65" t="s">
        <v>178</v>
      </c>
      <c r="F131" s="65" t="s">
        <v>166</v>
      </c>
      <c r="G131" s="65" t="s">
        <v>218</v>
      </c>
      <c r="H131" s="63">
        <v>71</v>
      </c>
      <c r="I131" s="65" t="s">
        <v>172</v>
      </c>
      <c r="J131" s="63">
        <v>264</v>
      </c>
      <c r="K131" s="64">
        <v>693.53</v>
      </c>
      <c r="L131" s="63" t="s">
        <v>1749</v>
      </c>
      <c r="M131" t="s">
        <v>1117</v>
      </c>
      <c r="N131" s="65" t="str">
        <f>queryCARRADAS_20250905_83647[[#This Row],[ORIGEM]]&amp;queryCARRADAS_20250905_83647[[#This Row],[DESTINO]]&amp;queryCARRADAS_20250905_83647[[#This Row],[MATERIAL]]</f>
        <v>GRANORTEEXPOEMABICA CORRIDA</v>
      </c>
      <c r="O131" s="68" t="s">
        <v>111</v>
      </c>
    </row>
    <row r="132" spans="2:15" x14ac:dyDescent="0.25">
      <c r="B132" s="66">
        <v>45875</v>
      </c>
      <c r="C132" s="65">
        <v>1</v>
      </c>
      <c r="D132" s="63" t="s">
        <v>173</v>
      </c>
      <c r="E132" s="65" t="s">
        <v>174</v>
      </c>
      <c r="F132" s="65" t="s">
        <v>166</v>
      </c>
      <c r="G132" s="65" t="s">
        <v>218</v>
      </c>
      <c r="H132" s="63">
        <v>71</v>
      </c>
      <c r="I132" s="65" t="s">
        <v>172</v>
      </c>
      <c r="J132" s="63">
        <v>2612</v>
      </c>
      <c r="K132" s="64">
        <v>686.17</v>
      </c>
      <c r="L132" s="63" t="s">
        <v>1750</v>
      </c>
      <c r="M132" t="s">
        <v>1117</v>
      </c>
      <c r="N132" s="65" t="str">
        <f>queryCARRADAS_20250905_83647[[#This Row],[ORIGEM]]&amp;queryCARRADAS_20250905_83647[[#This Row],[DESTINO]]&amp;queryCARRADAS_20250905_83647[[#This Row],[MATERIAL]]</f>
        <v>GRANORTEEXPOEMABICA CORRIDA</v>
      </c>
      <c r="O132" s="68" t="s">
        <v>164</v>
      </c>
    </row>
    <row r="133" spans="2:15" x14ac:dyDescent="0.25">
      <c r="B133" s="66">
        <v>45875</v>
      </c>
      <c r="C133" s="65">
        <v>1</v>
      </c>
      <c r="D133" s="63" t="s">
        <v>170</v>
      </c>
      <c r="E133" s="65" t="s">
        <v>171</v>
      </c>
      <c r="F133" s="65" t="s">
        <v>163</v>
      </c>
      <c r="G133" s="65" t="s">
        <v>164</v>
      </c>
      <c r="H133" s="63">
        <v>52</v>
      </c>
      <c r="I133" s="65" t="s">
        <v>165</v>
      </c>
      <c r="J133" s="63">
        <v>2584</v>
      </c>
      <c r="K133" s="64">
        <v>497.16</v>
      </c>
      <c r="L133" s="63" t="s">
        <v>1751</v>
      </c>
      <c r="M133" t="s">
        <v>1117</v>
      </c>
      <c r="N133" s="65" t="str">
        <f>queryCARRADAS_20250905_83647[[#This Row],[ORIGEM]]&amp;queryCARRADAS_20250905_83647[[#This Row],[DESTINO]]&amp;queryCARRADAS_20250905_83647[[#This Row],[MATERIAL]]</f>
        <v>BRASIL MINERACAOUA SAO LUISPÓ DE BRITA</v>
      </c>
      <c r="O133" s="68" t="s">
        <v>164</v>
      </c>
    </row>
    <row r="134" spans="2:15" x14ac:dyDescent="0.25">
      <c r="B134" s="66">
        <v>45875</v>
      </c>
      <c r="C134" s="65">
        <v>1</v>
      </c>
      <c r="D134" s="63" t="s">
        <v>1129</v>
      </c>
      <c r="E134" s="65" t="s">
        <v>1130</v>
      </c>
      <c r="F134" s="65" t="s">
        <v>1131</v>
      </c>
      <c r="G134" s="65" t="s">
        <v>1132</v>
      </c>
      <c r="H134" s="63">
        <v>69</v>
      </c>
      <c r="I134" s="65" t="s">
        <v>165</v>
      </c>
      <c r="J134" s="63">
        <v>3204</v>
      </c>
      <c r="K134" s="64">
        <v>817.98</v>
      </c>
      <c r="L134" s="63" t="s">
        <v>1752</v>
      </c>
      <c r="M134" t="s">
        <v>1117</v>
      </c>
      <c r="N134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134" s="68" t="s">
        <v>164</v>
      </c>
    </row>
    <row r="135" spans="2:15" x14ac:dyDescent="0.25">
      <c r="B135" s="66">
        <v>45875</v>
      </c>
      <c r="C135" s="65">
        <v>1</v>
      </c>
      <c r="D135" s="63" t="s">
        <v>1129</v>
      </c>
      <c r="E135" s="65" t="s">
        <v>1130</v>
      </c>
      <c r="F135" s="65" t="s">
        <v>1131</v>
      </c>
      <c r="G135" s="65" t="s">
        <v>1132</v>
      </c>
      <c r="H135" s="63">
        <v>69</v>
      </c>
      <c r="I135" s="65" t="s">
        <v>165</v>
      </c>
      <c r="J135" s="63">
        <v>3337</v>
      </c>
      <c r="K135" s="64">
        <v>851.94</v>
      </c>
      <c r="L135" s="63" t="s">
        <v>1753</v>
      </c>
      <c r="M135" t="s">
        <v>1754</v>
      </c>
      <c r="N135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135" s="68" t="s">
        <v>164</v>
      </c>
    </row>
    <row r="136" spans="2:15" x14ac:dyDescent="0.25">
      <c r="B136" s="66">
        <v>45875</v>
      </c>
      <c r="C136" s="65">
        <v>1</v>
      </c>
      <c r="D136" s="63" t="s">
        <v>199</v>
      </c>
      <c r="E136" s="65" t="s">
        <v>215</v>
      </c>
      <c r="F136" s="65" t="s">
        <v>166</v>
      </c>
      <c r="G136" s="65" t="s">
        <v>218</v>
      </c>
      <c r="H136" s="63">
        <v>71</v>
      </c>
      <c r="I136" s="65" t="s">
        <v>172</v>
      </c>
      <c r="J136" s="63">
        <v>2776</v>
      </c>
      <c r="K136" s="64">
        <v>729.26</v>
      </c>
      <c r="L136" s="63" t="s">
        <v>1755</v>
      </c>
      <c r="M136" t="s">
        <v>1756</v>
      </c>
      <c r="N136" s="65" t="str">
        <f>queryCARRADAS_20250905_83647[[#This Row],[ORIGEM]]&amp;queryCARRADAS_20250905_83647[[#This Row],[DESTINO]]&amp;queryCARRADAS_20250905_83647[[#This Row],[MATERIAL]]</f>
        <v>GRANORTEEXPOEMABICA CORRIDA</v>
      </c>
      <c r="O136" s="68" t="s">
        <v>164</v>
      </c>
    </row>
    <row r="137" spans="2:15" x14ac:dyDescent="0.25">
      <c r="B137" s="66">
        <v>45875</v>
      </c>
      <c r="C137" s="65">
        <v>1</v>
      </c>
      <c r="D137" s="63" t="s">
        <v>199</v>
      </c>
      <c r="E137" s="65" t="s">
        <v>215</v>
      </c>
      <c r="F137" s="65" t="s">
        <v>163</v>
      </c>
      <c r="G137" s="65" t="s">
        <v>164</v>
      </c>
      <c r="H137" s="63">
        <v>52</v>
      </c>
      <c r="I137" s="65" t="s">
        <v>165</v>
      </c>
      <c r="J137" s="63">
        <v>2709</v>
      </c>
      <c r="K137" s="64">
        <v>521.21</v>
      </c>
      <c r="L137" s="63" t="s">
        <v>1757</v>
      </c>
      <c r="M137" t="s">
        <v>1758</v>
      </c>
      <c r="N137" s="65" t="str">
        <f>queryCARRADAS_20250905_83647[[#This Row],[ORIGEM]]&amp;queryCARRADAS_20250905_83647[[#This Row],[DESTINO]]&amp;queryCARRADAS_20250905_83647[[#This Row],[MATERIAL]]</f>
        <v>BRASIL MINERACAOUA SAO LUISPÓ DE BRITA</v>
      </c>
      <c r="O137" s="68" t="s">
        <v>164</v>
      </c>
    </row>
    <row r="138" spans="2:15" x14ac:dyDescent="0.25">
      <c r="B138" s="66">
        <v>45875</v>
      </c>
      <c r="C138" s="65">
        <v>1</v>
      </c>
      <c r="D138" s="63" t="s">
        <v>183</v>
      </c>
      <c r="E138" s="65" t="s">
        <v>184</v>
      </c>
      <c r="F138" s="65" t="s">
        <v>166</v>
      </c>
      <c r="G138" s="65" t="s">
        <v>164</v>
      </c>
      <c r="H138" s="63">
        <v>58</v>
      </c>
      <c r="I138" s="65" t="s">
        <v>165</v>
      </c>
      <c r="J138" s="63">
        <v>2994</v>
      </c>
      <c r="K138" s="64">
        <v>642.51</v>
      </c>
      <c r="L138" s="63" t="s">
        <v>1759</v>
      </c>
      <c r="M138" t="s">
        <v>1117</v>
      </c>
      <c r="N138" s="65" t="str">
        <f>queryCARRADAS_20250905_83647[[#This Row],[ORIGEM]]&amp;queryCARRADAS_20250905_83647[[#This Row],[DESTINO]]&amp;queryCARRADAS_20250905_83647[[#This Row],[MATERIAL]]</f>
        <v>GRANORTEUA SAO LUISPÓ DE BRITA</v>
      </c>
      <c r="O138" s="68" t="s">
        <v>191</v>
      </c>
    </row>
    <row r="139" spans="2:15" x14ac:dyDescent="0.25">
      <c r="B139" s="66">
        <v>45875</v>
      </c>
      <c r="C139" s="65">
        <v>1</v>
      </c>
      <c r="D139" s="63" t="s">
        <v>183</v>
      </c>
      <c r="E139" s="65" t="s">
        <v>184</v>
      </c>
      <c r="F139" s="65" t="s">
        <v>163</v>
      </c>
      <c r="G139" s="65" t="s">
        <v>164</v>
      </c>
      <c r="H139" s="63">
        <v>52</v>
      </c>
      <c r="I139" s="65" t="s">
        <v>165</v>
      </c>
      <c r="J139" s="63">
        <v>3113</v>
      </c>
      <c r="K139" s="64">
        <v>598.94000000000005</v>
      </c>
      <c r="L139" s="63" t="s">
        <v>1760</v>
      </c>
      <c r="M139" t="s">
        <v>1117</v>
      </c>
      <c r="N139" s="65" t="str">
        <f>queryCARRADAS_20250905_83647[[#This Row],[ORIGEM]]&amp;queryCARRADAS_20250905_83647[[#This Row],[DESTINO]]&amp;queryCARRADAS_20250905_83647[[#This Row],[MATERIAL]]</f>
        <v>BRASIL MINERACAOUA SAO LUISPÓ DE BRITA</v>
      </c>
      <c r="O139" s="68" t="s">
        <v>164</v>
      </c>
    </row>
    <row r="140" spans="2:15" x14ac:dyDescent="0.25">
      <c r="B140" s="66">
        <v>45875</v>
      </c>
      <c r="C140" s="65">
        <v>1</v>
      </c>
      <c r="D140" s="63" t="s">
        <v>193</v>
      </c>
      <c r="E140" s="65" t="s">
        <v>194</v>
      </c>
      <c r="F140" s="65" t="s">
        <v>163</v>
      </c>
      <c r="G140" s="65" t="s">
        <v>164</v>
      </c>
      <c r="H140" s="63">
        <v>52</v>
      </c>
      <c r="I140" s="65" t="s">
        <v>185</v>
      </c>
      <c r="J140" s="63">
        <v>2874</v>
      </c>
      <c r="K140" s="64">
        <v>552.96</v>
      </c>
      <c r="L140" s="63" t="s">
        <v>1761</v>
      </c>
      <c r="M140" t="s">
        <v>1117</v>
      </c>
      <c r="N140" s="65" t="str">
        <f>queryCARRADAS_20250905_83647[[#This Row],[ORIGEM]]&amp;queryCARRADAS_20250905_83647[[#This Row],[DESTINO]]&amp;queryCARRADAS_20250905_83647[[#This Row],[MATERIAL]]</f>
        <v>BRASIL MINERACAOUA SAO LUISRACHÃOZINHO</v>
      </c>
      <c r="O140" s="68" t="s">
        <v>164</v>
      </c>
    </row>
    <row r="141" spans="2:15" x14ac:dyDescent="0.25">
      <c r="B141" s="66">
        <v>45875</v>
      </c>
      <c r="C141" s="65">
        <v>1</v>
      </c>
      <c r="D141" s="63" t="s">
        <v>193</v>
      </c>
      <c r="E141" s="65" t="s">
        <v>194</v>
      </c>
      <c r="F141" s="65" t="s">
        <v>166</v>
      </c>
      <c r="G141" s="65" t="s">
        <v>218</v>
      </c>
      <c r="H141" s="63">
        <v>71</v>
      </c>
      <c r="I141" s="65" t="s">
        <v>172</v>
      </c>
      <c r="J141" s="63">
        <v>2892</v>
      </c>
      <c r="K141" s="64">
        <v>759.73</v>
      </c>
      <c r="L141" s="63" t="s">
        <v>1762</v>
      </c>
      <c r="M141" t="s">
        <v>1117</v>
      </c>
      <c r="N141" s="65" t="str">
        <f>queryCARRADAS_20250905_83647[[#This Row],[ORIGEM]]&amp;queryCARRADAS_20250905_83647[[#This Row],[DESTINO]]&amp;queryCARRADAS_20250905_83647[[#This Row],[MATERIAL]]</f>
        <v>GRANORTEEXPOEMABICA CORRIDA</v>
      </c>
      <c r="O141" s="68" t="s">
        <v>111</v>
      </c>
    </row>
    <row r="142" spans="2:15" x14ac:dyDescent="0.25">
      <c r="B142" s="66">
        <v>45875</v>
      </c>
      <c r="C142" s="65">
        <v>1</v>
      </c>
      <c r="D142" s="63" t="s">
        <v>200</v>
      </c>
      <c r="E142" s="65" t="s">
        <v>201</v>
      </c>
      <c r="F142" s="65" t="s">
        <v>190</v>
      </c>
      <c r="G142" s="65" t="s">
        <v>212</v>
      </c>
      <c r="H142" s="63">
        <v>376</v>
      </c>
      <c r="I142" s="65" t="s">
        <v>165</v>
      </c>
      <c r="J142" s="63">
        <v>5196</v>
      </c>
      <c r="K142" s="64">
        <v>6251.83</v>
      </c>
      <c r="L142" s="63" t="s">
        <v>1763</v>
      </c>
      <c r="M142" t="s">
        <v>1117</v>
      </c>
      <c r="N142" s="65" t="str">
        <f>queryCARRADAS_20250905_83647[[#This Row],[ORIGEM]]&amp;queryCARRADAS_20250905_83647[[#This Row],[DESTINO]]&amp;queryCARRADAS_20250905_83647[[#This Row],[MATERIAL]]</f>
        <v>SERVENGUSINA PINHEIROPÓ DE BRITA</v>
      </c>
      <c r="O142" s="68" t="s">
        <v>164</v>
      </c>
    </row>
    <row r="143" spans="2:15" x14ac:dyDescent="0.25">
      <c r="B143" s="66">
        <v>45875</v>
      </c>
      <c r="C143" s="65">
        <v>1</v>
      </c>
      <c r="D143" s="63" t="s">
        <v>193</v>
      </c>
      <c r="E143" s="65" t="s">
        <v>194</v>
      </c>
      <c r="F143" s="65" t="s">
        <v>163</v>
      </c>
      <c r="G143" s="65" t="s">
        <v>164</v>
      </c>
      <c r="H143" s="63">
        <v>52</v>
      </c>
      <c r="I143" s="65" t="s">
        <v>165</v>
      </c>
      <c r="J143" s="63">
        <v>2823</v>
      </c>
      <c r="K143" s="64">
        <v>543.15</v>
      </c>
      <c r="L143" s="63" t="s">
        <v>1764</v>
      </c>
      <c r="M143" t="s">
        <v>1117</v>
      </c>
      <c r="N143" s="65" t="str">
        <f>queryCARRADAS_20250905_83647[[#This Row],[ORIGEM]]&amp;queryCARRADAS_20250905_83647[[#This Row],[DESTINO]]&amp;queryCARRADAS_20250905_83647[[#This Row],[MATERIAL]]</f>
        <v>BRASIL MINERACAOUA SAO LUISPÓ DE BRITA</v>
      </c>
      <c r="O143" s="68" t="s">
        <v>164</v>
      </c>
    </row>
    <row r="144" spans="2:15" x14ac:dyDescent="0.25">
      <c r="B144" s="66">
        <v>45875</v>
      </c>
      <c r="C144" s="65">
        <v>1</v>
      </c>
      <c r="D144" s="63" t="s">
        <v>208</v>
      </c>
      <c r="E144" s="65" t="s">
        <v>209</v>
      </c>
      <c r="F144" s="65" t="s">
        <v>166</v>
      </c>
      <c r="G144" s="65" t="s">
        <v>223</v>
      </c>
      <c r="H144" s="63">
        <v>370</v>
      </c>
      <c r="I144" s="65" t="s">
        <v>165</v>
      </c>
      <c r="J144" s="63">
        <v>500</v>
      </c>
      <c r="K144" s="64">
        <v>6845</v>
      </c>
      <c r="L144" s="63" t="s">
        <v>1765</v>
      </c>
      <c r="M144" t="s">
        <v>1117</v>
      </c>
      <c r="N144" s="65" t="str">
        <f>queryCARRADAS_20250905_83647[[#This Row],[ORIGEM]]&amp;queryCARRADAS_20250905_83647[[#This Row],[DESTINO]]&amp;queryCARRADAS_20250905_83647[[#This Row],[MATERIAL]]</f>
        <v>GRANORTEUA PINHEIRO - MAPÓ DE BRITA</v>
      </c>
      <c r="O144" s="68" t="s">
        <v>164</v>
      </c>
    </row>
    <row r="145" spans="2:15" x14ac:dyDescent="0.25">
      <c r="B145" s="66">
        <v>45875</v>
      </c>
      <c r="C145" s="65">
        <v>1</v>
      </c>
      <c r="D145" s="63" t="s">
        <v>219</v>
      </c>
      <c r="E145" s="65" t="s">
        <v>220</v>
      </c>
      <c r="F145" s="65" t="s">
        <v>166</v>
      </c>
      <c r="G145" s="65" t="s">
        <v>164</v>
      </c>
      <c r="H145" s="63">
        <v>58</v>
      </c>
      <c r="I145" s="65" t="s">
        <v>165</v>
      </c>
      <c r="J145" s="63">
        <v>694</v>
      </c>
      <c r="K145" s="64">
        <v>1489.32</v>
      </c>
      <c r="L145" s="63" t="s">
        <v>1766</v>
      </c>
      <c r="M145" t="s">
        <v>1117</v>
      </c>
      <c r="N145" s="65" t="str">
        <f>queryCARRADAS_20250905_83647[[#This Row],[ORIGEM]]&amp;queryCARRADAS_20250905_83647[[#This Row],[DESTINO]]&amp;queryCARRADAS_20250905_83647[[#This Row],[MATERIAL]]</f>
        <v>GRANORTEUA SAO LUISPÓ DE BRITA</v>
      </c>
      <c r="O145" s="68" t="s">
        <v>164</v>
      </c>
    </row>
    <row r="146" spans="2:15" x14ac:dyDescent="0.25">
      <c r="B146" s="66">
        <v>45875</v>
      </c>
      <c r="C146" s="65">
        <v>1</v>
      </c>
      <c r="D146" s="63" t="s">
        <v>270</v>
      </c>
      <c r="E146" s="65" t="s">
        <v>1146</v>
      </c>
      <c r="F146" s="65" t="s">
        <v>166</v>
      </c>
      <c r="G146" s="65" t="s">
        <v>223</v>
      </c>
      <c r="H146" s="63">
        <v>370</v>
      </c>
      <c r="I146" s="65" t="s">
        <v>165</v>
      </c>
      <c r="J146" s="63">
        <v>5022</v>
      </c>
      <c r="K146" s="64">
        <v>6875.12</v>
      </c>
      <c r="L146" s="63" t="s">
        <v>1767</v>
      </c>
      <c r="M146" t="s">
        <v>1183</v>
      </c>
      <c r="N146" s="65" t="str">
        <f>queryCARRADAS_20250905_83647[[#This Row],[ORIGEM]]&amp;queryCARRADAS_20250905_83647[[#This Row],[DESTINO]]&amp;queryCARRADAS_20250905_83647[[#This Row],[MATERIAL]]</f>
        <v>GRANORTEUA PINHEIRO - MAPÓ DE BRITA</v>
      </c>
      <c r="O146" s="68" t="s">
        <v>164</v>
      </c>
    </row>
    <row r="147" spans="2:15" x14ac:dyDescent="0.25">
      <c r="B147" s="66">
        <v>45875</v>
      </c>
      <c r="C147" s="65">
        <v>1</v>
      </c>
      <c r="D147" s="63" t="s">
        <v>186</v>
      </c>
      <c r="E147" s="65" t="s">
        <v>187</v>
      </c>
      <c r="F147" s="65" t="s">
        <v>190</v>
      </c>
      <c r="G147" s="65" t="s">
        <v>212</v>
      </c>
      <c r="H147" s="63">
        <v>376</v>
      </c>
      <c r="I147" s="65" t="s">
        <v>165</v>
      </c>
      <c r="J147" s="63">
        <v>468</v>
      </c>
      <c r="K147" s="64">
        <v>5630.98</v>
      </c>
      <c r="L147" s="63" t="s">
        <v>1768</v>
      </c>
      <c r="M147" t="s">
        <v>1117</v>
      </c>
      <c r="N147" s="65" t="str">
        <f>queryCARRADAS_20250905_83647[[#This Row],[ORIGEM]]&amp;queryCARRADAS_20250905_83647[[#This Row],[DESTINO]]&amp;queryCARRADAS_20250905_83647[[#This Row],[MATERIAL]]</f>
        <v>SERVENGUSINA PINHEIROPÓ DE BRITA</v>
      </c>
      <c r="O147" s="68" t="s">
        <v>164</v>
      </c>
    </row>
    <row r="148" spans="2:15" x14ac:dyDescent="0.25">
      <c r="B148" s="66">
        <v>45876</v>
      </c>
      <c r="C148" s="65">
        <v>1</v>
      </c>
      <c r="D148" s="63" t="s">
        <v>179</v>
      </c>
      <c r="E148" s="65" t="s">
        <v>214</v>
      </c>
      <c r="F148" s="65" t="s">
        <v>166</v>
      </c>
      <c r="G148" s="65" t="s">
        <v>218</v>
      </c>
      <c r="H148" s="63">
        <v>71</v>
      </c>
      <c r="I148" s="65" t="s">
        <v>172</v>
      </c>
      <c r="J148" s="63">
        <v>2556</v>
      </c>
      <c r="K148" s="64">
        <v>671.46</v>
      </c>
      <c r="L148" s="63" t="s">
        <v>1694</v>
      </c>
      <c r="M148" t="s">
        <v>1117</v>
      </c>
      <c r="N148" s="65" t="str">
        <f>queryCARRADAS_20250905_83647[[#This Row],[ORIGEM]]&amp;queryCARRADAS_20250905_83647[[#This Row],[DESTINO]]&amp;queryCARRADAS_20250905_83647[[#This Row],[MATERIAL]]</f>
        <v>GRANORTEEXPOEMABICA CORRIDA</v>
      </c>
      <c r="O148" s="68" t="s">
        <v>164</v>
      </c>
    </row>
    <row r="149" spans="2:15" x14ac:dyDescent="0.25">
      <c r="B149" s="66">
        <v>45876</v>
      </c>
      <c r="C149" s="65">
        <v>1</v>
      </c>
      <c r="D149" s="63" t="s">
        <v>181</v>
      </c>
      <c r="E149" s="65" t="s">
        <v>182</v>
      </c>
      <c r="F149" s="65" t="s">
        <v>166</v>
      </c>
      <c r="G149" s="65" t="s">
        <v>218</v>
      </c>
      <c r="H149" s="63">
        <v>71</v>
      </c>
      <c r="I149" s="65" t="s">
        <v>172</v>
      </c>
      <c r="J149" s="63">
        <v>2628</v>
      </c>
      <c r="K149" s="64">
        <v>690.38</v>
      </c>
      <c r="L149" s="63" t="s">
        <v>1695</v>
      </c>
      <c r="M149" t="s">
        <v>1117</v>
      </c>
      <c r="N149" s="65" t="str">
        <f>queryCARRADAS_20250905_83647[[#This Row],[ORIGEM]]&amp;queryCARRADAS_20250905_83647[[#This Row],[DESTINO]]&amp;queryCARRADAS_20250905_83647[[#This Row],[MATERIAL]]</f>
        <v>GRANORTEEXPOEMABICA CORRIDA</v>
      </c>
      <c r="O149" s="68" t="s">
        <v>164</v>
      </c>
    </row>
    <row r="150" spans="2:15" x14ac:dyDescent="0.25">
      <c r="B150" s="66">
        <v>45876</v>
      </c>
      <c r="C150" s="65">
        <v>1</v>
      </c>
      <c r="D150" s="63" t="s">
        <v>167</v>
      </c>
      <c r="E150" s="65" t="s">
        <v>168</v>
      </c>
      <c r="F150" s="65" t="s">
        <v>166</v>
      </c>
      <c r="G150" s="65" t="s">
        <v>218</v>
      </c>
      <c r="H150" s="63">
        <v>71</v>
      </c>
      <c r="I150" s="65" t="s">
        <v>172</v>
      </c>
      <c r="J150" s="63">
        <v>2674</v>
      </c>
      <c r="K150" s="64">
        <v>702.46</v>
      </c>
      <c r="L150" s="63" t="s">
        <v>1696</v>
      </c>
      <c r="M150" t="s">
        <v>1117</v>
      </c>
      <c r="N150" s="65" t="str">
        <f>queryCARRADAS_20250905_83647[[#This Row],[ORIGEM]]&amp;queryCARRADAS_20250905_83647[[#This Row],[DESTINO]]&amp;queryCARRADAS_20250905_83647[[#This Row],[MATERIAL]]</f>
        <v>GRANORTEEXPOEMABICA CORRIDA</v>
      </c>
      <c r="O150" s="68" t="s">
        <v>164</v>
      </c>
    </row>
    <row r="151" spans="2:15" x14ac:dyDescent="0.25">
      <c r="B151" s="66">
        <v>45876</v>
      </c>
      <c r="C151" s="65">
        <v>1</v>
      </c>
      <c r="D151" s="63" t="s">
        <v>203</v>
      </c>
      <c r="E151" s="65" t="s">
        <v>204</v>
      </c>
      <c r="F151" s="65" t="s">
        <v>190</v>
      </c>
      <c r="G151" s="65" t="s">
        <v>212</v>
      </c>
      <c r="H151" s="63">
        <v>376</v>
      </c>
      <c r="I151" s="65" t="s">
        <v>165</v>
      </c>
      <c r="J151" s="63">
        <v>5032</v>
      </c>
      <c r="K151" s="64">
        <v>6054.5</v>
      </c>
      <c r="L151" s="63" t="s">
        <v>1697</v>
      </c>
      <c r="M151" t="s">
        <v>1117</v>
      </c>
      <c r="N151" s="65" t="str">
        <f>queryCARRADAS_20250905_83647[[#This Row],[ORIGEM]]&amp;queryCARRADAS_20250905_83647[[#This Row],[DESTINO]]&amp;queryCARRADAS_20250905_83647[[#This Row],[MATERIAL]]</f>
        <v>SERVENGUSINA PINHEIROPÓ DE BRITA</v>
      </c>
      <c r="O151" s="68" t="s">
        <v>164</v>
      </c>
    </row>
    <row r="152" spans="2:15" x14ac:dyDescent="0.25">
      <c r="B152" s="66">
        <v>45876</v>
      </c>
      <c r="C152" s="65">
        <v>1</v>
      </c>
      <c r="D152" s="63" t="s">
        <v>170</v>
      </c>
      <c r="E152" s="65" t="s">
        <v>171</v>
      </c>
      <c r="F152" s="65" t="s">
        <v>166</v>
      </c>
      <c r="G152" s="65" t="s">
        <v>164</v>
      </c>
      <c r="H152" s="63">
        <v>58</v>
      </c>
      <c r="I152" s="65" t="s">
        <v>165</v>
      </c>
      <c r="J152" s="63">
        <v>2584</v>
      </c>
      <c r="K152" s="64">
        <v>554.53</v>
      </c>
      <c r="L152" s="63" t="s">
        <v>1698</v>
      </c>
      <c r="M152" t="s">
        <v>1117</v>
      </c>
      <c r="N152" s="65" t="str">
        <f>queryCARRADAS_20250905_83647[[#This Row],[ORIGEM]]&amp;queryCARRADAS_20250905_83647[[#This Row],[DESTINO]]&amp;queryCARRADAS_20250905_83647[[#This Row],[MATERIAL]]</f>
        <v>GRANORTEUA SAO LUISPÓ DE BRITA</v>
      </c>
      <c r="O152" s="68" t="s">
        <v>161</v>
      </c>
    </row>
    <row r="153" spans="2:15" x14ac:dyDescent="0.25">
      <c r="B153" s="66">
        <v>45876</v>
      </c>
      <c r="C153" s="65">
        <v>1</v>
      </c>
      <c r="D153" s="63" t="s">
        <v>181</v>
      </c>
      <c r="E153" s="65" t="s">
        <v>182</v>
      </c>
      <c r="F153" s="65" t="s">
        <v>166</v>
      </c>
      <c r="G153" s="65" t="s">
        <v>218</v>
      </c>
      <c r="H153" s="63">
        <v>71</v>
      </c>
      <c r="I153" s="65" t="s">
        <v>172</v>
      </c>
      <c r="J153" s="63">
        <v>2368</v>
      </c>
      <c r="K153" s="64">
        <v>622.07000000000005</v>
      </c>
      <c r="L153" s="63" t="s">
        <v>1699</v>
      </c>
      <c r="M153" t="s">
        <v>1117</v>
      </c>
      <c r="N153" s="65" t="str">
        <f>queryCARRADAS_20250905_83647[[#This Row],[ORIGEM]]&amp;queryCARRADAS_20250905_83647[[#This Row],[DESTINO]]&amp;queryCARRADAS_20250905_83647[[#This Row],[MATERIAL]]</f>
        <v>GRANORTEEXPOEMABICA CORRIDA</v>
      </c>
      <c r="O153" s="68" t="s">
        <v>164</v>
      </c>
    </row>
    <row r="154" spans="2:15" x14ac:dyDescent="0.25">
      <c r="B154" s="66">
        <v>45876</v>
      </c>
      <c r="C154" s="65">
        <v>1</v>
      </c>
      <c r="D154" s="63" t="s">
        <v>202</v>
      </c>
      <c r="E154" s="65" t="s">
        <v>1153</v>
      </c>
      <c r="F154" s="65" t="s">
        <v>190</v>
      </c>
      <c r="G154" s="65" t="s">
        <v>191</v>
      </c>
      <c r="H154" s="63">
        <v>217</v>
      </c>
      <c r="I154" s="65" t="s">
        <v>165</v>
      </c>
      <c r="J154" s="63">
        <v>4802</v>
      </c>
      <c r="K154" s="64">
        <v>3855.53</v>
      </c>
      <c r="L154" s="63" t="s">
        <v>1700</v>
      </c>
      <c r="M154" t="s">
        <v>1117</v>
      </c>
      <c r="N154" s="65" t="str">
        <f>queryCARRADAS_20250905_83647[[#This Row],[ORIGEM]]&amp;queryCARRADAS_20250905_83647[[#This Row],[DESTINO]]&amp;queryCARRADAS_20250905_83647[[#This Row],[MATERIAL]]</f>
        <v>SERVENGOLINDA NOVA - MAPÓ DE BRITA</v>
      </c>
      <c r="O154" s="68" t="s">
        <v>164</v>
      </c>
    </row>
    <row r="155" spans="2:15" x14ac:dyDescent="0.25">
      <c r="B155" s="66">
        <v>45876</v>
      </c>
      <c r="C155" s="65">
        <v>1</v>
      </c>
      <c r="D155" s="63" t="s">
        <v>173</v>
      </c>
      <c r="E155" s="65" t="s">
        <v>174</v>
      </c>
      <c r="F155" s="65" t="s">
        <v>166</v>
      </c>
      <c r="G155" s="65" t="s">
        <v>218</v>
      </c>
      <c r="H155" s="63">
        <v>71</v>
      </c>
      <c r="I155" s="65" t="s">
        <v>172</v>
      </c>
      <c r="J155" s="63">
        <v>260</v>
      </c>
      <c r="K155" s="64">
        <v>683.02</v>
      </c>
      <c r="L155" s="63" t="s">
        <v>1701</v>
      </c>
      <c r="M155" t="s">
        <v>1117</v>
      </c>
      <c r="N155" s="65" t="str">
        <f>queryCARRADAS_20250905_83647[[#This Row],[ORIGEM]]&amp;queryCARRADAS_20250905_83647[[#This Row],[DESTINO]]&amp;queryCARRADAS_20250905_83647[[#This Row],[MATERIAL]]</f>
        <v>GRANORTEEXPOEMABICA CORRIDA</v>
      </c>
      <c r="O155" s="68" t="s">
        <v>164</v>
      </c>
    </row>
    <row r="156" spans="2:15" x14ac:dyDescent="0.25">
      <c r="B156" s="66">
        <v>45876</v>
      </c>
      <c r="C156" s="65">
        <v>1</v>
      </c>
      <c r="D156" s="63" t="s">
        <v>179</v>
      </c>
      <c r="E156" s="65" t="s">
        <v>214</v>
      </c>
      <c r="F156" s="65" t="s">
        <v>166</v>
      </c>
      <c r="G156" s="65" t="s">
        <v>218</v>
      </c>
      <c r="H156" s="63">
        <v>71</v>
      </c>
      <c r="I156" s="65" t="s">
        <v>172</v>
      </c>
      <c r="J156" s="63">
        <v>2578</v>
      </c>
      <c r="K156" s="64">
        <v>677.24</v>
      </c>
      <c r="L156" s="63" t="s">
        <v>1702</v>
      </c>
      <c r="M156" t="s">
        <v>1117</v>
      </c>
      <c r="N156" s="65" t="str">
        <f>queryCARRADAS_20250905_83647[[#This Row],[ORIGEM]]&amp;queryCARRADAS_20250905_83647[[#This Row],[DESTINO]]&amp;queryCARRADAS_20250905_83647[[#This Row],[MATERIAL]]</f>
        <v>GRANORTEEXPOEMABICA CORRIDA</v>
      </c>
      <c r="O156" s="68" t="s">
        <v>164</v>
      </c>
    </row>
    <row r="157" spans="2:15" x14ac:dyDescent="0.25">
      <c r="B157" s="66">
        <v>45876</v>
      </c>
      <c r="C157" s="65">
        <v>1</v>
      </c>
      <c r="D157" s="63" t="s">
        <v>275</v>
      </c>
      <c r="E157" s="65" t="s">
        <v>217</v>
      </c>
      <c r="F157" s="65" t="s">
        <v>190</v>
      </c>
      <c r="G157" s="65" t="s">
        <v>212</v>
      </c>
      <c r="H157" s="63">
        <v>376</v>
      </c>
      <c r="I157" s="65" t="s">
        <v>165</v>
      </c>
      <c r="J157" s="63">
        <v>4705</v>
      </c>
      <c r="K157" s="64">
        <v>5661.06</v>
      </c>
      <c r="L157" s="63" t="s">
        <v>1703</v>
      </c>
      <c r="M157" t="s">
        <v>1117</v>
      </c>
      <c r="N157" s="65" t="str">
        <f>queryCARRADAS_20250905_83647[[#This Row],[ORIGEM]]&amp;queryCARRADAS_20250905_83647[[#This Row],[DESTINO]]&amp;queryCARRADAS_20250905_83647[[#This Row],[MATERIAL]]</f>
        <v>SERVENGUSINA PINHEIROPÓ DE BRITA</v>
      </c>
      <c r="O157" s="68" t="s">
        <v>164</v>
      </c>
    </row>
    <row r="158" spans="2:15" x14ac:dyDescent="0.25">
      <c r="B158" s="66">
        <v>45876</v>
      </c>
      <c r="C158" s="65">
        <v>1</v>
      </c>
      <c r="D158" s="63" t="s">
        <v>167</v>
      </c>
      <c r="E158" s="65" t="s">
        <v>168</v>
      </c>
      <c r="F158" s="65" t="s">
        <v>166</v>
      </c>
      <c r="G158" s="65" t="s">
        <v>218</v>
      </c>
      <c r="H158" s="63">
        <v>71</v>
      </c>
      <c r="I158" s="65" t="s">
        <v>172</v>
      </c>
      <c r="J158" s="63">
        <v>259</v>
      </c>
      <c r="K158" s="64">
        <v>680.39</v>
      </c>
      <c r="L158" s="63" t="s">
        <v>1704</v>
      </c>
      <c r="M158" t="s">
        <v>1117</v>
      </c>
      <c r="N158" s="65" t="str">
        <f>queryCARRADAS_20250905_83647[[#This Row],[ORIGEM]]&amp;queryCARRADAS_20250905_83647[[#This Row],[DESTINO]]&amp;queryCARRADAS_20250905_83647[[#This Row],[MATERIAL]]</f>
        <v>GRANORTEEXPOEMABICA CORRIDA</v>
      </c>
      <c r="O158" s="68" t="s">
        <v>164</v>
      </c>
    </row>
    <row r="159" spans="2:15" x14ac:dyDescent="0.25">
      <c r="B159" s="66">
        <v>45876</v>
      </c>
      <c r="C159" s="65">
        <v>1</v>
      </c>
      <c r="D159" s="63" t="s">
        <v>1127</v>
      </c>
      <c r="E159" s="65" t="s">
        <v>178</v>
      </c>
      <c r="F159" s="65" t="s">
        <v>163</v>
      </c>
      <c r="G159" s="65" t="s">
        <v>164</v>
      </c>
      <c r="H159" s="63">
        <v>52</v>
      </c>
      <c r="I159" s="65" t="s">
        <v>165</v>
      </c>
      <c r="J159" s="63">
        <v>2704</v>
      </c>
      <c r="K159" s="64">
        <v>520.25</v>
      </c>
      <c r="L159" s="63" t="s">
        <v>1705</v>
      </c>
      <c r="M159" t="s">
        <v>1117</v>
      </c>
      <c r="N159" s="65" t="str">
        <f>queryCARRADAS_20250905_83647[[#This Row],[ORIGEM]]&amp;queryCARRADAS_20250905_83647[[#This Row],[DESTINO]]&amp;queryCARRADAS_20250905_83647[[#This Row],[MATERIAL]]</f>
        <v>BRASIL MINERACAOUA SAO LUISPÓ DE BRITA</v>
      </c>
      <c r="O159" s="68" t="s">
        <v>164</v>
      </c>
    </row>
    <row r="160" spans="2:15" x14ac:dyDescent="0.25">
      <c r="B160" s="66">
        <v>45876</v>
      </c>
      <c r="C160" s="65">
        <v>1</v>
      </c>
      <c r="D160" s="63" t="s">
        <v>170</v>
      </c>
      <c r="E160" s="65" t="s">
        <v>171</v>
      </c>
      <c r="F160" s="65" t="s">
        <v>166</v>
      </c>
      <c r="G160" s="65" t="s">
        <v>218</v>
      </c>
      <c r="H160" s="63">
        <v>71</v>
      </c>
      <c r="I160" s="65" t="s">
        <v>172</v>
      </c>
      <c r="J160" s="63">
        <v>2536</v>
      </c>
      <c r="K160" s="64">
        <v>666.21</v>
      </c>
      <c r="L160" s="63" t="s">
        <v>1706</v>
      </c>
      <c r="M160" t="s">
        <v>1117</v>
      </c>
      <c r="N160" s="65" t="str">
        <f>queryCARRADAS_20250905_83647[[#This Row],[ORIGEM]]&amp;queryCARRADAS_20250905_83647[[#This Row],[DESTINO]]&amp;queryCARRADAS_20250905_83647[[#This Row],[MATERIAL]]</f>
        <v>GRANORTEEXPOEMABICA CORRIDA</v>
      </c>
      <c r="O160" s="68" t="s">
        <v>164</v>
      </c>
    </row>
    <row r="161" spans="2:15" x14ac:dyDescent="0.25">
      <c r="B161" s="66">
        <v>45876</v>
      </c>
      <c r="C161" s="65">
        <v>1</v>
      </c>
      <c r="D161" s="63" t="s">
        <v>210</v>
      </c>
      <c r="E161" s="65" t="s">
        <v>211</v>
      </c>
      <c r="F161" s="65" t="s">
        <v>190</v>
      </c>
      <c r="G161" s="65" t="s">
        <v>212</v>
      </c>
      <c r="H161" s="63">
        <v>376</v>
      </c>
      <c r="I161" s="65" t="s">
        <v>165</v>
      </c>
      <c r="J161" s="63">
        <v>5056</v>
      </c>
      <c r="K161" s="64">
        <v>6083.38</v>
      </c>
      <c r="L161" s="63" t="s">
        <v>1707</v>
      </c>
      <c r="M161" t="s">
        <v>1117</v>
      </c>
      <c r="N161" s="65" t="str">
        <f>queryCARRADAS_20250905_83647[[#This Row],[ORIGEM]]&amp;queryCARRADAS_20250905_83647[[#This Row],[DESTINO]]&amp;queryCARRADAS_20250905_83647[[#This Row],[MATERIAL]]</f>
        <v>SERVENGUSINA PINHEIROPÓ DE BRITA</v>
      </c>
      <c r="O161" s="68" t="s">
        <v>164</v>
      </c>
    </row>
    <row r="162" spans="2:15" x14ac:dyDescent="0.25">
      <c r="B162" s="66">
        <v>45876</v>
      </c>
      <c r="C162" s="65">
        <v>1</v>
      </c>
      <c r="D162" s="63" t="s">
        <v>173</v>
      </c>
      <c r="E162" s="65" t="s">
        <v>174</v>
      </c>
      <c r="F162" s="65" t="s">
        <v>166</v>
      </c>
      <c r="G162" s="65" t="s">
        <v>218</v>
      </c>
      <c r="H162" s="63">
        <v>71</v>
      </c>
      <c r="I162" s="65" t="s">
        <v>172</v>
      </c>
      <c r="J162" s="63">
        <v>2676</v>
      </c>
      <c r="K162" s="64">
        <v>702.99</v>
      </c>
      <c r="L162" s="63" t="s">
        <v>1708</v>
      </c>
      <c r="M162" t="s">
        <v>1117</v>
      </c>
      <c r="N162" s="65" t="str">
        <f>queryCARRADAS_20250905_83647[[#This Row],[ORIGEM]]&amp;queryCARRADAS_20250905_83647[[#This Row],[DESTINO]]&amp;queryCARRADAS_20250905_83647[[#This Row],[MATERIAL]]</f>
        <v>GRANORTEEXPOEMABICA CORRIDA</v>
      </c>
      <c r="O162" s="68" t="s">
        <v>164</v>
      </c>
    </row>
    <row r="163" spans="2:15" x14ac:dyDescent="0.25">
      <c r="B163" s="66">
        <v>45876</v>
      </c>
      <c r="C163" s="65">
        <v>1</v>
      </c>
      <c r="D163" s="63" t="s">
        <v>181</v>
      </c>
      <c r="E163" s="65" t="s">
        <v>182</v>
      </c>
      <c r="F163" s="65" t="s">
        <v>166</v>
      </c>
      <c r="G163" s="65" t="s">
        <v>218</v>
      </c>
      <c r="H163" s="63">
        <v>71</v>
      </c>
      <c r="I163" s="65" t="s">
        <v>172</v>
      </c>
      <c r="J163" s="63">
        <v>258</v>
      </c>
      <c r="K163" s="64">
        <v>677.77</v>
      </c>
      <c r="L163" s="63" t="s">
        <v>1709</v>
      </c>
      <c r="M163" t="s">
        <v>1117</v>
      </c>
      <c r="N163" s="65" t="str">
        <f>queryCARRADAS_20250905_83647[[#This Row],[ORIGEM]]&amp;queryCARRADAS_20250905_83647[[#This Row],[DESTINO]]&amp;queryCARRADAS_20250905_83647[[#This Row],[MATERIAL]]</f>
        <v>GRANORTEEXPOEMABICA CORRIDA</v>
      </c>
      <c r="O163" s="68" t="s">
        <v>164</v>
      </c>
    </row>
    <row r="164" spans="2:15" x14ac:dyDescent="0.25">
      <c r="B164" s="66">
        <v>45876</v>
      </c>
      <c r="C164" s="65">
        <v>1</v>
      </c>
      <c r="D164" s="63" t="s">
        <v>176</v>
      </c>
      <c r="E164" s="65" t="s">
        <v>177</v>
      </c>
      <c r="F164" s="65" t="s">
        <v>190</v>
      </c>
      <c r="G164" s="65" t="s">
        <v>212</v>
      </c>
      <c r="H164" s="63">
        <v>376</v>
      </c>
      <c r="I164" s="65" t="s">
        <v>165</v>
      </c>
      <c r="J164" s="63">
        <v>4888</v>
      </c>
      <c r="K164" s="64">
        <v>5881.24</v>
      </c>
      <c r="L164" s="63" t="s">
        <v>1710</v>
      </c>
      <c r="M164" t="s">
        <v>1117</v>
      </c>
      <c r="N164" s="65" t="str">
        <f>queryCARRADAS_20250905_83647[[#This Row],[ORIGEM]]&amp;queryCARRADAS_20250905_83647[[#This Row],[DESTINO]]&amp;queryCARRADAS_20250905_83647[[#This Row],[MATERIAL]]</f>
        <v>SERVENGUSINA PINHEIROPÓ DE BRITA</v>
      </c>
      <c r="O164" s="68" t="s">
        <v>111</v>
      </c>
    </row>
    <row r="165" spans="2:15" x14ac:dyDescent="0.25">
      <c r="B165" s="66">
        <v>45876</v>
      </c>
      <c r="C165" s="65">
        <v>1</v>
      </c>
      <c r="D165" s="63" t="s">
        <v>167</v>
      </c>
      <c r="E165" s="65" t="s">
        <v>168</v>
      </c>
      <c r="F165" s="65" t="s">
        <v>166</v>
      </c>
      <c r="G165" s="65" t="s">
        <v>218</v>
      </c>
      <c r="H165" s="63">
        <v>71</v>
      </c>
      <c r="I165" s="65" t="s">
        <v>172</v>
      </c>
      <c r="J165" s="63">
        <v>2656</v>
      </c>
      <c r="K165" s="64">
        <v>697.73</v>
      </c>
      <c r="L165" s="63" t="s">
        <v>1711</v>
      </c>
      <c r="M165" t="s">
        <v>1117</v>
      </c>
      <c r="N165" s="65" t="str">
        <f>queryCARRADAS_20250905_83647[[#This Row],[ORIGEM]]&amp;queryCARRADAS_20250905_83647[[#This Row],[DESTINO]]&amp;queryCARRADAS_20250905_83647[[#This Row],[MATERIAL]]</f>
        <v>GRANORTEEXPOEMABICA CORRIDA</v>
      </c>
      <c r="O165" s="68" t="s">
        <v>164</v>
      </c>
    </row>
    <row r="166" spans="2:15" x14ac:dyDescent="0.25">
      <c r="B166" s="66">
        <v>45876</v>
      </c>
      <c r="C166" s="65">
        <v>1</v>
      </c>
      <c r="D166" s="63" t="s">
        <v>170</v>
      </c>
      <c r="E166" s="65" t="s">
        <v>171</v>
      </c>
      <c r="F166" s="65" t="s">
        <v>163</v>
      </c>
      <c r="G166" s="65" t="s">
        <v>164</v>
      </c>
      <c r="H166" s="63">
        <v>52</v>
      </c>
      <c r="I166" s="65" t="s">
        <v>165</v>
      </c>
      <c r="J166" s="63">
        <v>2572</v>
      </c>
      <c r="K166" s="64">
        <v>494.85</v>
      </c>
      <c r="L166" s="63" t="s">
        <v>1712</v>
      </c>
      <c r="M166" t="s">
        <v>1117</v>
      </c>
      <c r="N166" s="65" t="str">
        <f>queryCARRADAS_20250905_83647[[#This Row],[ORIGEM]]&amp;queryCARRADAS_20250905_83647[[#This Row],[DESTINO]]&amp;queryCARRADAS_20250905_83647[[#This Row],[MATERIAL]]</f>
        <v>BRASIL MINERACAOUA SAO LUISPÓ DE BRITA</v>
      </c>
      <c r="O166" s="68" t="s">
        <v>164</v>
      </c>
    </row>
    <row r="167" spans="2:15" x14ac:dyDescent="0.25">
      <c r="B167" s="66">
        <v>45876</v>
      </c>
      <c r="C167" s="65">
        <v>1</v>
      </c>
      <c r="D167" s="63" t="s">
        <v>1127</v>
      </c>
      <c r="E167" s="65" t="s">
        <v>178</v>
      </c>
      <c r="F167" s="65" t="s">
        <v>163</v>
      </c>
      <c r="G167" s="65" t="s">
        <v>164</v>
      </c>
      <c r="H167" s="63">
        <v>52</v>
      </c>
      <c r="I167" s="65" t="s">
        <v>165</v>
      </c>
      <c r="J167" s="63">
        <v>2711</v>
      </c>
      <c r="K167" s="64">
        <v>521.6</v>
      </c>
      <c r="L167" s="63" t="s">
        <v>1713</v>
      </c>
      <c r="M167" t="s">
        <v>1117</v>
      </c>
      <c r="N167" s="65" t="str">
        <f>queryCARRADAS_20250905_83647[[#This Row],[ORIGEM]]&amp;queryCARRADAS_20250905_83647[[#This Row],[DESTINO]]&amp;queryCARRADAS_20250905_83647[[#This Row],[MATERIAL]]</f>
        <v>BRASIL MINERACAOUA SAO LUISPÓ DE BRITA</v>
      </c>
      <c r="O167" s="68" t="s">
        <v>164</v>
      </c>
    </row>
    <row r="168" spans="2:15" x14ac:dyDescent="0.25">
      <c r="B168" s="66">
        <v>45876</v>
      </c>
      <c r="C168" s="65">
        <v>1</v>
      </c>
      <c r="D168" s="63" t="s">
        <v>1129</v>
      </c>
      <c r="E168" s="65" t="s">
        <v>1130</v>
      </c>
      <c r="F168" s="65" t="s">
        <v>1207</v>
      </c>
      <c r="G168" s="65" t="s">
        <v>1208</v>
      </c>
      <c r="H168" s="63">
        <v>78</v>
      </c>
      <c r="I168" s="65" t="s">
        <v>195</v>
      </c>
      <c r="J168" s="63">
        <v>3404</v>
      </c>
      <c r="K168" s="64">
        <v>982.39</v>
      </c>
      <c r="L168" s="63" t="s">
        <v>1714</v>
      </c>
      <c r="M168" t="s">
        <v>1117</v>
      </c>
      <c r="N168" s="65" t="str">
        <f>queryCARRADAS_20250905_83647[[#This Row],[ORIGEM]]&amp;queryCARRADAS_20250905_83647[[#This Row],[DESTINO]]&amp;queryCARRADAS_20250905_83647[[#This Row],[MATERIAL]]</f>
        <v>JGA MINERADORA - PASTOS BONS/MAMIRADORBRITA 1</v>
      </c>
      <c r="O168" s="68" t="s">
        <v>164</v>
      </c>
    </row>
    <row r="169" spans="2:15" x14ac:dyDescent="0.25">
      <c r="B169" s="66">
        <v>45876</v>
      </c>
      <c r="C169" s="65">
        <v>1</v>
      </c>
      <c r="D169" s="63" t="s">
        <v>183</v>
      </c>
      <c r="E169" s="65" t="s">
        <v>184</v>
      </c>
      <c r="F169" s="65" t="s">
        <v>163</v>
      </c>
      <c r="G169" s="65" t="s">
        <v>164</v>
      </c>
      <c r="H169" s="63">
        <v>52</v>
      </c>
      <c r="I169" s="65" t="s">
        <v>165</v>
      </c>
      <c r="J169" s="63">
        <v>2771</v>
      </c>
      <c r="K169" s="64">
        <v>533.14</v>
      </c>
      <c r="L169" s="63" t="s">
        <v>1715</v>
      </c>
      <c r="M169" t="s">
        <v>1117</v>
      </c>
      <c r="N169" s="65" t="str">
        <f>queryCARRADAS_20250905_83647[[#This Row],[ORIGEM]]&amp;queryCARRADAS_20250905_83647[[#This Row],[DESTINO]]&amp;queryCARRADAS_20250905_83647[[#This Row],[MATERIAL]]</f>
        <v>BRASIL MINERACAOUA SAO LUISPÓ DE BRITA</v>
      </c>
      <c r="O169" s="68" t="s">
        <v>164</v>
      </c>
    </row>
    <row r="170" spans="2:15" x14ac:dyDescent="0.25">
      <c r="B170" s="66">
        <v>45876</v>
      </c>
      <c r="C170" s="65">
        <v>1</v>
      </c>
      <c r="D170" s="63" t="s">
        <v>183</v>
      </c>
      <c r="E170" s="65" t="s">
        <v>184</v>
      </c>
      <c r="F170" s="65" t="s">
        <v>163</v>
      </c>
      <c r="G170" s="65" t="s">
        <v>164</v>
      </c>
      <c r="H170" s="63">
        <v>52</v>
      </c>
      <c r="I170" s="65" t="s">
        <v>165</v>
      </c>
      <c r="J170" s="63">
        <v>2787</v>
      </c>
      <c r="K170" s="64">
        <v>536.22</v>
      </c>
      <c r="L170" s="63" t="s">
        <v>1716</v>
      </c>
      <c r="M170" t="s">
        <v>1117</v>
      </c>
      <c r="N170" s="65" t="str">
        <f>queryCARRADAS_20250905_83647[[#This Row],[ORIGEM]]&amp;queryCARRADAS_20250905_83647[[#This Row],[DESTINO]]&amp;queryCARRADAS_20250905_83647[[#This Row],[MATERIAL]]</f>
        <v>BRASIL MINERACAOUA SAO LUISPÓ DE BRITA</v>
      </c>
      <c r="O170" s="68" t="s">
        <v>164</v>
      </c>
    </row>
    <row r="171" spans="2:15" x14ac:dyDescent="0.25">
      <c r="B171" s="66">
        <v>45876</v>
      </c>
      <c r="C171" s="65">
        <v>1</v>
      </c>
      <c r="D171" s="63" t="s">
        <v>167</v>
      </c>
      <c r="E171" s="65" t="s">
        <v>168</v>
      </c>
      <c r="F171" s="65" t="s">
        <v>166</v>
      </c>
      <c r="G171" s="65" t="s">
        <v>218</v>
      </c>
      <c r="H171" s="63">
        <v>71</v>
      </c>
      <c r="I171" s="65" t="s">
        <v>172</v>
      </c>
      <c r="J171" s="63">
        <v>2586</v>
      </c>
      <c r="K171" s="64">
        <v>679.34</v>
      </c>
      <c r="L171" s="63" t="s">
        <v>1717</v>
      </c>
      <c r="M171" t="s">
        <v>1117</v>
      </c>
      <c r="N171" s="65" t="str">
        <f>queryCARRADAS_20250905_83647[[#This Row],[ORIGEM]]&amp;queryCARRADAS_20250905_83647[[#This Row],[DESTINO]]&amp;queryCARRADAS_20250905_83647[[#This Row],[MATERIAL]]</f>
        <v>GRANORTEEXPOEMABICA CORRIDA</v>
      </c>
      <c r="O171" s="68" t="s">
        <v>164</v>
      </c>
    </row>
    <row r="172" spans="2:15" x14ac:dyDescent="0.25">
      <c r="B172" s="66">
        <v>45876</v>
      </c>
      <c r="C172" s="65">
        <v>1</v>
      </c>
      <c r="D172" s="63" t="s">
        <v>199</v>
      </c>
      <c r="E172" s="65" t="s">
        <v>215</v>
      </c>
      <c r="F172" s="65" t="s">
        <v>166</v>
      </c>
      <c r="G172" s="65" t="s">
        <v>218</v>
      </c>
      <c r="H172" s="63">
        <v>71</v>
      </c>
      <c r="I172" s="65" t="s">
        <v>172</v>
      </c>
      <c r="J172" s="63">
        <v>279</v>
      </c>
      <c r="K172" s="64">
        <v>732.93</v>
      </c>
      <c r="L172" s="63" t="s">
        <v>1718</v>
      </c>
      <c r="M172" t="s">
        <v>1719</v>
      </c>
      <c r="N172" s="65" t="str">
        <f>queryCARRADAS_20250905_83647[[#This Row],[ORIGEM]]&amp;queryCARRADAS_20250905_83647[[#This Row],[DESTINO]]&amp;queryCARRADAS_20250905_83647[[#This Row],[MATERIAL]]</f>
        <v>GRANORTEEXPOEMABICA CORRIDA</v>
      </c>
      <c r="O172" s="68" t="s">
        <v>164</v>
      </c>
    </row>
    <row r="173" spans="2:15" x14ac:dyDescent="0.25">
      <c r="B173" s="66">
        <v>45876</v>
      </c>
      <c r="C173" s="65">
        <v>1</v>
      </c>
      <c r="D173" s="63" t="s">
        <v>199</v>
      </c>
      <c r="E173" s="65" t="s">
        <v>215</v>
      </c>
      <c r="F173" s="65" t="s">
        <v>163</v>
      </c>
      <c r="G173" s="65" t="s">
        <v>164</v>
      </c>
      <c r="H173" s="63">
        <v>52</v>
      </c>
      <c r="I173" s="65" t="s">
        <v>165</v>
      </c>
      <c r="J173" s="63">
        <v>2666</v>
      </c>
      <c r="K173" s="64">
        <v>512.94000000000005</v>
      </c>
      <c r="L173" s="63" t="s">
        <v>1720</v>
      </c>
      <c r="M173" t="s">
        <v>1721</v>
      </c>
      <c r="N173" s="65" t="str">
        <f>queryCARRADAS_20250905_83647[[#This Row],[ORIGEM]]&amp;queryCARRADAS_20250905_83647[[#This Row],[DESTINO]]&amp;queryCARRADAS_20250905_83647[[#This Row],[MATERIAL]]</f>
        <v>BRASIL MINERACAOUA SAO LUISPÓ DE BRITA</v>
      </c>
      <c r="O173" s="68" t="s">
        <v>164</v>
      </c>
    </row>
    <row r="174" spans="2:15" x14ac:dyDescent="0.25">
      <c r="B174" s="66">
        <v>45876</v>
      </c>
      <c r="C174" s="65">
        <v>1</v>
      </c>
      <c r="D174" s="63" t="s">
        <v>199</v>
      </c>
      <c r="E174" s="65" t="s">
        <v>215</v>
      </c>
      <c r="F174" s="65" t="s">
        <v>166</v>
      </c>
      <c r="G174" s="65" t="s">
        <v>218</v>
      </c>
      <c r="H174" s="63">
        <v>71</v>
      </c>
      <c r="I174" s="65" t="s">
        <v>172</v>
      </c>
      <c r="J174" s="63">
        <v>2866</v>
      </c>
      <c r="K174" s="64">
        <v>752.9</v>
      </c>
      <c r="L174" s="63" t="s">
        <v>1722</v>
      </c>
      <c r="M174" t="s">
        <v>1723</v>
      </c>
      <c r="N174" s="65" t="str">
        <f>queryCARRADAS_20250905_83647[[#This Row],[ORIGEM]]&amp;queryCARRADAS_20250905_83647[[#This Row],[DESTINO]]&amp;queryCARRADAS_20250905_83647[[#This Row],[MATERIAL]]</f>
        <v>GRANORTEEXPOEMABICA CORRIDA</v>
      </c>
      <c r="O174" s="68" t="s">
        <v>164</v>
      </c>
    </row>
    <row r="175" spans="2:15" x14ac:dyDescent="0.25">
      <c r="B175" s="66">
        <v>45876</v>
      </c>
      <c r="C175" s="65">
        <v>1</v>
      </c>
      <c r="D175" s="63" t="s">
        <v>193</v>
      </c>
      <c r="E175" s="65" t="s">
        <v>194</v>
      </c>
      <c r="F175" s="65" t="s">
        <v>166</v>
      </c>
      <c r="G175" s="65" t="s">
        <v>218</v>
      </c>
      <c r="H175" s="63">
        <v>71</v>
      </c>
      <c r="I175" s="65" t="s">
        <v>172</v>
      </c>
      <c r="J175" s="63">
        <v>2822</v>
      </c>
      <c r="K175" s="64">
        <v>741.34</v>
      </c>
      <c r="L175" s="63" t="s">
        <v>1724</v>
      </c>
      <c r="M175" t="s">
        <v>1117</v>
      </c>
      <c r="N175" s="65" t="str">
        <f>queryCARRADAS_20250905_83647[[#This Row],[ORIGEM]]&amp;queryCARRADAS_20250905_83647[[#This Row],[DESTINO]]&amp;queryCARRADAS_20250905_83647[[#This Row],[MATERIAL]]</f>
        <v>GRANORTEEXPOEMABICA CORRIDA</v>
      </c>
      <c r="O175" s="68" t="s">
        <v>164</v>
      </c>
    </row>
    <row r="176" spans="2:15" x14ac:dyDescent="0.25">
      <c r="B176" s="66">
        <v>45876</v>
      </c>
      <c r="C176" s="65">
        <v>1</v>
      </c>
      <c r="D176" s="63" t="s">
        <v>193</v>
      </c>
      <c r="E176" s="65" t="s">
        <v>194</v>
      </c>
      <c r="F176" s="65" t="s">
        <v>166</v>
      </c>
      <c r="G176" s="65" t="s">
        <v>218</v>
      </c>
      <c r="H176" s="63">
        <v>71</v>
      </c>
      <c r="I176" s="65" t="s">
        <v>172</v>
      </c>
      <c r="J176" s="63">
        <v>2802</v>
      </c>
      <c r="K176" s="64">
        <v>736.09</v>
      </c>
      <c r="L176" s="63" t="s">
        <v>1725</v>
      </c>
      <c r="M176" t="s">
        <v>1117</v>
      </c>
      <c r="N176" s="65" t="str">
        <f>queryCARRADAS_20250905_83647[[#This Row],[ORIGEM]]&amp;queryCARRADAS_20250905_83647[[#This Row],[DESTINO]]&amp;queryCARRADAS_20250905_83647[[#This Row],[MATERIAL]]</f>
        <v>GRANORTEEXPOEMABICA CORRIDA</v>
      </c>
      <c r="O176" s="68" t="s">
        <v>164</v>
      </c>
    </row>
    <row r="177" spans="2:15" x14ac:dyDescent="0.25">
      <c r="B177" s="66">
        <v>45876</v>
      </c>
      <c r="C177" s="65">
        <v>1</v>
      </c>
      <c r="D177" s="63" t="s">
        <v>193</v>
      </c>
      <c r="E177" s="65" t="s">
        <v>194</v>
      </c>
      <c r="F177" s="65" t="s">
        <v>163</v>
      </c>
      <c r="G177" s="65" t="s">
        <v>164</v>
      </c>
      <c r="H177" s="63">
        <v>52</v>
      </c>
      <c r="I177" s="65" t="s">
        <v>165</v>
      </c>
      <c r="J177" s="63">
        <v>2698</v>
      </c>
      <c r="K177" s="64">
        <v>519.1</v>
      </c>
      <c r="L177" s="63" t="s">
        <v>1726</v>
      </c>
      <c r="M177" t="s">
        <v>1117</v>
      </c>
      <c r="N177" s="65" t="str">
        <f>queryCARRADAS_20250905_83647[[#This Row],[ORIGEM]]&amp;queryCARRADAS_20250905_83647[[#This Row],[DESTINO]]&amp;queryCARRADAS_20250905_83647[[#This Row],[MATERIAL]]</f>
        <v>BRASIL MINERACAOUA SAO LUISPÓ DE BRITA</v>
      </c>
      <c r="O177" s="68" t="s">
        <v>164</v>
      </c>
    </row>
    <row r="178" spans="2:15" x14ac:dyDescent="0.25">
      <c r="B178" s="66">
        <v>45876</v>
      </c>
      <c r="C178" s="65">
        <v>1</v>
      </c>
      <c r="D178" s="63" t="s">
        <v>188</v>
      </c>
      <c r="E178" s="65" t="s">
        <v>189</v>
      </c>
      <c r="F178" s="65" t="s">
        <v>190</v>
      </c>
      <c r="G178" s="65" t="s">
        <v>191</v>
      </c>
      <c r="H178" s="63">
        <v>217</v>
      </c>
      <c r="I178" s="65" t="s">
        <v>165</v>
      </c>
      <c r="J178" s="63">
        <v>600</v>
      </c>
      <c r="K178" s="64">
        <v>4817.3999999999996</v>
      </c>
      <c r="L178" s="63" t="s">
        <v>1727</v>
      </c>
      <c r="M178" t="s">
        <v>1117</v>
      </c>
      <c r="N178" s="65" t="str">
        <f>queryCARRADAS_20250905_83647[[#This Row],[ORIGEM]]&amp;queryCARRADAS_20250905_83647[[#This Row],[DESTINO]]&amp;queryCARRADAS_20250905_83647[[#This Row],[MATERIAL]]</f>
        <v>SERVENGOLINDA NOVA - MAPÓ DE BRITA</v>
      </c>
      <c r="O178" s="68" t="s">
        <v>164</v>
      </c>
    </row>
    <row r="179" spans="2:15" x14ac:dyDescent="0.25">
      <c r="B179" s="66">
        <v>45876</v>
      </c>
      <c r="C179" s="65">
        <v>1</v>
      </c>
      <c r="D179" s="63" t="s">
        <v>219</v>
      </c>
      <c r="E179" s="65" t="s">
        <v>220</v>
      </c>
      <c r="F179" s="65" t="s">
        <v>166</v>
      </c>
      <c r="G179" s="65" t="s">
        <v>164</v>
      </c>
      <c r="H179" s="63">
        <v>58</v>
      </c>
      <c r="I179" s="65" t="s">
        <v>165</v>
      </c>
      <c r="J179" s="63">
        <v>807</v>
      </c>
      <c r="K179" s="64">
        <v>1731.82</v>
      </c>
      <c r="L179" s="63" t="s">
        <v>1728</v>
      </c>
      <c r="M179" t="s">
        <v>1117</v>
      </c>
      <c r="N179" s="65" t="str">
        <f>queryCARRADAS_20250905_83647[[#This Row],[ORIGEM]]&amp;queryCARRADAS_20250905_83647[[#This Row],[DESTINO]]&amp;queryCARRADAS_20250905_83647[[#This Row],[MATERIAL]]</f>
        <v>GRANORTEUA SAO LUISPÓ DE BRITA</v>
      </c>
      <c r="O179" s="68" t="s">
        <v>164</v>
      </c>
    </row>
    <row r="180" spans="2:15" x14ac:dyDescent="0.25">
      <c r="B180" s="66">
        <v>45876</v>
      </c>
      <c r="C180" s="65">
        <v>1</v>
      </c>
      <c r="D180" s="63" t="s">
        <v>208</v>
      </c>
      <c r="E180" s="65" t="s">
        <v>209</v>
      </c>
      <c r="F180" s="65" t="s">
        <v>190</v>
      </c>
      <c r="G180" s="65" t="s">
        <v>212</v>
      </c>
      <c r="H180" s="63">
        <v>376</v>
      </c>
      <c r="I180" s="65" t="s">
        <v>165</v>
      </c>
      <c r="J180" s="63">
        <v>500</v>
      </c>
      <c r="K180" s="64">
        <v>6016</v>
      </c>
      <c r="L180" s="63" t="s">
        <v>1729</v>
      </c>
      <c r="M180" t="s">
        <v>1117</v>
      </c>
      <c r="N180" s="65" t="str">
        <f>queryCARRADAS_20250905_83647[[#This Row],[ORIGEM]]&amp;queryCARRADAS_20250905_83647[[#This Row],[DESTINO]]&amp;queryCARRADAS_20250905_83647[[#This Row],[MATERIAL]]</f>
        <v>SERVENGUSINA PINHEIROPÓ DE BRITA</v>
      </c>
      <c r="O180" s="68" t="s">
        <v>164</v>
      </c>
    </row>
    <row r="181" spans="2:15" x14ac:dyDescent="0.25">
      <c r="B181" s="66">
        <v>45876</v>
      </c>
      <c r="C181" s="65">
        <v>1</v>
      </c>
      <c r="D181" s="63" t="s">
        <v>270</v>
      </c>
      <c r="E181" s="65" t="s">
        <v>1146</v>
      </c>
      <c r="F181" s="65" t="s">
        <v>190</v>
      </c>
      <c r="G181" s="65" t="s">
        <v>212</v>
      </c>
      <c r="H181" s="63">
        <v>376</v>
      </c>
      <c r="I181" s="65" t="s">
        <v>165</v>
      </c>
      <c r="J181" s="63">
        <v>5184</v>
      </c>
      <c r="K181" s="64">
        <v>6237.39</v>
      </c>
      <c r="L181" s="63" t="s">
        <v>1730</v>
      </c>
      <c r="M181" t="s">
        <v>1183</v>
      </c>
      <c r="N181" s="65" t="str">
        <f>queryCARRADAS_20250905_83647[[#This Row],[ORIGEM]]&amp;queryCARRADAS_20250905_83647[[#This Row],[DESTINO]]&amp;queryCARRADAS_20250905_83647[[#This Row],[MATERIAL]]</f>
        <v>SERVENGUSINA PINHEIROPÓ DE BRITA</v>
      </c>
      <c r="O181" s="68" t="s">
        <v>164</v>
      </c>
    </row>
    <row r="182" spans="2:15" x14ac:dyDescent="0.25">
      <c r="B182" s="66">
        <v>45876</v>
      </c>
      <c r="C182" s="65">
        <v>1</v>
      </c>
      <c r="D182" s="63" t="s">
        <v>186</v>
      </c>
      <c r="E182" s="65" t="s">
        <v>187</v>
      </c>
      <c r="F182" s="65" t="s">
        <v>190</v>
      </c>
      <c r="G182" s="65" t="s">
        <v>212</v>
      </c>
      <c r="H182" s="63">
        <v>376</v>
      </c>
      <c r="I182" s="65" t="s">
        <v>165</v>
      </c>
      <c r="J182" s="63">
        <v>466</v>
      </c>
      <c r="K182" s="64">
        <v>5606.91</v>
      </c>
      <c r="L182" s="63" t="s">
        <v>1731</v>
      </c>
      <c r="M182" t="s">
        <v>1117</v>
      </c>
      <c r="N182" s="65" t="str">
        <f>queryCARRADAS_20250905_83647[[#This Row],[ORIGEM]]&amp;queryCARRADAS_20250905_83647[[#This Row],[DESTINO]]&amp;queryCARRADAS_20250905_83647[[#This Row],[MATERIAL]]</f>
        <v>SERVENGUSINA PINHEIROPÓ DE BRITA</v>
      </c>
      <c r="O182" s="68" t="s">
        <v>164</v>
      </c>
    </row>
    <row r="183" spans="2:15" x14ac:dyDescent="0.25">
      <c r="B183" s="66">
        <v>45877</v>
      </c>
      <c r="C183" s="65">
        <v>1</v>
      </c>
      <c r="D183" s="63" t="s">
        <v>202</v>
      </c>
      <c r="E183" s="65" t="s">
        <v>1153</v>
      </c>
      <c r="F183" s="65" t="s">
        <v>190</v>
      </c>
      <c r="G183" s="65" t="s">
        <v>191</v>
      </c>
      <c r="H183" s="63">
        <v>217</v>
      </c>
      <c r="I183" s="65" t="s">
        <v>165</v>
      </c>
      <c r="J183" s="63">
        <v>4822</v>
      </c>
      <c r="K183" s="64">
        <v>3871.58</v>
      </c>
      <c r="L183" s="63" t="s">
        <v>1658</v>
      </c>
      <c r="M183" t="s">
        <v>1117</v>
      </c>
      <c r="N183" s="65" t="str">
        <f>queryCARRADAS_20250905_83647[[#This Row],[ORIGEM]]&amp;queryCARRADAS_20250905_83647[[#This Row],[DESTINO]]&amp;queryCARRADAS_20250905_83647[[#This Row],[MATERIAL]]</f>
        <v>SERVENGOLINDA NOVA - MAPÓ DE BRITA</v>
      </c>
      <c r="O183" s="68" t="s">
        <v>111</v>
      </c>
    </row>
    <row r="184" spans="2:15" x14ac:dyDescent="0.25">
      <c r="B184" s="66">
        <v>45877</v>
      </c>
      <c r="C184" s="65">
        <v>1</v>
      </c>
      <c r="D184" s="63" t="s">
        <v>181</v>
      </c>
      <c r="E184" s="65" t="s">
        <v>182</v>
      </c>
      <c r="F184" s="65" t="s">
        <v>166</v>
      </c>
      <c r="G184" s="65" t="s">
        <v>218</v>
      </c>
      <c r="H184" s="63">
        <v>71</v>
      </c>
      <c r="I184" s="65" t="s">
        <v>172</v>
      </c>
      <c r="J184" s="63">
        <v>2582</v>
      </c>
      <c r="K184" s="64">
        <v>678.29</v>
      </c>
      <c r="L184" s="63" t="s">
        <v>1659</v>
      </c>
      <c r="M184" t="s">
        <v>1117</v>
      </c>
      <c r="N184" s="65" t="str">
        <f>queryCARRADAS_20250905_83647[[#This Row],[ORIGEM]]&amp;queryCARRADAS_20250905_83647[[#This Row],[DESTINO]]&amp;queryCARRADAS_20250905_83647[[#This Row],[MATERIAL]]</f>
        <v>GRANORTEEXPOEMABICA CORRIDA</v>
      </c>
      <c r="O184" s="68" t="s">
        <v>164</v>
      </c>
    </row>
    <row r="185" spans="2:15" x14ac:dyDescent="0.25">
      <c r="B185" s="66">
        <v>45877</v>
      </c>
      <c r="C185" s="65">
        <v>1</v>
      </c>
      <c r="D185" s="63" t="s">
        <v>219</v>
      </c>
      <c r="E185" s="65" t="s">
        <v>220</v>
      </c>
      <c r="F185" s="65" t="s">
        <v>166</v>
      </c>
      <c r="G185" s="65" t="s">
        <v>164</v>
      </c>
      <c r="H185" s="63">
        <v>58</v>
      </c>
      <c r="I185" s="65" t="s">
        <v>165</v>
      </c>
      <c r="J185" s="63">
        <v>370</v>
      </c>
      <c r="K185" s="64">
        <v>794.02</v>
      </c>
      <c r="L185" s="63" t="s">
        <v>1397</v>
      </c>
      <c r="M185" t="s">
        <v>1117</v>
      </c>
      <c r="N185" s="65" t="str">
        <f>queryCARRADAS_20250905_83647[[#This Row],[ORIGEM]]&amp;queryCARRADAS_20250905_83647[[#This Row],[DESTINO]]&amp;queryCARRADAS_20250905_83647[[#This Row],[MATERIAL]]</f>
        <v>GRANORTEUA SAO LUISPÓ DE BRITA</v>
      </c>
      <c r="O185" s="68" t="s">
        <v>164</v>
      </c>
    </row>
    <row r="186" spans="2:15" x14ac:dyDescent="0.25">
      <c r="B186" s="66">
        <v>45877</v>
      </c>
      <c r="C186" s="65">
        <v>1</v>
      </c>
      <c r="D186" s="63" t="s">
        <v>213</v>
      </c>
      <c r="E186" s="65" t="s">
        <v>214</v>
      </c>
      <c r="F186" s="65" t="s">
        <v>166</v>
      </c>
      <c r="G186" s="65" t="s">
        <v>164</v>
      </c>
      <c r="H186" s="63">
        <v>58</v>
      </c>
      <c r="I186" s="65" t="s">
        <v>165</v>
      </c>
      <c r="J186" s="63">
        <v>714</v>
      </c>
      <c r="K186" s="64">
        <v>1532.24</v>
      </c>
      <c r="L186" s="63" t="s">
        <v>1660</v>
      </c>
      <c r="M186" t="s">
        <v>1117</v>
      </c>
      <c r="N186" s="65" t="str">
        <f>queryCARRADAS_20250905_83647[[#This Row],[ORIGEM]]&amp;queryCARRADAS_20250905_83647[[#This Row],[DESTINO]]&amp;queryCARRADAS_20250905_83647[[#This Row],[MATERIAL]]</f>
        <v>GRANORTEUA SAO LUISPÓ DE BRITA</v>
      </c>
      <c r="O186" s="68" t="s">
        <v>164</v>
      </c>
    </row>
    <row r="187" spans="2:15" x14ac:dyDescent="0.25">
      <c r="B187" s="66">
        <v>45877</v>
      </c>
      <c r="C187" s="65">
        <v>1</v>
      </c>
      <c r="D187" s="63" t="s">
        <v>170</v>
      </c>
      <c r="E187" s="65" t="s">
        <v>171</v>
      </c>
      <c r="F187" s="65" t="s">
        <v>166</v>
      </c>
      <c r="G187" s="65" t="s">
        <v>164</v>
      </c>
      <c r="H187" s="63">
        <v>58</v>
      </c>
      <c r="I187" s="65" t="s">
        <v>165</v>
      </c>
      <c r="J187" s="63">
        <v>2644</v>
      </c>
      <c r="K187" s="64">
        <v>567.4</v>
      </c>
      <c r="L187" s="63" t="s">
        <v>1661</v>
      </c>
      <c r="M187" t="s">
        <v>1117</v>
      </c>
      <c r="N187" s="65" t="str">
        <f>queryCARRADAS_20250905_83647[[#This Row],[ORIGEM]]&amp;queryCARRADAS_20250905_83647[[#This Row],[DESTINO]]&amp;queryCARRADAS_20250905_83647[[#This Row],[MATERIAL]]</f>
        <v>GRANORTEUA SAO LUISPÓ DE BRITA</v>
      </c>
      <c r="O187" s="68" t="s">
        <v>164</v>
      </c>
    </row>
    <row r="188" spans="2:15" x14ac:dyDescent="0.25">
      <c r="B188" s="66">
        <v>45877</v>
      </c>
      <c r="C188" s="65">
        <v>1</v>
      </c>
      <c r="D188" s="63" t="s">
        <v>167</v>
      </c>
      <c r="E188" s="65" t="s">
        <v>168</v>
      </c>
      <c r="F188" s="65" t="s">
        <v>166</v>
      </c>
      <c r="G188" s="65" t="s">
        <v>218</v>
      </c>
      <c r="H188" s="63">
        <v>71</v>
      </c>
      <c r="I188" s="65" t="s">
        <v>172</v>
      </c>
      <c r="J188" s="63">
        <v>2734</v>
      </c>
      <c r="K188" s="64">
        <v>718.22</v>
      </c>
      <c r="L188" s="63" t="s">
        <v>1662</v>
      </c>
      <c r="M188" t="s">
        <v>1117</v>
      </c>
      <c r="N188" s="65" t="str">
        <f>queryCARRADAS_20250905_83647[[#This Row],[ORIGEM]]&amp;queryCARRADAS_20250905_83647[[#This Row],[DESTINO]]&amp;queryCARRADAS_20250905_83647[[#This Row],[MATERIAL]]</f>
        <v>GRANORTEEXPOEMABICA CORRIDA</v>
      </c>
      <c r="O188" s="68" t="s">
        <v>164</v>
      </c>
    </row>
    <row r="189" spans="2:15" x14ac:dyDescent="0.25">
      <c r="B189" s="66">
        <v>45877</v>
      </c>
      <c r="C189" s="65">
        <v>1</v>
      </c>
      <c r="D189" s="63" t="s">
        <v>181</v>
      </c>
      <c r="E189" s="65" t="s">
        <v>182</v>
      </c>
      <c r="F189" s="65" t="s">
        <v>166</v>
      </c>
      <c r="G189" s="65" t="s">
        <v>218</v>
      </c>
      <c r="H189" s="63">
        <v>71</v>
      </c>
      <c r="I189" s="65" t="s">
        <v>172</v>
      </c>
      <c r="J189" s="63">
        <v>2594</v>
      </c>
      <c r="K189" s="64">
        <v>681.44</v>
      </c>
      <c r="L189" s="63" t="s">
        <v>1663</v>
      </c>
      <c r="M189" t="s">
        <v>1117</v>
      </c>
      <c r="N189" s="65" t="str">
        <f>queryCARRADAS_20250905_83647[[#This Row],[ORIGEM]]&amp;queryCARRADAS_20250905_83647[[#This Row],[DESTINO]]&amp;queryCARRADAS_20250905_83647[[#This Row],[MATERIAL]]</f>
        <v>GRANORTEEXPOEMABICA CORRIDA</v>
      </c>
      <c r="O189" s="68" t="s">
        <v>111</v>
      </c>
    </row>
    <row r="190" spans="2:15" x14ac:dyDescent="0.25">
      <c r="B190" s="66">
        <v>45877</v>
      </c>
      <c r="C190" s="65">
        <v>1</v>
      </c>
      <c r="D190" s="63" t="s">
        <v>275</v>
      </c>
      <c r="E190" s="65" t="s">
        <v>217</v>
      </c>
      <c r="F190" s="65" t="s">
        <v>190</v>
      </c>
      <c r="G190" s="65" t="s">
        <v>212</v>
      </c>
      <c r="H190" s="63">
        <v>376</v>
      </c>
      <c r="I190" s="65" t="s">
        <v>165</v>
      </c>
      <c r="J190" s="63">
        <v>4576</v>
      </c>
      <c r="K190" s="64">
        <v>5505.84</v>
      </c>
      <c r="L190" s="63" t="s">
        <v>1664</v>
      </c>
      <c r="M190" t="s">
        <v>1117</v>
      </c>
      <c r="N190" s="65" t="str">
        <f>queryCARRADAS_20250905_83647[[#This Row],[ORIGEM]]&amp;queryCARRADAS_20250905_83647[[#This Row],[DESTINO]]&amp;queryCARRADAS_20250905_83647[[#This Row],[MATERIAL]]</f>
        <v>SERVENGUSINA PINHEIROPÓ DE BRITA</v>
      </c>
      <c r="O190" s="68" t="s">
        <v>164</v>
      </c>
    </row>
    <row r="191" spans="2:15" x14ac:dyDescent="0.25">
      <c r="B191" s="66">
        <v>45877</v>
      </c>
      <c r="C191" s="65">
        <v>1</v>
      </c>
      <c r="D191" s="63" t="s">
        <v>170</v>
      </c>
      <c r="E191" s="65" t="s">
        <v>171</v>
      </c>
      <c r="F191" s="65" t="s">
        <v>163</v>
      </c>
      <c r="G191" s="65" t="s">
        <v>164</v>
      </c>
      <c r="H191" s="63">
        <v>52</v>
      </c>
      <c r="I191" s="65" t="s">
        <v>165</v>
      </c>
      <c r="J191" s="63">
        <v>2533</v>
      </c>
      <c r="K191" s="64">
        <v>487.35</v>
      </c>
      <c r="L191" s="63" t="s">
        <v>1665</v>
      </c>
      <c r="M191" t="s">
        <v>1117</v>
      </c>
      <c r="N191" s="65" t="str">
        <f>queryCARRADAS_20250905_83647[[#This Row],[ORIGEM]]&amp;queryCARRADAS_20250905_83647[[#This Row],[DESTINO]]&amp;queryCARRADAS_20250905_83647[[#This Row],[MATERIAL]]</f>
        <v>BRASIL MINERACAOUA SAO LUISPÓ DE BRITA</v>
      </c>
      <c r="O191" s="68" t="s">
        <v>164</v>
      </c>
    </row>
    <row r="192" spans="2:15" x14ac:dyDescent="0.25">
      <c r="B192" s="66">
        <v>45877</v>
      </c>
      <c r="C192" s="65">
        <v>1</v>
      </c>
      <c r="D192" s="63" t="s">
        <v>167</v>
      </c>
      <c r="E192" s="65" t="s">
        <v>168</v>
      </c>
      <c r="F192" s="65" t="s">
        <v>166</v>
      </c>
      <c r="G192" s="65" t="s">
        <v>218</v>
      </c>
      <c r="H192" s="63">
        <v>71</v>
      </c>
      <c r="I192" s="65" t="s">
        <v>172</v>
      </c>
      <c r="J192" s="63">
        <v>2632</v>
      </c>
      <c r="K192" s="64">
        <v>691.43</v>
      </c>
      <c r="L192" s="63" t="s">
        <v>1666</v>
      </c>
      <c r="M192" t="s">
        <v>1117</v>
      </c>
      <c r="N192" s="65" t="str">
        <f>queryCARRADAS_20250905_83647[[#This Row],[ORIGEM]]&amp;queryCARRADAS_20250905_83647[[#This Row],[DESTINO]]&amp;queryCARRADAS_20250905_83647[[#This Row],[MATERIAL]]</f>
        <v>GRANORTEEXPOEMABICA CORRIDA</v>
      </c>
      <c r="O192" s="68" t="s">
        <v>164</v>
      </c>
    </row>
    <row r="193" spans="2:15" x14ac:dyDescent="0.25">
      <c r="B193" s="66">
        <v>45877</v>
      </c>
      <c r="C193" s="65">
        <v>1</v>
      </c>
      <c r="D193" s="63" t="s">
        <v>213</v>
      </c>
      <c r="E193" s="65" t="s">
        <v>214</v>
      </c>
      <c r="F193" s="65" t="s">
        <v>163</v>
      </c>
      <c r="G193" s="65" t="s">
        <v>164</v>
      </c>
      <c r="H193" s="63">
        <v>52</v>
      </c>
      <c r="I193" s="65" t="s">
        <v>165</v>
      </c>
      <c r="J193" s="63">
        <v>4798</v>
      </c>
      <c r="K193" s="64">
        <v>923.14</v>
      </c>
      <c r="L193" s="63" t="s">
        <v>1667</v>
      </c>
      <c r="M193" t="s">
        <v>1117</v>
      </c>
      <c r="N193" s="65" t="str">
        <f>queryCARRADAS_20250905_83647[[#This Row],[ORIGEM]]&amp;queryCARRADAS_20250905_83647[[#This Row],[DESTINO]]&amp;queryCARRADAS_20250905_83647[[#This Row],[MATERIAL]]</f>
        <v>BRASIL MINERACAOUA SAO LUISPÓ DE BRITA</v>
      </c>
      <c r="O193" s="68" t="s">
        <v>164</v>
      </c>
    </row>
    <row r="194" spans="2:15" x14ac:dyDescent="0.25">
      <c r="B194" s="66">
        <v>45877</v>
      </c>
      <c r="C194" s="65">
        <v>1</v>
      </c>
      <c r="D194" s="63" t="s">
        <v>1127</v>
      </c>
      <c r="E194" s="65" t="s">
        <v>178</v>
      </c>
      <c r="F194" s="65" t="s">
        <v>166</v>
      </c>
      <c r="G194" s="65" t="s">
        <v>164</v>
      </c>
      <c r="H194" s="63">
        <v>58</v>
      </c>
      <c r="I194" s="65" t="s">
        <v>165</v>
      </c>
      <c r="J194" s="63">
        <v>2734</v>
      </c>
      <c r="K194" s="64">
        <v>586.72</v>
      </c>
      <c r="L194" s="63" t="s">
        <v>1668</v>
      </c>
      <c r="M194" t="s">
        <v>1117</v>
      </c>
      <c r="N194" s="65" t="str">
        <f>queryCARRADAS_20250905_83647[[#This Row],[ORIGEM]]&amp;queryCARRADAS_20250905_83647[[#This Row],[DESTINO]]&amp;queryCARRADAS_20250905_83647[[#This Row],[MATERIAL]]</f>
        <v>GRANORTEUA SAO LUISPÓ DE BRITA</v>
      </c>
      <c r="O194" s="68" t="s">
        <v>164</v>
      </c>
    </row>
    <row r="195" spans="2:15" x14ac:dyDescent="0.25">
      <c r="B195" s="66">
        <v>45877</v>
      </c>
      <c r="C195" s="65">
        <v>1</v>
      </c>
      <c r="D195" s="63" t="s">
        <v>1127</v>
      </c>
      <c r="E195" s="65" t="s">
        <v>178</v>
      </c>
      <c r="F195" s="65" t="s">
        <v>163</v>
      </c>
      <c r="G195" s="65" t="s">
        <v>164</v>
      </c>
      <c r="H195" s="63">
        <v>52</v>
      </c>
      <c r="I195" s="65" t="s">
        <v>165</v>
      </c>
      <c r="J195" s="63">
        <v>290</v>
      </c>
      <c r="K195" s="64">
        <v>557.96</v>
      </c>
      <c r="L195" s="63" t="s">
        <v>1669</v>
      </c>
      <c r="M195" t="s">
        <v>1117</v>
      </c>
      <c r="N195" s="65" t="str">
        <f>queryCARRADAS_20250905_83647[[#This Row],[ORIGEM]]&amp;queryCARRADAS_20250905_83647[[#This Row],[DESTINO]]&amp;queryCARRADAS_20250905_83647[[#This Row],[MATERIAL]]</f>
        <v>BRASIL MINERACAOUA SAO LUISPÓ DE BRITA</v>
      </c>
      <c r="O195" s="68" t="s">
        <v>164</v>
      </c>
    </row>
    <row r="196" spans="2:15" x14ac:dyDescent="0.25">
      <c r="B196" s="66">
        <v>45877</v>
      </c>
      <c r="C196" s="65">
        <v>1</v>
      </c>
      <c r="D196" s="63" t="s">
        <v>1129</v>
      </c>
      <c r="E196" s="65" t="s">
        <v>1130</v>
      </c>
      <c r="F196" s="65" t="s">
        <v>1131</v>
      </c>
      <c r="G196" s="65" t="s">
        <v>1132</v>
      </c>
      <c r="H196" s="63">
        <v>69</v>
      </c>
      <c r="I196" s="65" t="s">
        <v>165</v>
      </c>
      <c r="J196" s="63">
        <v>3187</v>
      </c>
      <c r="K196" s="64">
        <v>813.64</v>
      </c>
      <c r="L196" s="63" t="s">
        <v>1670</v>
      </c>
      <c r="M196" t="s">
        <v>1117</v>
      </c>
      <c r="N196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196" s="68" t="s">
        <v>164</v>
      </c>
    </row>
    <row r="197" spans="2:15" x14ac:dyDescent="0.25">
      <c r="B197" s="66">
        <v>45877</v>
      </c>
      <c r="C197" s="65">
        <v>1</v>
      </c>
      <c r="D197" s="63" t="s">
        <v>181</v>
      </c>
      <c r="E197" s="65" t="s">
        <v>182</v>
      </c>
      <c r="F197" s="65" t="s">
        <v>166</v>
      </c>
      <c r="G197" s="65" t="s">
        <v>218</v>
      </c>
      <c r="H197" s="63">
        <v>71</v>
      </c>
      <c r="I197" s="65" t="s">
        <v>172</v>
      </c>
      <c r="J197" s="63">
        <v>258</v>
      </c>
      <c r="K197" s="64">
        <v>677.77</v>
      </c>
      <c r="L197" s="63" t="s">
        <v>1671</v>
      </c>
      <c r="M197" t="s">
        <v>1117</v>
      </c>
      <c r="N197" s="65" t="str">
        <f>queryCARRADAS_20250905_83647[[#This Row],[ORIGEM]]&amp;queryCARRADAS_20250905_83647[[#This Row],[DESTINO]]&amp;queryCARRADAS_20250905_83647[[#This Row],[MATERIAL]]</f>
        <v>GRANORTEEXPOEMABICA CORRIDA</v>
      </c>
      <c r="O197" s="68" t="s">
        <v>164</v>
      </c>
    </row>
    <row r="198" spans="2:15" x14ac:dyDescent="0.25">
      <c r="B198" s="66">
        <v>45877</v>
      </c>
      <c r="C198" s="65">
        <v>1</v>
      </c>
      <c r="D198" s="63" t="s">
        <v>167</v>
      </c>
      <c r="E198" s="65" t="s">
        <v>168</v>
      </c>
      <c r="F198" s="65" t="s">
        <v>166</v>
      </c>
      <c r="G198" s="65" t="s">
        <v>218</v>
      </c>
      <c r="H198" s="63">
        <v>71</v>
      </c>
      <c r="I198" s="65" t="s">
        <v>185</v>
      </c>
      <c r="J198" s="63">
        <v>2638</v>
      </c>
      <c r="K198" s="64">
        <v>693</v>
      </c>
      <c r="L198" s="63" t="s">
        <v>1672</v>
      </c>
      <c r="M198" t="s">
        <v>1117</v>
      </c>
      <c r="N198" s="65" t="str">
        <f>queryCARRADAS_20250905_83647[[#This Row],[ORIGEM]]&amp;queryCARRADAS_20250905_83647[[#This Row],[DESTINO]]&amp;queryCARRADAS_20250905_83647[[#This Row],[MATERIAL]]</f>
        <v>GRANORTEEXPOEMARACHÃOZINHO</v>
      </c>
      <c r="O198" s="68" t="s">
        <v>164</v>
      </c>
    </row>
    <row r="199" spans="2:15" x14ac:dyDescent="0.25">
      <c r="B199" s="66">
        <v>45877</v>
      </c>
      <c r="C199" s="65">
        <v>1</v>
      </c>
      <c r="D199" s="63" t="s">
        <v>203</v>
      </c>
      <c r="E199" s="65" t="s">
        <v>204</v>
      </c>
      <c r="F199" s="65" t="s">
        <v>190</v>
      </c>
      <c r="G199" s="65" t="s">
        <v>212</v>
      </c>
      <c r="H199" s="63">
        <v>376</v>
      </c>
      <c r="I199" s="65" t="s">
        <v>165</v>
      </c>
      <c r="J199" s="63">
        <v>4824</v>
      </c>
      <c r="K199" s="64">
        <v>5804.24</v>
      </c>
      <c r="L199" s="63" t="s">
        <v>1673</v>
      </c>
      <c r="M199" t="s">
        <v>1117</v>
      </c>
      <c r="N199" s="65" t="str">
        <f>queryCARRADAS_20250905_83647[[#This Row],[ORIGEM]]&amp;queryCARRADAS_20250905_83647[[#This Row],[DESTINO]]&amp;queryCARRADAS_20250905_83647[[#This Row],[MATERIAL]]</f>
        <v>SERVENGUSINA PINHEIROPÓ DE BRITA</v>
      </c>
      <c r="O199" s="68" t="s">
        <v>164</v>
      </c>
    </row>
    <row r="200" spans="2:15" x14ac:dyDescent="0.25">
      <c r="B200" s="66">
        <v>45877</v>
      </c>
      <c r="C200" s="65">
        <v>1</v>
      </c>
      <c r="D200" s="63" t="s">
        <v>200</v>
      </c>
      <c r="E200" s="65" t="s">
        <v>201</v>
      </c>
      <c r="F200" s="65" t="s">
        <v>190</v>
      </c>
      <c r="G200" s="65" t="s">
        <v>212</v>
      </c>
      <c r="H200" s="63">
        <v>376</v>
      </c>
      <c r="I200" s="65" t="s">
        <v>165</v>
      </c>
      <c r="J200" s="63">
        <v>4864</v>
      </c>
      <c r="K200" s="64">
        <v>5852.36</v>
      </c>
      <c r="L200" s="63" t="s">
        <v>1674</v>
      </c>
      <c r="M200" t="s">
        <v>1117</v>
      </c>
      <c r="N200" s="65" t="str">
        <f>queryCARRADAS_20250905_83647[[#This Row],[ORIGEM]]&amp;queryCARRADAS_20250905_83647[[#This Row],[DESTINO]]&amp;queryCARRADAS_20250905_83647[[#This Row],[MATERIAL]]</f>
        <v>SERVENGUSINA PINHEIROPÓ DE BRITA</v>
      </c>
      <c r="O200" s="68" t="s">
        <v>164</v>
      </c>
    </row>
    <row r="201" spans="2:15" x14ac:dyDescent="0.25">
      <c r="B201" s="66">
        <v>45877</v>
      </c>
      <c r="C201" s="65">
        <v>1</v>
      </c>
      <c r="D201" s="63" t="s">
        <v>173</v>
      </c>
      <c r="E201" s="65" t="s">
        <v>174</v>
      </c>
      <c r="F201" s="65" t="s">
        <v>166</v>
      </c>
      <c r="G201" s="65" t="s">
        <v>218</v>
      </c>
      <c r="H201" s="63">
        <v>71</v>
      </c>
      <c r="I201" s="65" t="s">
        <v>169</v>
      </c>
      <c r="J201" s="63">
        <v>2936</v>
      </c>
      <c r="K201" s="64">
        <v>771.29</v>
      </c>
      <c r="L201" s="63" t="s">
        <v>1675</v>
      </c>
      <c r="M201" t="s">
        <v>1117</v>
      </c>
      <c r="N201" s="65" t="str">
        <f>queryCARRADAS_20250905_83647[[#This Row],[ORIGEM]]&amp;queryCARRADAS_20250905_83647[[#This Row],[DESTINO]]&amp;queryCARRADAS_20250905_83647[[#This Row],[MATERIAL]]</f>
        <v>GRANORTEEXPOEMAPULMÃOZINHO</v>
      </c>
      <c r="O201" s="68" t="s">
        <v>111</v>
      </c>
    </row>
    <row r="202" spans="2:15" x14ac:dyDescent="0.25">
      <c r="B202" s="66">
        <v>45877</v>
      </c>
      <c r="C202" s="65">
        <v>1</v>
      </c>
      <c r="D202" s="63" t="s">
        <v>173</v>
      </c>
      <c r="E202" s="65" t="s">
        <v>174</v>
      </c>
      <c r="F202" s="65" t="s">
        <v>166</v>
      </c>
      <c r="G202" s="65" t="s">
        <v>218</v>
      </c>
      <c r="H202" s="63">
        <v>71</v>
      </c>
      <c r="I202" s="65" t="s">
        <v>169</v>
      </c>
      <c r="J202" s="63">
        <v>270</v>
      </c>
      <c r="K202" s="64">
        <v>709.29</v>
      </c>
      <c r="L202" s="63" t="s">
        <v>1676</v>
      </c>
      <c r="M202" t="s">
        <v>1117</v>
      </c>
      <c r="N202" s="65" t="str">
        <f>queryCARRADAS_20250905_83647[[#This Row],[ORIGEM]]&amp;queryCARRADAS_20250905_83647[[#This Row],[DESTINO]]&amp;queryCARRADAS_20250905_83647[[#This Row],[MATERIAL]]</f>
        <v>GRANORTEEXPOEMAPULMÃOZINHO</v>
      </c>
      <c r="O202" s="68" t="s">
        <v>164</v>
      </c>
    </row>
    <row r="203" spans="2:15" x14ac:dyDescent="0.25">
      <c r="B203" s="66">
        <v>45877</v>
      </c>
      <c r="C203" s="65">
        <v>1</v>
      </c>
      <c r="D203" s="63" t="s">
        <v>1127</v>
      </c>
      <c r="E203" s="65" t="s">
        <v>178</v>
      </c>
      <c r="F203" s="65" t="s">
        <v>166</v>
      </c>
      <c r="G203" s="65" t="s">
        <v>218</v>
      </c>
      <c r="H203" s="63">
        <v>71</v>
      </c>
      <c r="I203" s="65" t="s">
        <v>172</v>
      </c>
      <c r="J203" s="63">
        <v>2904</v>
      </c>
      <c r="K203" s="64">
        <v>762.88</v>
      </c>
      <c r="L203" s="63" t="s">
        <v>1677</v>
      </c>
      <c r="M203" t="s">
        <v>1117</v>
      </c>
      <c r="N203" s="65" t="str">
        <f>queryCARRADAS_20250905_83647[[#This Row],[ORIGEM]]&amp;queryCARRADAS_20250905_83647[[#This Row],[DESTINO]]&amp;queryCARRADAS_20250905_83647[[#This Row],[MATERIAL]]</f>
        <v>GRANORTEEXPOEMABICA CORRIDA</v>
      </c>
      <c r="O203" s="68" t="s">
        <v>164</v>
      </c>
    </row>
    <row r="204" spans="2:15" x14ac:dyDescent="0.25">
      <c r="B204" s="66">
        <v>45877</v>
      </c>
      <c r="C204" s="65">
        <v>1</v>
      </c>
      <c r="D204" s="63" t="s">
        <v>183</v>
      </c>
      <c r="E204" s="65" t="s">
        <v>184</v>
      </c>
      <c r="F204" s="65" t="s">
        <v>163</v>
      </c>
      <c r="G204" s="65" t="s">
        <v>164</v>
      </c>
      <c r="H204" s="63">
        <v>52</v>
      </c>
      <c r="I204" s="65" t="s">
        <v>165</v>
      </c>
      <c r="J204" s="63">
        <v>3006</v>
      </c>
      <c r="K204" s="64">
        <v>578.35</v>
      </c>
      <c r="L204" s="63" t="s">
        <v>1678</v>
      </c>
      <c r="M204" t="s">
        <v>1117</v>
      </c>
      <c r="N204" s="65" t="str">
        <f>queryCARRADAS_20250905_83647[[#This Row],[ORIGEM]]&amp;queryCARRADAS_20250905_83647[[#This Row],[DESTINO]]&amp;queryCARRADAS_20250905_83647[[#This Row],[MATERIAL]]</f>
        <v>BRASIL MINERACAOUA SAO LUISPÓ DE BRITA</v>
      </c>
      <c r="O204" s="68" t="s">
        <v>164</v>
      </c>
    </row>
    <row r="205" spans="2:15" x14ac:dyDescent="0.25">
      <c r="B205" s="66">
        <v>45877</v>
      </c>
      <c r="C205" s="65">
        <v>1</v>
      </c>
      <c r="D205" s="63" t="s">
        <v>183</v>
      </c>
      <c r="E205" s="65" t="s">
        <v>184</v>
      </c>
      <c r="F205" s="65" t="s">
        <v>163</v>
      </c>
      <c r="G205" s="65" t="s">
        <v>164</v>
      </c>
      <c r="H205" s="63">
        <v>52</v>
      </c>
      <c r="I205" s="65" t="s">
        <v>165</v>
      </c>
      <c r="J205" s="63">
        <v>2745</v>
      </c>
      <c r="K205" s="64">
        <v>528.14</v>
      </c>
      <c r="L205" s="63" t="s">
        <v>1679</v>
      </c>
      <c r="M205" t="s">
        <v>1117</v>
      </c>
      <c r="N205" s="65" t="str">
        <f>queryCARRADAS_20250905_83647[[#This Row],[ORIGEM]]&amp;queryCARRADAS_20250905_83647[[#This Row],[DESTINO]]&amp;queryCARRADAS_20250905_83647[[#This Row],[MATERIAL]]</f>
        <v>BRASIL MINERACAOUA SAO LUISPÓ DE BRITA</v>
      </c>
      <c r="O205" s="68" t="s">
        <v>164</v>
      </c>
    </row>
    <row r="206" spans="2:15" x14ac:dyDescent="0.25">
      <c r="B206" s="66">
        <v>45877</v>
      </c>
      <c r="C206" s="65">
        <v>1</v>
      </c>
      <c r="D206" s="63" t="s">
        <v>199</v>
      </c>
      <c r="E206" s="65" t="s">
        <v>215</v>
      </c>
      <c r="F206" s="65" t="s">
        <v>166</v>
      </c>
      <c r="G206" s="65" t="s">
        <v>218</v>
      </c>
      <c r="H206" s="63">
        <v>71</v>
      </c>
      <c r="I206" s="65" t="s">
        <v>172</v>
      </c>
      <c r="J206" s="63">
        <v>2898</v>
      </c>
      <c r="K206" s="64">
        <v>761.3</v>
      </c>
      <c r="L206" s="63" t="s">
        <v>1680</v>
      </c>
      <c r="M206" t="s">
        <v>1681</v>
      </c>
      <c r="N206" s="65" t="str">
        <f>queryCARRADAS_20250905_83647[[#This Row],[ORIGEM]]&amp;queryCARRADAS_20250905_83647[[#This Row],[DESTINO]]&amp;queryCARRADAS_20250905_83647[[#This Row],[MATERIAL]]</f>
        <v>GRANORTEEXPOEMABICA CORRIDA</v>
      </c>
      <c r="O206" s="68" t="s">
        <v>164</v>
      </c>
    </row>
    <row r="207" spans="2:15" x14ac:dyDescent="0.25">
      <c r="B207" s="66">
        <v>45877</v>
      </c>
      <c r="C207" s="65">
        <v>1</v>
      </c>
      <c r="D207" s="63" t="s">
        <v>199</v>
      </c>
      <c r="E207" s="65" t="s">
        <v>215</v>
      </c>
      <c r="F207" s="65" t="s">
        <v>163</v>
      </c>
      <c r="G207" s="65" t="s">
        <v>164</v>
      </c>
      <c r="H207" s="63">
        <v>52</v>
      </c>
      <c r="I207" s="65" t="s">
        <v>165</v>
      </c>
      <c r="J207" s="63">
        <v>2781</v>
      </c>
      <c r="K207" s="64">
        <v>535.05999999999995</v>
      </c>
      <c r="L207" s="63" t="s">
        <v>1682</v>
      </c>
      <c r="M207" t="s">
        <v>1683</v>
      </c>
      <c r="N207" s="65" t="str">
        <f>queryCARRADAS_20250905_83647[[#This Row],[ORIGEM]]&amp;queryCARRADAS_20250905_83647[[#This Row],[DESTINO]]&amp;queryCARRADAS_20250905_83647[[#This Row],[MATERIAL]]</f>
        <v>BRASIL MINERACAOUA SAO LUISPÓ DE BRITA</v>
      </c>
      <c r="O207" s="68" t="s">
        <v>164</v>
      </c>
    </row>
    <row r="208" spans="2:15" x14ac:dyDescent="0.25">
      <c r="B208" s="66">
        <v>45877</v>
      </c>
      <c r="C208" s="65">
        <v>1</v>
      </c>
      <c r="D208" s="63" t="s">
        <v>199</v>
      </c>
      <c r="E208" s="65" t="s">
        <v>215</v>
      </c>
      <c r="F208" s="65" t="s">
        <v>163</v>
      </c>
      <c r="G208" s="65" t="s">
        <v>164</v>
      </c>
      <c r="H208" s="63">
        <v>52</v>
      </c>
      <c r="I208" s="65" t="s">
        <v>165</v>
      </c>
      <c r="J208" s="63">
        <v>2715</v>
      </c>
      <c r="K208" s="64">
        <v>522.37</v>
      </c>
      <c r="L208" s="63" t="s">
        <v>1684</v>
      </c>
      <c r="M208" t="s">
        <v>1685</v>
      </c>
      <c r="N208" s="65" t="str">
        <f>queryCARRADAS_20250905_83647[[#This Row],[ORIGEM]]&amp;queryCARRADAS_20250905_83647[[#This Row],[DESTINO]]&amp;queryCARRADAS_20250905_83647[[#This Row],[MATERIAL]]</f>
        <v>BRASIL MINERACAOUA SAO LUISPÓ DE BRITA</v>
      </c>
      <c r="O208" s="68" t="s">
        <v>164</v>
      </c>
    </row>
    <row r="209" spans="2:15" x14ac:dyDescent="0.25">
      <c r="B209" s="66">
        <v>45877</v>
      </c>
      <c r="C209" s="65">
        <v>1</v>
      </c>
      <c r="D209" s="63" t="s">
        <v>173</v>
      </c>
      <c r="E209" s="65" t="s">
        <v>174</v>
      </c>
      <c r="F209" s="65" t="s">
        <v>166</v>
      </c>
      <c r="G209" s="65" t="s">
        <v>218</v>
      </c>
      <c r="H209" s="63">
        <v>71</v>
      </c>
      <c r="I209" s="65" t="s">
        <v>169</v>
      </c>
      <c r="J209" s="63">
        <v>2922</v>
      </c>
      <c r="K209" s="64">
        <v>767.61</v>
      </c>
      <c r="L209" s="63" t="s">
        <v>1686</v>
      </c>
      <c r="M209" t="s">
        <v>1117</v>
      </c>
      <c r="N209" s="65" t="str">
        <f>queryCARRADAS_20250905_83647[[#This Row],[ORIGEM]]&amp;queryCARRADAS_20250905_83647[[#This Row],[DESTINO]]&amp;queryCARRADAS_20250905_83647[[#This Row],[MATERIAL]]</f>
        <v>GRANORTEEXPOEMAPULMÃOZINHO</v>
      </c>
      <c r="O209" s="68" t="s">
        <v>164</v>
      </c>
    </row>
    <row r="210" spans="2:15" x14ac:dyDescent="0.25">
      <c r="B210" s="66">
        <v>45877</v>
      </c>
      <c r="C210" s="65">
        <v>1</v>
      </c>
      <c r="D210" s="63" t="s">
        <v>208</v>
      </c>
      <c r="E210" s="65" t="s">
        <v>209</v>
      </c>
      <c r="F210" s="65" t="s">
        <v>190</v>
      </c>
      <c r="G210" s="65" t="s">
        <v>212</v>
      </c>
      <c r="H210" s="63">
        <v>376</v>
      </c>
      <c r="I210" s="65" t="s">
        <v>165</v>
      </c>
      <c r="J210" s="63">
        <v>490</v>
      </c>
      <c r="K210" s="64">
        <v>5895.68</v>
      </c>
      <c r="L210" s="63" t="s">
        <v>1687</v>
      </c>
      <c r="M210" t="s">
        <v>1117</v>
      </c>
      <c r="N210" s="65" t="str">
        <f>queryCARRADAS_20250905_83647[[#This Row],[ORIGEM]]&amp;queryCARRADAS_20250905_83647[[#This Row],[DESTINO]]&amp;queryCARRADAS_20250905_83647[[#This Row],[MATERIAL]]</f>
        <v>SERVENGUSINA PINHEIROPÓ DE BRITA</v>
      </c>
      <c r="O210" s="68" t="s">
        <v>164</v>
      </c>
    </row>
    <row r="211" spans="2:15" x14ac:dyDescent="0.25">
      <c r="B211" s="66">
        <v>45877</v>
      </c>
      <c r="C211" s="65">
        <v>1</v>
      </c>
      <c r="D211" s="63" t="s">
        <v>193</v>
      </c>
      <c r="E211" s="65" t="s">
        <v>194</v>
      </c>
      <c r="F211" s="65" t="s">
        <v>166</v>
      </c>
      <c r="G211" s="65" t="s">
        <v>164</v>
      </c>
      <c r="H211" s="63">
        <v>58</v>
      </c>
      <c r="I211" s="65" t="s">
        <v>165</v>
      </c>
      <c r="J211" s="63">
        <v>2834</v>
      </c>
      <c r="K211" s="64">
        <v>608.17999999999995</v>
      </c>
      <c r="L211" s="63" t="s">
        <v>1688</v>
      </c>
      <c r="M211" t="s">
        <v>1117</v>
      </c>
      <c r="N211" s="65" t="str">
        <f>queryCARRADAS_20250905_83647[[#This Row],[ORIGEM]]&amp;queryCARRADAS_20250905_83647[[#This Row],[DESTINO]]&amp;queryCARRADAS_20250905_83647[[#This Row],[MATERIAL]]</f>
        <v>GRANORTEUA SAO LUISPÓ DE BRITA</v>
      </c>
      <c r="O211" s="68" t="s">
        <v>164</v>
      </c>
    </row>
    <row r="212" spans="2:15" x14ac:dyDescent="0.25">
      <c r="B212" s="66">
        <v>45877</v>
      </c>
      <c r="C212" s="65">
        <v>1</v>
      </c>
      <c r="D212" s="63" t="s">
        <v>193</v>
      </c>
      <c r="E212" s="65" t="s">
        <v>194</v>
      </c>
      <c r="F212" s="65" t="s">
        <v>163</v>
      </c>
      <c r="G212" s="65" t="s">
        <v>164</v>
      </c>
      <c r="H212" s="63">
        <v>52</v>
      </c>
      <c r="I212" s="65" t="s">
        <v>165</v>
      </c>
      <c r="J212" s="63">
        <v>281</v>
      </c>
      <c r="K212" s="64">
        <v>540.64</v>
      </c>
      <c r="L212" s="63" t="s">
        <v>1689</v>
      </c>
      <c r="M212" t="s">
        <v>1117</v>
      </c>
      <c r="N212" s="65" t="str">
        <f>queryCARRADAS_20250905_83647[[#This Row],[ORIGEM]]&amp;queryCARRADAS_20250905_83647[[#This Row],[DESTINO]]&amp;queryCARRADAS_20250905_83647[[#This Row],[MATERIAL]]</f>
        <v>BRASIL MINERACAOUA SAO LUISPÓ DE BRITA</v>
      </c>
      <c r="O212" s="68" t="s">
        <v>111</v>
      </c>
    </row>
    <row r="213" spans="2:15" x14ac:dyDescent="0.25">
      <c r="B213" s="66">
        <v>45877</v>
      </c>
      <c r="C213" s="65">
        <v>1</v>
      </c>
      <c r="D213" s="63" t="s">
        <v>193</v>
      </c>
      <c r="E213" s="65" t="s">
        <v>194</v>
      </c>
      <c r="F213" s="65" t="s">
        <v>166</v>
      </c>
      <c r="G213" s="65" t="s">
        <v>218</v>
      </c>
      <c r="H213" s="63">
        <v>71</v>
      </c>
      <c r="I213" s="65" t="s">
        <v>172</v>
      </c>
      <c r="J213" s="63">
        <v>2832</v>
      </c>
      <c r="K213" s="64">
        <v>743.97</v>
      </c>
      <c r="L213" s="63" t="s">
        <v>1690</v>
      </c>
      <c r="M213" t="s">
        <v>1117</v>
      </c>
      <c r="N213" s="65" t="str">
        <f>queryCARRADAS_20250905_83647[[#This Row],[ORIGEM]]&amp;queryCARRADAS_20250905_83647[[#This Row],[DESTINO]]&amp;queryCARRADAS_20250905_83647[[#This Row],[MATERIAL]]</f>
        <v>GRANORTEEXPOEMABICA CORRIDA</v>
      </c>
      <c r="O213" s="68" t="s">
        <v>164</v>
      </c>
    </row>
    <row r="214" spans="2:15" x14ac:dyDescent="0.25">
      <c r="B214" s="66">
        <v>45877</v>
      </c>
      <c r="C214" s="65">
        <v>1</v>
      </c>
      <c r="D214" s="63" t="s">
        <v>188</v>
      </c>
      <c r="E214" s="65" t="s">
        <v>189</v>
      </c>
      <c r="F214" s="65" t="s">
        <v>190</v>
      </c>
      <c r="G214" s="65" t="s">
        <v>191</v>
      </c>
      <c r="H214" s="63">
        <v>217</v>
      </c>
      <c r="I214" s="65" t="s">
        <v>165</v>
      </c>
      <c r="J214" s="63">
        <v>6016</v>
      </c>
      <c r="K214" s="64">
        <v>4830.25</v>
      </c>
      <c r="L214" s="63" t="s">
        <v>1691</v>
      </c>
      <c r="M214" t="s">
        <v>1117</v>
      </c>
      <c r="N214" s="65" t="str">
        <f>queryCARRADAS_20250905_83647[[#This Row],[ORIGEM]]&amp;queryCARRADAS_20250905_83647[[#This Row],[DESTINO]]&amp;queryCARRADAS_20250905_83647[[#This Row],[MATERIAL]]</f>
        <v>SERVENGOLINDA NOVA - MAPÓ DE BRITA</v>
      </c>
      <c r="O214" s="68" t="s">
        <v>164</v>
      </c>
    </row>
    <row r="215" spans="2:15" x14ac:dyDescent="0.25">
      <c r="B215" s="66">
        <v>45877</v>
      </c>
      <c r="C215" s="65">
        <v>1</v>
      </c>
      <c r="D215" s="63" t="s">
        <v>179</v>
      </c>
      <c r="E215" s="65" t="s">
        <v>180</v>
      </c>
      <c r="F215" s="65" t="s">
        <v>166</v>
      </c>
      <c r="G215" s="65" t="s">
        <v>164</v>
      </c>
      <c r="H215" s="63">
        <v>58</v>
      </c>
      <c r="I215" s="65" t="s">
        <v>165</v>
      </c>
      <c r="J215" s="63">
        <v>258</v>
      </c>
      <c r="K215" s="64">
        <v>553.66999999999996</v>
      </c>
      <c r="L215" s="63" t="s">
        <v>1692</v>
      </c>
      <c r="M215" t="s">
        <v>1117</v>
      </c>
      <c r="N215" s="65" t="str">
        <f>queryCARRADAS_20250905_83647[[#This Row],[ORIGEM]]&amp;queryCARRADAS_20250905_83647[[#This Row],[DESTINO]]&amp;queryCARRADAS_20250905_83647[[#This Row],[MATERIAL]]</f>
        <v>GRANORTEUA SAO LUISPÓ DE BRITA</v>
      </c>
      <c r="O215" s="68" t="s">
        <v>164</v>
      </c>
    </row>
    <row r="216" spans="2:15" x14ac:dyDescent="0.25">
      <c r="B216" s="66">
        <v>45877</v>
      </c>
      <c r="C216" s="65">
        <v>1</v>
      </c>
      <c r="D216" s="63" t="s">
        <v>179</v>
      </c>
      <c r="E216" s="65" t="s">
        <v>180</v>
      </c>
      <c r="F216" s="65" t="s">
        <v>166</v>
      </c>
      <c r="G216" s="65" t="s">
        <v>164</v>
      </c>
      <c r="H216" s="63">
        <v>58</v>
      </c>
      <c r="I216" s="65" t="s">
        <v>165</v>
      </c>
      <c r="J216" s="63">
        <v>265</v>
      </c>
      <c r="K216" s="64">
        <v>568.69000000000005</v>
      </c>
      <c r="L216" s="63" t="s">
        <v>1693</v>
      </c>
      <c r="M216" t="s">
        <v>1117</v>
      </c>
      <c r="N216" s="65" t="str">
        <f>queryCARRADAS_20250905_83647[[#This Row],[ORIGEM]]&amp;queryCARRADAS_20250905_83647[[#This Row],[DESTINO]]&amp;queryCARRADAS_20250905_83647[[#This Row],[MATERIAL]]</f>
        <v>GRANORTEUA SAO LUISPÓ DE BRITA</v>
      </c>
      <c r="O216" s="68" t="s">
        <v>164</v>
      </c>
    </row>
    <row r="217" spans="2:15" x14ac:dyDescent="0.25">
      <c r="B217" s="66">
        <v>45878</v>
      </c>
      <c r="C217" s="65">
        <v>1</v>
      </c>
      <c r="D217" s="63" t="s">
        <v>219</v>
      </c>
      <c r="E217" s="65" t="s">
        <v>220</v>
      </c>
      <c r="F217" s="65" t="s">
        <v>166</v>
      </c>
      <c r="G217" s="65" t="s">
        <v>164</v>
      </c>
      <c r="H217" s="63">
        <v>58</v>
      </c>
      <c r="I217" s="65" t="s">
        <v>165</v>
      </c>
      <c r="J217" s="63">
        <v>370</v>
      </c>
      <c r="K217" s="64">
        <v>794.02</v>
      </c>
      <c r="L217" s="63" t="s">
        <v>1365</v>
      </c>
      <c r="M217" t="s">
        <v>1117</v>
      </c>
      <c r="N217" s="65" t="str">
        <f>queryCARRADAS_20250905_83647[[#This Row],[ORIGEM]]&amp;queryCARRADAS_20250905_83647[[#This Row],[DESTINO]]&amp;queryCARRADAS_20250905_83647[[#This Row],[MATERIAL]]</f>
        <v>GRANORTEUA SAO LUISPÓ DE BRITA</v>
      </c>
      <c r="O217" s="68" t="s">
        <v>164</v>
      </c>
    </row>
    <row r="218" spans="2:15" x14ac:dyDescent="0.25">
      <c r="B218" s="66">
        <v>45878</v>
      </c>
      <c r="C218" s="65">
        <v>1</v>
      </c>
      <c r="D218" s="63" t="s">
        <v>167</v>
      </c>
      <c r="E218" s="65" t="s">
        <v>168</v>
      </c>
      <c r="F218" s="65" t="s">
        <v>166</v>
      </c>
      <c r="G218" s="65" t="s">
        <v>218</v>
      </c>
      <c r="H218" s="63">
        <v>71</v>
      </c>
      <c r="I218" s="65" t="s">
        <v>185</v>
      </c>
      <c r="J218" s="63">
        <v>2568</v>
      </c>
      <c r="K218" s="64">
        <v>674.61</v>
      </c>
      <c r="L218" s="63" t="s">
        <v>1641</v>
      </c>
      <c r="M218" t="s">
        <v>1117</v>
      </c>
      <c r="N218" s="65" t="str">
        <f>queryCARRADAS_20250905_83647[[#This Row],[ORIGEM]]&amp;queryCARRADAS_20250905_83647[[#This Row],[DESTINO]]&amp;queryCARRADAS_20250905_83647[[#This Row],[MATERIAL]]</f>
        <v>GRANORTEEXPOEMARACHÃOZINHO</v>
      </c>
      <c r="O218" s="68" t="s">
        <v>161</v>
      </c>
    </row>
    <row r="219" spans="2:15" x14ac:dyDescent="0.25">
      <c r="B219" s="66">
        <v>45878</v>
      </c>
      <c r="C219" s="65">
        <v>1</v>
      </c>
      <c r="D219" s="63" t="s">
        <v>196</v>
      </c>
      <c r="E219" s="65" t="s">
        <v>197</v>
      </c>
      <c r="F219" s="65" t="s">
        <v>190</v>
      </c>
      <c r="G219" s="65" t="s">
        <v>191</v>
      </c>
      <c r="H219" s="63">
        <v>217</v>
      </c>
      <c r="I219" s="65" t="s">
        <v>165</v>
      </c>
      <c r="J219" s="63">
        <v>4488</v>
      </c>
      <c r="K219" s="64">
        <v>3603.42</v>
      </c>
      <c r="L219" s="63" t="s">
        <v>1642</v>
      </c>
      <c r="M219" t="s">
        <v>1193</v>
      </c>
      <c r="N219" s="65" t="str">
        <f>queryCARRADAS_20250905_83647[[#This Row],[ORIGEM]]&amp;queryCARRADAS_20250905_83647[[#This Row],[DESTINO]]&amp;queryCARRADAS_20250905_83647[[#This Row],[MATERIAL]]</f>
        <v>SERVENGOLINDA NOVA - MAPÓ DE BRITA</v>
      </c>
      <c r="O219" s="68" t="s">
        <v>164</v>
      </c>
    </row>
    <row r="220" spans="2:15" x14ac:dyDescent="0.25">
      <c r="B220" s="66">
        <v>45878</v>
      </c>
      <c r="C220" s="65">
        <v>1</v>
      </c>
      <c r="D220" s="63" t="s">
        <v>213</v>
      </c>
      <c r="E220" s="65" t="s">
        <v>214</v>
      </c>
      <c r="F220" s="65" t="s">
        <v>166</v>
      </c>
      <c r="G220" s="65" t="s">
        <v>164</v>
      </c>
      <c r="H220" s="63">
        <v>58</v>
      </c>
      <c r="I220" s="65" t="s">
        <v>165</v>
      </c>
      <c r="J220" s="63">
        <v>7034</v>
      </c>
      <c r="K220" s="64">
        <v>1509.5</v>
      </c>
      <c r="L220" s="63" t="s">
        <v>1643</v>
      </c>
      <c r="M220" t="s">
        <v>1117</v>
      </c>
      <c r="N220" s="65" t="str">
        <f>queryCARRADAS_20250905_83647[[#This Row],[ORIGEM]]&amp;queryCARRADAS_20250905_83647[[#This Row],[DESTINO]]&amp;queryCARRADAS_20250905_83647[[#This Row],[MATERIAL]]</f>
        <v>GRANORTEUA SAO LUISPÓ DE BRITA</v>
      </c>
      <c r="O220" s="68" t="s">
        <v>164</v>
      </c>
    </row>
    <row r="221" spans="2:15" x14ac:dyDescent="0.25">
      <c r="B221" s="66">
        <v>45878</v>
      </c>
      <c r="C221" s="65">
        <v>1</v>
      </c>
      <c r="D221" s="63" t="s">
        <v>181</v>
      </c>
      <c r="E221" s="65" t="s">
        <v>182</v>
      </c>
      <c r="F221" s="65" t="s">
        <v>166</v>
      </c>
      <c r="G221" s="65" t="s">
        <v>218</v>
      </c>
      <c r="H221" s="63">
        <v>71</v>
      </c>
      <c r="I221" s="65" t="s">
        <v>169</v>
      </c>
      <c r="J221" s="63">
        <v>2572</v>
      </c>
      <c r="K221" s="64">
        <v>675.66</v>
      </c>
      <c r="L221" s="63" t="s">
        <v>1644</v>
      </c>
      <c r="M221" t="s">
        <v>1117</v>
      </c>
      <c r="N221" s="65" t="str">
        <f>queryCARRADAS_20250905_83647[[#This Row],[ORIGEM]]&amp;queryCARRADAS_20250905_83647[[#This Row],[DESTINO]]&amp;queryCARRADAS_20250905_83647[[#This Row],[MATERIAL]]</f>
        <v>GRANORTEEXPOEMAPULMÃOZINHO</v>
      </c>
      <c r="O221" s="68" t="s">
        <v>164</v>
      </c>
    </row>
    <row r="222" spans="2:15" x14ac:dyDescent="0.25">
      <c r="B222" s="66">
        <v>45878</v>
      </c>
      <c r="C222" s="65">
        <v>1</v>
      </c>
      <c r="D222" s="63" t="s">
        <v>170</v>
      </c>
      <c r="E222" s="65" t="s">
        <v>171</v>
      </c>
      <c r="F222" s="65" t="s">
        <v>166</v>
      </c>
      <c r="G222" s="65" t="s">
        <v>164</v>
      </c>
      <c r="H222" s="63">
        <v>58</v>
      </c>
      <c r="I222" s="65" t="s">
        <v>165</v>
      </c>
      <c r="J222" s="63">
        <v>2628</v>
      </c>
      <c r="K222" s="64">
        <v>563.97</v>
      </c>
      <c r="L222" s="63" t="s">
        <v>1645</v>
      </c>
      <c r="M222" t="s">
        <v>1117</v>
      </c>
      <c r="N222" s="65" t="str">
        <f>queryCARRADAS_20250905_83647[[#This Row],[ORIGEM]]&amp;queryCARRADAS_20250905_83647[[#This Row],[DESTINO]]&amp;queryCARRADAS_20250905_83647[[#This Row],[MATERIAL]]</f>
        <v>GRANORTEUA SAO LUISPÓ DE BRITA</v>
      </c>
      <c r="O222" s="68" t="s">
        <v>161</v>
      </c>
    </row>
    <row r="223" spans="2:15" x14ac:dyDescent="0.25">
      <c r="B223" s="66">
        <v>45878</v>
      </c>
      <c r="C223" s="65">
        <v>1</v>
      </c>
      <c r="D223" s="63" t="s">
        <v>181</v>
      </c>
      <c r="E223" s="65" t="s">
        <v>182</v>
      </c>
      <c r="F223" s="65" t="s">
        <v>166</v>
      </c>
      <c r="G223" s="65" t="s">
        <v>218</v>
      </c>
      <c r="H223" s="63">
        <v>71</v>
      </c>
      <c r="I223" s="65" t="s">
        <v>169</v>
      </c>
      <c r="J223" s="63">
        <v>2688</v>
      </c>
      <c r="K223" s="64">
        <v>706.14</v>
      </c>
      <c r="L223" s="63" t="s">
        <v>1646</v>
      </c>
      <c r="M223" t="s">
        <v>1117</v>
      </c>
      <c r="N223" s="65" t="str">
        <f>queryCARRADAS_20250905_83647[[#This Row],[ORIGEM]]&amp;queryCARRADAS_20250905_83647[[#This Row],[DESTINO]]&amp;queryCARRADAS_20250905_83647[[#This Row],[MATERIAL]]</f>
        <v>GRANORTEEXPOEMAPULMÃOZINHO</v>
      </c>
      <c r="O223" s="68" t="s">
        <v>164</v>
      </c>
    </row>
    <row r="224" spans="2:15" x14ac:dyDescent="0.25">
      <c r="B224" s="66">
        <v>45878</v>
      </c>
      <c r="C224" s="65">
        <v>1</v>
      </c>
      <c r="D224" s="63" t="s">
        <v>167</v>
      </c>
      <c r="E224" s="65" t="s">
        <v>168</v>
      </c>
      <c r="F224" s="65" t="s">
        <v>166</v>
      </c>
      <c r="G224" s="65" t="s">
        <v>218</v>
      </c>
      <c r="H224" s="63">
        <v>71</v>
      </c>
      <c r="I224" s="65" t="s">
        <v>185</v>
      </c>
      <c r="J224" s="63">
        <v>2724</v>
      </c>
      <c r="K224" s="64">
        <v>715.59</v>
      </c>
      <c r="L224" s="63" t="s">
        <v>1647</v>
      </c>
      <c r="M224" t="s">
        <v>1117</v>
      </c>
      <c r="N224" s="65" t="str">
        <f>queryCARRADAS_20250905_83647[[#This Row],[ORIGEM]]&amp;queryCARRADAS_20250905_83647[[#This Row],[DESTINO]]&amp;queryCARRADAS_20250905_83647[[#This Row],[MATERIAL]]</f>
        <v>GRANORTEEXPOEMARACHÃOZINHO</v>
      </c>
      <c r="O224" s="68" t="s">
        <v>164</v>
      </c>
    </row>
    <row r="225" spans="2:15" x14ac:dyDescent="0.25">
      <c r="B225" s="66">
        <v>45878</v>
      </c>
      <c r="C225" s="65">
        <v>1</v>
      </c>
      <c r="D225" s="63" t="s">
        <v>173</v>
      </c>
      <c r="E225" s="65" t="s">
        <v>174</v>
      </c>
      <c r="F225" s="65" t="s">
        <v>166</v>
      </c>
      <c r="G225" s="65" t="s">
        <v>218</v>
      </c>
      <c r="H225" s="63">
        <v>71</v>
      </c>
      <c r="I225" s="65" t="s">
        <v>169</v>
      </c>
      <c r="J225" s="63">
        <v>362</v>
      </c>
      <c r="K225" s="64">
        <v>950.97</v>
      </c>
      <c r="L225" s="63" t="s">
        <v>1648</v>
      </c>
      <c r="M225" t="s">
        <v>1117</v>
      </c>
      <c r="N225" s="65" t="str">
        <f>queryCARRADAS_20250905_83647[[#This Row],[ORIGEM]]&amp;queryCARRADAS_20250905_83647[[#This Row],[DESTINO]]&amp;queryCARRADAS_20250905_83647[[#This Row],[MATERIAL]]</f>
        <v>GRANORTEEXPOEMAPULMÃOZINHO</v>
      </c>
      <c r="O225" s="68" t="s">
        <v>164</v>
      </c>
    </row>
    <row r="226" spans="2:15" x14ac:dyDescent="0.25">
      <c r="B226" s="66">
        <v>45878</v>
      </c>
      <c r="C226" s="65">
        <v>1</v>
      </c>
      <c r="D226" s="63" t="s">
        <v>183</v>
      </c>
      <c r="E226" s="65" t="s">
        <v>184</v>
      </c>
      <c r="F226" s="65" t="s">
        <v>166</v>
      </c>
      <c r="G226" s="65" t="s">
        <v>164</v>
      </c>
      <c r="H226" s="63">
        <v>58</v>
      </c>
      <c r="I226" s="65" t="s">
        <v>165</v>
      </c>
      <c r="J226" s="63">
        <v>3146</v>
      </c>
      <c r="K226" s="64">
        <v>675.13</v>
      </c>
      <c r="L226" s="63" t="s">
        <v>1649</v>
      </c>
      <c r="M226" t="s">
        <v>1117</v>
      </c>
      <c r="N226" s="65" t="str">
        <f>queryCARRADAS_20250905_83647[[#This Row],[ORIGEM]]&amp;queryCARRADAS_20250905_83647[[#This Row],[DESTINO]]&amp;queryCARRADAS_20250905_83647[[#This Row],[MATERIAL]]</f>
        <v>GRANORTEUA SAO LUISPÓ DE BRITA</v>
      </c>
      <c r="O226" s="68" t="s">
        <v>164</v>
      </c>
    </row>
    <row r="227" spans="2:15" x14ac:dyDescent="0.25">
      <c r="B227" s="66">
        <v>45878</v>
      </c>
      <c r="C227" s="65">
        <v>1</v>
      </c>
      <c r="D227" s="63" t="s">
        <v>210</v>
      </c>
      <c r="E227" s="65" t="s">
        <v>211</v>
      </c>
      <c r="F227" s="65" t="s">
        <v>166</v>
      </c>
      <c r="G227" s="65" t="s">
        <v>223</v>
      </c>
      <c r="H227" s="63">
        <v>370</v>
      </c>
      <c r="I227" s="65" t="s">
        <v>165</v>
      </c>
      <c r="J227" s="63">
        <v>4854</v>
      </c>
      <c r="K227" s="64">
        <v>6645.13</v>
      </c>
      <c r="L227" s="63" t="s">
        <v>1650</v>
      </c>
      <c r="M227" t="s">
        <v>1117</v>
      </c>
      <c r="N227" s="65" t="str">
        <f>queryCARRADAS_20250905_83647[[#This Row],[ORIGEM]]&amp;queryCARRADAS_20250905_83647[[#This Row],[DESTINO]]&amp;queryCARRADAS_20250905_83647[[#This Row],[MATERIAL]]</f>
        <v>GRANORTEUA PINHEIRO - MAPÓ DE BRITA</v>
      </c>
      <c r="O227" s="68" t="s">
        <v>164</v>
      </c>
    </row>
    <row r="228" spans="2:15" x14ac:dyDescent="0.25">
      <c r="B228" s="66">
        <v>45878</v>
      </c>
      <c r="C228" s="65">
        <v>1</v>
      </c>
      <c r="D228" s="63" t="s">
        <v>203</v>
      </c>
      <c r="E228" s="65" t="s">
        <v>204</v>
      </c>
      <c r="F228" s="65" t="s">
        <v>166</v>
      </c>
      <c r="G228" s="65" t="s">
        <v>164</v>
      </c>
      <c r="H228" s="63">
        <v>58</v>
      </c>
      <c r="I228" s="65" t="s">
        <v>165</v>
      </c>
      <c r="J228" s="63">
        <v>4716</v>
      </c>
      <c r="K228" s="64">
        <v>1012.05</v>
      </c>
      <c r="L228" s="63" t="s">
        <v>1651</v>
      </c>
      <c r="M228" t="s">
        <v>1117</v>
      </c>
      <c r="N228" s="65" t="str">
        <f>queryCARRADAS_20250905_83647[[#This Row],[ORIGEM]]&amp;queryCARRADAS_20250905_83647[[#This Row],[DESTINO]]&amp;queryCARRADAS_20250905_83647[[#This Row],[MATERIAL]]</f>
        <v>GRANORTEUA SAO LUISPÓ DE BRITA</v>
      </c>
      <c r="O228" s="68" t="s">
        <v>154</v>
      </c>
    </row>
    <row r="229" spans="2:15" x14ac:dyDescent="0.25">
      <c r="B229" s="66">
        <v>45878</v>
      </c>
      <c r="C229" s="65">
        <v>1</v>
      </c>
      <c r="D229" s="63" t="s">
        <v>193</v>
      </c>
      <c r="E229" s="65" t="s">
        <v>194</v>
      </c>
      <c r="F229" s="65" t="s">
        <v>166</v>
      </c>
      <c r="G229" s="65" t="s">
        <v>218</v>
      </c>
      <c r="H229" s="63">
        <v>71</v>
      </c>
      <c r="I229" s="65" t="s">
        <v>172</v>
      </c>
      <c r="J229" s="63">
        <v>2848</v>
      </c>
      <c r="K229" s="64">
        <v>748.17</v>
      </c>
      <c r="L229" s="63" t="s">
        <v>1652</v>
      </c>
      <c r="M229" t="s">
        <v>1117</v>
      </c>
      <c r="N229" s="65" t="str">
        <f>queryCARRADAS_20250905_83647[[#This Row],[ORIGEM]]&amp;queryCARRADAS_20250905_83647[[#This Row],[DESTINO]]&amp;queryCARRADAS_20250905_83647[[#This Row],[MATERIAL]]</f>
        <v>GRANORTEEXPOEMABICA CORRIDA</v>
      </c>
      <c r="O229" s="68" t="s">
        <v>164</v>
      </c>
    </row>
    <row r="230" spans="2:15" x14ac:dyDescent="0.25">
      <c r="B230" s="66">
        <v>45878</v>
      </c>
      <c r="C230" s="65">
        <v>1</v>
      </c>
      <c r="D230" s="63" t="s">
        <v>199</v>
      </c>
      <c r="E230" s="65" t="s">
        <v>215</v>
      </c>
      <c r="F230" s="65" t="s">
        <v>166</v>
      </c>
      <c r="G230" s="65" t="s">
        <v>164</v>
      </c>
      <c r="H230" s="63">
        <v>58</v>
      </c>
      <c r="I230" s="65" t="s">
        <v>165</v>
      </c>
      <c r="J230" s="63">
        <v>288</v>
      </c>
      <c r="K230" s="64">
        <v>618.04999999999995</v>
      </c>
      <c r="L230" s="63" t="s">
        <v>1653</v>
      </c>
      <c r="M230" t="s">
        <v>1654</v>
      </c>
      <c r="N230" s="65" t="str">
        <f>queryCARRADAS_20250905_83647[[#This Row],[ORIGEM]]&amp;queryCARRADAS_20250905_83647[[#This Row],[DESTINO]]&amp;queryCARRADAS_20250905_83647[[#This Row],[MATERIAL]]</f>
        <v>GRANORTEUA SAO LUISPÓ DE BRITA</v>
      </c>
      <c r="O230" s="68" t="s">
        <v>164</v>
      </c>
    </row>
    <row r="231" spans="2:15" x14ac:dyDescent="0.25">
      <c r="B231" s="66">
        <v>45878</v>
      </c>
      <c r="C231" s="65">
        <v>1</v>
      </c>
      <c r="D231" s="63" t="s">
        <v>270</v>
      </c>
      <c r="E231" s="65" t="s">
        <v>1146</v>
      </c>
      <c r="F231" s="65" t="s">
        <v>166</v>
      </c>
      <c r="G231" s="65" t="s">
        <v>164</v>
      </c>
      <c r="H231" s="63">
        <v>58</v>
      </c>
      <c r="I231" s="65" t="s">
        <v>165</v>
      </c>
      <c r="J231" s="63">
        <v>4942</v>
      </c>
      <c r="K231" s="64">
        <v>1060.55</v>
      </c>
      <c r="L231" s="63" t="s">
        <v>1655</v>
      </c>
      <c r="M231" t="s">
        <v>1117</v>
      </c>
      <c r="N231" s="65" t="str">
        <f>queryCARRADAS_20250905_83647[[#This Row],[ORIGEM]]&amp;queryCARRADAS_20250905_83647[[#This Row],[DESTINO]]&amp;queryCARRADAS_20250905_83647[[#This Row],[MATERIAL]]</f>
        <v>GRANORTEUA SAO LUISPÓ DE BRITA</v>
      </c>
      <c r="O231" s="68" t="s">
        <v>164</v>
      </c>
    </row>
    <row r="232" spans="2:15" x14ac:dyDescent="0.25">
      <c r="B232" s="66">
        <v>45878</v>
      </c>
      <c r="C232" s="65">
        <v>1</v>
      </c>
      <c r="D232" s="63" t="s">
        <v>179</v>
      </c>
      <c r="E232" s="65" t="s">
        <v>180</v>
      </c>
      <c r="F232" s="65" t="s">
        <v>166</v>
      </c>
      <c r="G232" s="65" t="s">
        <v>164</v>
      </c>
      <c r="H232" s="63">
        <v>58</v>
      </c>
      <c r="I232" s="65" t="s">
        <v>165</v>
      </c>
      <c r="J232" s="63">
        <v>265</v>
      </c>
      <c r="K232" s="64">
        <v>568.69000000000005</v>
      </c>
      <c r="L232" s="63" t="s">
        <v>1656</v>
      </c>
      <c r="M232" t="s">
        <v>1117</v>
      </c>
      <c r="N232" s="65" t="str">
        <f>queryCARRADAS_20250905_83647[[#This Row],[ORIGEM]]&amp;queryCARRADAS_20250905_83647[[#This Row],[DESTINO]]&amp;queryCARRADAS_20250905_83647[[#This Row],[MATERIAL]]</f>
        <v>GRANORTEUA SAO LUISPÓ DE BRITA</v>
      </c>
      <c r="O232" s="68" t="s">
        <v>164</v>
      </c>
    </row>
    <row r="233" spans="2:15" x14ac:dyDescent="0.25">
      <c r="B233" s="66">
        <v>45878</v>
      </c>
      <c r="C233" s="65">
        <v>1</v>
      </c>
      <c r="D233" s="63" t="s">
        <v>186</v>
      </c>
      <c r="E233" s="65" t="s">
        <v>187</v>
      </c>
      <c r="F233" s="65" t="s">
        <v>190</v>
      </c>
      <c r="G233" s="65" t="s">
        <v>212</v>
      </c>
      <c r="H233" s="63">
        <v>376</v>
      </c>
      <c r="I233" s="65" t="s">
        <v>165</v>
      </c>
      <c r="J233" s="63">
        <v>520</v>
      </c>
      <c r="K233" s="64">
        <v>6256.64</v>
      </c>
      <c r="L233" s="63" t="s">
        <v>1657</v>
      </c>
      <c r="M233" t="s">
        <v>1117</v>
      </c>
      <c r="N233" s="65" t="str">
        <f>queryCARRADAS_20250905_83647[[#This Row],[ORIGEM]]&amp;queryCARRADAS_20250905_83647[[#This Row],[DESTINO]]&amp;queryCARRADAS_20250905_83647[[#This Row],[MATERIAL]]</f>
        <v>SERVENGUSINA PINHEIROPÓ DE BRITA</v>
      </c>
      <c r="O233" s="68" t="s">
        <v>164</v>
      </c>
    </row>
    <row r="234" spans="2:15" x14ac:dyDescent="0.25">
      <c r="B234" s="66">
        <v>45880</v>
      </c>
      <c r="C234" s="65">
        <v>1</v>
      </c>
      <c r="D234" s="63" t="s">
        <v>181</v>
      </c>
      <c r="E234" s="65" t="s">
        <v>182</v>
      </c>
      <c r="F234" s="65" t="s">
        <v>166</v>
      </c>
      <c r="G234" s="65" t="s">
        <v>218</v>
      </c>
      <c r="H234" s="63">
        <v>71</v>
      </c>
      <c r="I234" s="65" t="s">
        <v>169</v>
      </c>
      <c r="J234" s="63">
        <v>261</v>
      </c>
      <c r="K234" s="64">
        <v>685.65</v>
      </c>
      <c r="L234" s="63" t="s">
        <v>1620</v>
      </c>
      <c r="M234" t="s">
        <v>1117</v>
      </c>
      <c r="N234" s="65" t="str">
        <f>queryCARRADAS_20250905_83647[[#This Row],[ORIGEM]]&amp;queryCARRADAS_20250905_83647[[#This Row],[DESTINO]]&amp;queryCARRADAS_20250905_83647[[#This Row],[MATERIAL]]</f>
        <v>GRANORTEEXPOEMAPULMÃOZINHO</v>
      </c>
      <c r="O234" s="68" t="s">
        <v>164</v>
      </c>
    </row>
    <row r="235" spans="2:15" x14ac:dyDescent="0.25">
      <c r="B235" s="66">
        <v>45880</v>
      </c>
      <c r="C235" s="65">
        <v>1</v>
      </c>
      <c r="D235" s="63" t="s">
        <v>176</v>
      </c>
      <c r="E235" s="65" t="s">
        <v>177</v>
      </c>
      <c r="F235" s="65" t="s">
        <v>190</v>
      </c>
      <c r="G235" s="65" t="s">
        <v>212</v>
      </c>
      <c r="H235" s="63">
        <v>376</v>
      </c>
      <c r="I235" s="65" t="s">
        <v>165</v>
      </c>
      <c r="J235" s="63">
        <v>5196</v>
      </c>
      <c r="K235" s="64">
        <v>6251.83</v>
      </c>
      <c r="L235" s="63" t="s">
        <v>1621</v>
      </c>
      <c r="M235" t="s">
        <v>1117</v>
      </c>
      <c r="N235" s="65" t="str">
        <f>queryCARRADAS_20250905_83647[[#This Row],[ORIGEM]]&amp;queryCARRADAS_20250905_83647[[#This Row],[DESTINO]]&amp;queryCARRADAS_20250905_83647[[#This Row],[MATERIAL]]</f>
        <v>SERVENGUSINA PINHEIROPÓ DE BRITA</v>
      </c>
      <c r="O235" s="68" t="s">
        <v>164</v>
      </c>
    </row>
    <row r="236" spans="2:15" x14ac:dyDescent="0.25">
      <c r="B236" s="66">
        <v>45880</v>
      </c>
      <c r="C236" s="65">
        <v>1</v>
      </c>
      <c r="D236" s="63" t="s">
        <v>167</v>
      </c>
      <c r="E236" s="65" t="s">
        <v>168</v>
      </c>
      <c r="F236" s="65" t="s">
        <v>166</v>
      </c>
      <c r="G236" s="65" t="s">
        <v>218</v>
      </c>
      <c r="H236" s="63">
        <v>71</v>
      </c>
      <c r="I236" s="65" t="s">
        <v>169</v>
      </c>
      <c r="J236" s="63">
        <v>257</v>
      </c>
      <c r="K236" s="64">
        <v>675.14</v>
      </c>
      <c r="L236" s="63" t="s">
        <v>1622</v>
      </c>
      <c r="M236" t="s">
        <v>1117</v>
      </c>
      <c r="N236" s="65" t="str">
        <f>queryCARRADAS_20250905_83647[[#This Row],[ORIGEM]]&amp;queryCARRADAS_20250905_83647[[#This Row],[DESTINO]]&amp;queryCARRADAS_20250905_83647[[#This Row],[MATERIAL]]</f>
        <v>GRANORTEEXPOEMAPULMÃOZINHO</v>
      </c>
      <c r="O236" s="68" t="s">
        <v>164</v>
      </c>
    </row>
    <row r="237" spans="2:15" x14ac:dyDescent="0.25">
      <c r="B237" s="66">
        <v>45880</v>
      </c>
      <c r="C237" s="65">
        <v>1</v>
      </c>
      <c r="D237" s="63" t="s">
        <v>188</v>
      </c>
      <c r="E237" s="65" t="s">
        <v>189</v>
      </c>
      <c r="F237" s="65" t="s">
        <v>190</v>
      </c>
      <c r="G237" s="65" t="s">
        <v>191</v>
      </c>
      <c r="H237" s="63">
        <v>217</v>
      </c>
      <c r="I237" s="65" t="s">
        <v>165</v>
      </c>
      <c r="J237" s="63">
        <v>5064</v>
      </c>
      <c r="K237" s="64">
        <v>4065.89</v>
      </c>
      <c r="L237" s="63" t="s">
        <v>1623</v>
      </c>
      <c r="M237" t="s">
        <v>1117</v>
      </c>
      <c r="N237" s="65" t="str">
        <f>queryCARRADAS_20250905_83647[[#This Row],[ORIGEM]]&amp;queryCARRADAS_20250905_83647[[#This Row],[DESTINO]]&amp;queryCARRADAS_20250905_83647[[#This Row],[MATERIAL]]</f>
        <v>SERVENGOLINDA NOVA - MAPÓ DE BRITA</v>
      </c>
      <c r="O237" s="68" t="s">
        <v>164</v>
      </c>
    </row>
    <row r="238" spans="2:15" x14ac:dyDescent="0.25">
      <c r="B238" s="66">
        <v>45880</v>
      </c>
      <c r="C238" s="65">
        <v>1</v>
      </c>
      <c r="D238" s="63" t="s">
        <v>170</v>
      </c>
      <c r="E238" s="65" t="s">
        <v>171</v>
      </c>
      <c r="F238" s="65" t="s">
        <v>166</v>
      </c>
      <c r="G238" s="65" t="s">
        <v>164</v>
      </c>
      <c r="H238" s="63">
        <v>58</v>
      </c>
      <c r="I238" s="65" t="s">
        <v>165</v>
      </c>
      <c r="J238" s="63">
        <v>2542</v>
      </c>
      <c r="K238" s="64">
        <v>545.51</v>
      </c>
      <c r="L238" s="63" t="s">
        <v>1624</v>
      </c>
      <c r="M238" t="s">
        <v>1117</v>
      </c>
      <c r="N238" s="65" t="str">
        <f>queryCARRADAS_20250905_83647[[#This Row],[ORIGEM]]&amp;queryCARRADAS_20250905_83647[[#This Row],[DESTINO]]&amp;queryCARRADAS_20250905_83647[[#This Row],[MATERIAL]]</f>
        <v>GRANORTEUA SAO LUISPÓ DE BRITA</v>
      </c>
      <c r="O238" s="68" t="s">
        <v>164</v>
      </c>
    </row>
    <row r="239" spans="2:15" x14ac:dyDescent="0.25">
      <c r="B239" s="66">
        <v>45880</v>
      </c>
      <c r="C239" s="65">
        <v>1</v>
      </c>
      <c r="D239" s="63" t="s">
        <v>181</v>
      </c>
      <c r="E239" s="65" t="s">
        <v>182</v>
      </c>
      <c r="F239" s="65" t="s">
        <v>166</v>
      </c>
      <c r="G239" s="65" t="s">
        <v>218</v>
      </c>
      <c r="H239" s="63">
        <v>71</v>
      </c>
      <c r="I239" s="65" t="s">
        <v>169</v>
      </c>
      <c r="J239" s="63">
        <v>2684</v>
      </c>
      <c r="K239" s="64">
        <v>705.09</v>
      </c>
      <c r="L239" s="63" t="s">
        <v>1625</v>
      </c>
      <c r="M239" t="s">
        <v>1117</v>
      </c>
      <c r="N239" s="65" t="str">
        <f>queryCARRADAS_20250905_83647[[#This Row],[ORIGEM]]&amp;queryCARRADAS_20250905_83647[[#This Row],[DESTINO]]&amp;queryCARRADAS_20250905_83647[[#This Row],[MATERIAL]]</f>
        <v>GRANORTEEXPOEMAPULMÃOZINHO</v>
      </c>
      <c r="O239" s="68" t="s">
        <v>164</v>
      </c>
    </row>
    <row r="240" spans="2:15" x14ac:dyDescent="0.25">
      <c r="B240" s="66">
        <v>45880</v>
      </c>
      <c r="C240" s="65">
        <v>1</v>
      </c>
      <c r="D240" s="63" t="s">
        <v>173</v>
      </c>
      <c r="E240" s="65" t="s">
        <v>174</v>
      </c>
      <c r="F240" s="65" t="s">
        <v>166</v>
      </c>
      <c r="G240" s="65" t="s">
        <v>218</v>
      </c>
      <c r="H240" s="63">
        <v>71</v>
      </c>
      <c r="I240" s="65" t="s">
        <v>169</v>
      </c>
      <c r="J240" s="63">
        <v>292</v>
      </c>
      <c r="K240" s="64">
        <v>767.08</v>
      </c>
      <c r="L240" s="63" t="s">
        <v>1626</v>
      </c>
      <c r="M240" t="s">
        <v>1117</v>
      </c>
      <c r="N240" s="65" t="str">
        <f>queryCARRADAS_20250905_83647[[#This Row],[ORIGEM]]&amp;queryCARRADAS_20250905_83647[[#This Row],[DESTINO]]&amp;queryCARRADAS_20250905_83647[[#This Row],[MATERIAL]]</f>
        <v>GRANORTEEXPOEMAPULMÃOZINHO</v>
      </c>
      <c r="O240" s="68" t="s">
        <v>164</v>
      </c>
    </row>
    <row r="241" spans="2:15" x14ac:dyDescent="0.25">
      <c r="B241" s="66">
        <v>45880</v>
      </c>
      <c r="C241" s="65">
        <v>1</v>
      </c>
      <c r="D241" s="63" t="s">
        <v>181</v>
      </c>
      <c r="E241" s="65" t="s">
        <v>182</v>
      </c>
      <c r="F241" s="65" t="s">
        <v>166</v>
      </c>
      <c r="G241" s="65" t="s">
        <v>218</v>
      </c>
      <c r="H241" s="63">
        <v>71</v>
      </c>
      <c r="I241" s="65" t="s">
        <v>169</v>
      </c>
      <c r="J241" s="63">
        <v>2604</v>
      </c>
      <c r="K241" s="64">
        <v>684.07</v>
      </c>
      <c r="L241" s="63" t="s">
        <v>1627</v>
      </c>
      <c r="M241" t="s">
        <v>1117</v>
      </c>
      <c r="N241" s="65" t="str">
        <f>queryCARRADAS_20250905_83647[[#This Row],[ORIGEM]]&amp;queryCARRADAS_20250905_83647[[#This Row],[DESTINO]]&amp;queryCARRADAS_20250905_83647[[#This Row],[MATERIAL]]</f>
        <v>GRANORTEEXPOEMAPULMÃOZINHO</v>
      </c>
      <c r="O241" s="68" t="s">
        <v>164</v>
      </c>
    </row>
    <row r="242" spans="2:15" x14ac:dyDescent="0.25">
      <c r="B242" s="66">
        <v>45880</v>
      </c>
      <c r="C242" s="65">
        <v>1</v>
      </c>
      <c r="D242" s="63" t="s">
        <v>173</v>
      </c>
      <c r="E242" s="65" t="s">
        <v>174</v>
      </c>
      <c r="F242" s="65" t="s">
        <v>166</v>
      </c>
      <c r="G242" s="65" t="s">
        <v>218</v>
      </c>
      <c r="H242" s="63">
        <v>71</v>
      </c>
      <c r="I242" s="65" t="s">
        <v>169</v>
      </c>
      <c r="J242" s="63">
        <v>2956</v>
      </c>
      <c r="K242" s="64">
        <v>776.54</v>
      </c>
      <c r="L242" s="63" t="s">
        <v>1628</v>
      </c>
      <c r="M242" t="s">
        <v>1117</v>
      </c>
      <c r="N242" s="65" t="str">
        <f>queryCARRADAS_20250905_83647[[#This Row],[ORIGEM]]&amp;queryCARRADAS_20250905_83647[[#This Row],[DESTINO]]&amp;queryCARRADAS_20250905_83647[[#This Row],[MATERIAL]]</f>
        <v>GRANORTEEXPOEMAPULMÃOZINHO</v>
      </c>
      <c r="O242" s="68" t="s">
        <v>164</v>
      </c>
    </row>
    <row r="243" spans="2:15" x14ac:dyDescent="0.25">
      <c r="B243" s="66">
        <v>45880</v>
      </c>
      <c r="C243" s="65">
        <v>1</v>
      </c>
      <c r="D243" s="63" t="s">
        <v>170</v>
      </c>
      <c r="E243" s="65" t="s">
        <v>171</v>
      </c>
      <c r="F243" s="65" t="s">
        <v>166</v>
      </c>
      <c r="G243" s="65" t="s">
        <v>164</v>
      </c>
      <c r="H243" s="63">
        <v>58</v>
      </c>
      <c r="I243" s="65" t="s">
        <v>165</v>
      </c>
      <c r="J243" s="63">
        <v>2552</v>
      </c>
      <c r="K243" s="64">
        <v>547.66</v>
      </c>
      <c r="L243" s="63" t="s">
        <v>1629</v>
      </c>
      <c r="M243" t="s">
        <v>1117</v>
      </c>
      <c r="N243" s="65" t="str">
        <f>queryCARRADAS_20250905_83647[[#This Row],[ORIGEM]]&amp;queryCARRADAS_20250905_83647[[#This Row],[DESTINO]]&amp;queryCARRADAS_20250905_83647[[#This Row],[MATERIAL]]</f>
        <v>GRANORTEUA SAO LUISPÓ DE BRITA</v>
      </c>
      <c r="O243" s="68" t="s">
        <v>164</v>
      </c>
    </row>
    <row r="244" spans="2:15" x14ac:dyDescent="0.25">
      <c r="B244" s="66">
        <v>45880</v>
      </c>
      <c r="C244" s="65">
        <v>1</v>
      </c>
      <c r="D244" s="63" t="s">
        <v>1127</v>
      </c>
      <c r="E244" s="65" t="s">
        <v>178</v>
      </c>
      <c r="F244" s="65" t="s">
        <v>166</v>
      </c>
      <c r="G244" s="65" t="s">
        <v>164</v>
      </c>
      <c r="H244" s="63">
        <v>58</v>
      </c>
      <c r="I244" s="65" t="s">
        <v>165</v>
      </c>
      <c r="J244" s="63">
        <v>297</v>
      </c>
      <c r="K244" s="64">
        <v>637.36</v>
      </c>
      <c r="L244" s="63" t="s">
        <v>1630</v>
      </c>
      <c r="M244" t="s">
        <v>1117</v>
      </c>
      <c r="N244" s="65" t="str">
        <f>queryCARRADAS_20250905_83647[[#This Row],[ORIGEM]]&amp;queryCARRADAS_20250905_83647[[#This Row],[DESTINO]]&amp;queryCARRADAS_20250905_83647[[#This Row],[MATERIAL]]</f>
        <v>GRANORTEUA SAO LUISPÓ DE BRITA</v>
      </c>
      <c r="O244" s="68" t="s">
        <v>164</v>
      </c>
    </row>
    <row r="245" spans="2:15" x14ac:dyDescent="0.25">
      <c r="B245" s="66">
        <v>45880</v>
      </c>
      <c r="C245" s="65">
        <v>1</v>
      </c>
      <c r="D245" s="63" t="s">
        <v>1127</v>
      </c>
      <c r="E245" s="65" t="s">
        <v>178</v>
      </c>
      <c r="F245" s="65" t="s">
        <v>166</v>
      </c>
      <c r="G245" s="65" t="s">
        <v>164</v>
      </c>
      <c r="H245" s="63">
        <v>58</v>
      </c>
      <c r="I245" s="65" t="s">
        <v>165</v>
      </c>
      <c r="J245" s="63">
        <v>2928</v>
      </c>
      <c r="K245" s="64">
        <v>628.35</v>
      </c>
      <c r="L245" s="63" t="s">
        <v>1631</v>
      </c>
      <c r="M245" t="s">
        <v>1117</v>
      </c>
      <c r="N245" s="65" t="str">
        <f>queryCARRADAS_20250905_83647[[#This Row],[ORIGEM]]&amp;queryCARRADAS_20250905_83647[[#This Row],[DESTINO]]&amp;queryCARRADAS_20250905_83647[[#This Row],[MATERIAL]]</f>
        <v>GRANORTEUA SAO LUISPÓ DE BRITA</v>
      </c>
      <c r="O245" s="68" t="s">
        <v>164</v>
      </c>
    </row>
    <row r="246" spans="2:15" x14ac:dyDescent="0.25">
      <c r="B246" s="66">
        <v>45880</v>
      </c>
      <c r="C246" s="65">
        <v>1</v>
      </c>
      <c r="D246" s="63" t="s">
        <v>1127</v>
      </c>
      <c r="E246" s="65" t="s">
        <v>178</v>
      </c>
      <c r="F246" s="65" t="s">
        <v>166</v>
      </c>
      <c r="G246" s="65" t="s">
        <v>164</v>
      </c>
      <c r="H246" s="63">
        <v>58</v>
      </c>
      <c r="I246" s="65" t="s">
        <v>165</v>
      </c>
      <c r="J246" s="63">
        <v>3036</v>
      </c>
      <c r="K246" s="64">
        <v>651.53</v>
      </c>
      <c r="L246" s="63" t="s">
        <v>1632</v>
      </c>
      <c r="M246" t="s">
        <v>1117</v>
      </c>
      <c r="N246" s="65" t="str">
        <f>queryCARRADAS_20250905_83647[[#This Row],[ORIGEM]]&amp;queryCARRADAS_20250905_83647[[#This Row],[DESTINO]]&amp;queryCARRADAS_20250905_83647[[#This Row],[MATERIAL]]</f>
        <v>GRANORTEUA SAO LUISPÓ DE BRITA</v>
      </c>
      <c r="O246" s="68" t="s">
        <v>154</v>
      </c>
    </row>
    <row r="247" spans="2:15" x14ac:dyDescent="0.25">
      <c r="B247" s="66">
        <v>45880</v>
      </c>
      <c r="C247" s="65">
        <v>1</v>
      </c>
      <c r="D247" s="63" t="s">
        <v>200</v>
      </c>
      <c r="E247" s="65" t="s">
        <v>201</v>
      </c>
      <c r="F247" s="65" t="s">
        <v>190</v>
      </c>
      <c r="G247" s="65" t="s">
        <v>212</v>
      </c>
      <c r="H247" s="63">
        <v>376</v>
      </c>
      <c r="I247" s="65" t="s">
        <v>165</v>
      </c>
      <c r="J247" s="63">
        <v>4894</v>
      </c>
      <c r="K247" s="64">
        <v>5888.46</v>
      </c>
      <c r="L247" s="63" t="s">
        <v>1633</v>
      </c>
      <c r="M247" t="s">
        <v>1117</v>
      </c>
      <c r="N247" s="65" t="str">
        <f>queryCARRADAS_20250905_83647[[#This Row],[ORIGEM]]&amp;queryCARRADAS_20250905_83647[[#This Row],[DESTINO]]&amp;queryCARRADAS_20250905_83647[[#This Row],[MATERIAL]]</f>
        <v>SERVENGUSINA PINHEIROPÓ DE BRITA</v>
      </c>
      <c r="O247" s="68" t="s">
        <v>164</v>
      </c>
    </row>
    <row r="248" spans="2:15" x14ac:dyDescent="0.25">
      <c r="B248" s="66">
        <v>45880</v>
      </c>
      <c r="C248" s="65">
        <v>1</v>
      </c>
      <c r="D248" s="63" t="s">
        <v>213</v>
      </c>
      <c r="E248" s="65" t="s">
        <v>214</v>
      </c>
      <c r="F248" s="65" t="s">
        <v>190</v>
      </c>
      <c r="G248" s="65" t="s">
        <v>191</v>
      </c>
      <c r="H248" s="63">
        <v>217</v>
      </c>
      <c r="I248" s="65" t="s">
        <v>165</v>
      </c>
      <c r="J248" s="63">
        <v>5392</v>
      </c>
      <c r="K248" s="64">
        <v>4329.24</v>
      </c>
      <c r="L248" s="63" t="s">
        <v>1634</v>
      </c>
      <c r="M248" t="s">
        <v>1117</v>
      </c>
      <c r="N248" s="65" t="str">
        <f>queryCARRADAS_20250905_83647[[#This Row],[ORIGEM]]&amp;queryCARRADAS_20250905_83647[[#This Row],[DESTINO]]&amp;queryCARRADAS_20250905_83647[[#This Row],[MATERIAL]]</f>
        <v>SERVENGOLINDA NOVA - MAPÓ DE BRITA</v>
      </c>
      <c r="O248" s="68" t="s">
        <v>164</v>
      </c>
    </row>
    <row r="249" spans="2:15" x14ac:dyDescent="0.25">
      <c r="B249" s="66">
        <v>45880</v>
      </c>
      <c r="C249" s="65">
        <v>1</v>
      </c>
      <c r="D249" s="63" t="s">
        <v>1129</v>
      </c>
      <c r="E249" s="65" t="s">
        <v>1130</v>
      </c>
      <c r="F249" s="65" t="s">
        <v>1131</v>
      </c>
      <c r="G249" s="65" t="s">
        <v>1132</v>
      </c>
      <c r="H249" s="63">
        <v>69</v>
      </c>
      <c r="I249" s="65" t="s">
        <v>165</v>
      </c>
      <c r="J249" s="63">
        <v>3531</v>
      </c>
      <c r="K249" s="64">
        <v>901.46</v>
      </c>
      <c r="L249" s="63" t="s">
        <v>1635</v>
      </c>
      <c r="M249" t="s">
        <v>1117</v>
      </c>
      <c r="N249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249" s="68" t="s">
        <v>164</v>
      </c>
    </row>
    <row r="250" spans="2:15" x14ac:dyDescent="0.25">
      <c r="B250" s="66">
        <v>45880</v>
      </c>
      <c r="C250" s="65">
        <v>1</v>
      </c>
      <c r="D250" s="63" t="s">
        <v>275</v>
      </c>
      <c r="E250" s="65" t="s">
        <v>217</v>
      </c>
      <c r="F250" s="65" t="s">
        <v>166</v>
      </c>
      <c r="G250" s="65" t="s">
        <v>223</v>
      </c>
      <c r="H250" s="63">
        <v>370</v>
      </c>
      <c r="I250" s="65" t="s">
        <v>165</v>
      </c>
      <c r="J250" s="63">
        <v>4694</v>
      </c>
      <c r="K250" s="64">
        <v>6426.09</v>
      </c>
      <c r="L250" s="63" t="s">
        <v>1636</v>
      </c>
      <c r="M250" t="s">
        <v>1117</v>
      </c>
      <c r="N250" s="65" t="str">
        <f>queryCARRADAS_20250905_83647[[#This Row],[ORIGEM]]&amp;queryCARRADAS_20250905_83647[[#This Row],[DESTINO]]&amp;queryCARRADAS_20250905_83647[[#This Row],[MATERIAL]]</f>
        <v>GRANORTEUA PINHEIRO - MAPÓ DE BRITA</v>
      </c>
      <c r="O250" s="68" t="s">
        <v>164</v>
      </c>
    </row>
    <row r="251" spans="2:15" x14ac:dyDescent="0.25">
      <c r="B251" s="66">
        <v>45880</v>
      </c>
      <c r="C251" s="65">
        <v>1</v>
      </c>
      <c r="D251" s="63" t="s">
        <v>176</v>
      </c>
      <c r="E251" s="65" t="s">
        <v>177</v>
      </c>
      <c r="F251" s="65" t="s">
        <v>166</v>
      </c>
      <c r="G251" s="65" t="s">
        <v>223</v>
      </c>
      <c r="H251" s="63">
        <v>370</v>
      </c>
      <c r="I251" s="65" t="s">
        <v>165</v>
      </c>
      <c r="J251" s="63">
        <v>4452</v>
      </c>
      <c r="K251" s="64">
        <v>6094.79</v>
      </c>
      <c r="L251" s="63" t="s">
        <v>1637</v>
      </c>
      <c r="M251" t="s">
        <v>1117</v>
      </c>
      <c r="N251" s="65" t="str">
        <f>queryCARRADAS_20250905_83647[[#This Row],[ORIGEM]]&amp;queryCARRADAS_20250905_83647[[#This Row],[DESTINO]]&amp;queryCARRADAS_20250905_83647[[#This Row],[MATERIAL]]</f>
        <v>GRANORTEUA PINHEIRO - MAPÓ DE BRITA</v>
      </c>
      <c r="O251" s="68" t="s">
        <v>164</v>
      </c>
    </row>
    <row r="252" spans="2:15" x14ac:dyDescent="0.25">
      <c r="B252" s="66">
        <v>45880</v>
      </c>
      <c r="C252" s="65">
        <v>1</v>
      </c>
      <c r="D252" s="63" t="s">
        <v>208</v>
      </c>
      <c r="E252" s="65" t="s">
        <v>209</v>
      </c>
      <c r="F252" s="65" t="s">
        <v>190</v>
      </c>
      <c r="G252" s="65" t="s">
        <v>212</v>
      </c>
      <c r="H252" s="63">
        <v>376</v>
      </c>
      <c r="I252" s="65" t="s">
        <v>165</v>
      </c>
      <c r="J252" s="63">
        <v>520</v>
      </c>
      <c r="K252" s="64">
        <v>6256.64</v>
      </c>
      <c r="L252" s="63" t="s">
        <v>1638</v>
      </c>
      <c r="M252" t="s">
        <v>1117</v>
      </c>
      <c r="N252" s="65" t="str">
        <f>queryCARRADAS_20250905_83647[[#This Row],[ORIGEM]]&amp;queryCARRADAS_20250905_83647[[#This Row],[DESTINO]]&amp;queryCARRADAS_20250905_83647[[#This Row],[MATERIAL]]</f>
        <v>SERVENGUSINA PINHEIROPÓ DE BRITA</v>
      </c>
      <c r="O252" s="68" t="s">
        <v>164</v>
      </c>
    </row>
    <row r="253" spans="2:15" x14ac:dyDescent="0.25">
      <c r="B253" s="66">
        <v>45880</v>
      </c>
      <c r="C253" s="65">
        <v>1</v>
      </c>
      <c r="D253" s="63" t="s">
        <v>270</v>
      </c>
      <c r="E253" s="65" t="s">
        <v>1146</v>
      </c>
      <c r="F253" s="65" t="s">
        <v>190</v>
      </c>
      <c r="G253" s="65" t="s">
        <v>212</v>
      </c>
      <c r="H253" s="63">
        <v>376</v>
      </c>
      <c r="I253" s="65" t="s">
        <v>165</v>
      </c>
      <c r="J253" s="63">
        <v>4962</v>
      </c>
      <c r="K253" s="64">
        <v>5970.28</v>
      </c>
      <c r="L253" s="63" t="s">
        <v>1639</v>
      </c>
      <c r="M253" t="s">
        <v>1117</v>
      </c>
      <c r="N253" s="65" t="str">
        <f>queryCARRADAS_20250905_83647[[#This Row],[ORIGEM]]&amp;queryCARRADAS_20250905_83647[[#This Row],[DESTINO]]&amp;queryCARRADAS_20250905_83647[[#This Row],[MATERIAL]]</f>
        <v>SERVENGUSINA PINHEIROPÓ DE BRITA</v>
      </c>
      <c r="O253" s="68" t="s">
        <v>164</v>
      </c>
    </row>
    <row r="254" spans="2:15" x14ac:dyDescent="0.25">
      <c r="B254" s="66">
        <v>45880</v>
      </c>
      <c r="C254" s="65">
        <v>1</v>
      </c>
      <c r="D254" s="63" t="s">
        <v>186</v>
      </c>
      <c r="E254" s="65" t="s">
        <v>187</v>
      </c>
      <c r="F254" s="65" t="s">
        <v>190</v>
      </c>
      <c r="G254" s="65" t="s">
        <v>212</v>
      </c>
      <c r="H254" s="63">
        <v>376</v>
      </c>
      <c r="I254" s="65" t="s">
        <v>165</v>
      </c>
      <c r="J254" s="63">
        <v>516</v>
      </c>
      <c r="K254" s="64">
        <v>6208.51</v>
      </c>
      <c r="L254" s="63" t="s">
        <v>1640</v>
      </c>
      <c r="M254" t="s">
        <v>1117</v>
      </c>
      <c r="N254" s="65" t="str">
        <f>queryCARRADAS_20250905_83647[[#This Row],[ORIGEM]]&amp;queryCARRADAS_20250905_83647[[#This Row],[DESTINO]]&amp;queryCARRADAS_20250905_83647[[#This Row],[MATERIAL]]</f>
        <v>SERVENGUSINA PINHEIROPÓ DE BRITA</v>
      </c>
      <c r="O254" s="68" t="s">
        <v>164</v>
      </c>
    </row>
    <row r="255" spans="2:15" x14ac:dyDescent="0.25">
      <c r="B255" s="66">
        <v>45881</v>
      </c>
      <c r="C255" s="65">
        <v>1</v>
      </c>
      <c r="D255" s="63" t="s">
        <v>196</v>
      </c>
      <c r="E255" s="65" t="s">
        <v>197</v>
      </c>
      <c r="F255" s="65" t="s">
        <v>166</v>
      </c>
      <c r="G255" s="65" t="s">
        <v>191</v>
      </c>
      <c r="H255" s="63">
        <v>243</v>
      </c>
      <c r="I255" s="65" t="s">
        <v>165</v>
      </c>
      <c r="J255" s="63">
        <v>4616</v>
      </c>
      <c r="K255" s="64">
        <v>4150.25</v>
      </c>
      <c r="L255" s="63" t="s">
        <v>1595</v>
      </c>
      <c r="M255" t="s">
        <v>1193</v>
      </c>
      <c r="N255" s="65" t="str">
        <f>queryCARRADAS_20250905_83647[[#This Row],[ORIGEM]]&amp;queryCARRADAS_20250905_83647[[#This Row],[DESTINO]]&amp;queryCARRADAS_20250905_83647[[#This Row],[MATERIAL]]</f>
        <v>GRANORTEOLINDA NOVA - MAPÓ DE BRITA</v>
      </c>
      <c r="O255" s="68" t="s">
        <v>164</v>
      </c>
    </row>
    <row r="256" spans="2:15" x14ac:dyDescent="0.25">
      <c r="B256" s="66">
        <v>45881</v>
      </c>
      <c r="C256" s="65">
        <v>1</v>
      </c>
      <c r="D256" s="63" t="s">
        <v>167</v>
      </c>
      <c r="E256" s="65" t="s">
        <v>168</v>
      </c>
      <c r="F256" s="65" t="s">
        <v>166</v>
      </c>
      <c r="G256" s="65" t="s">
        <v>218</v>
      </c>
      <c r="H256" s="63">
        <v>71</v>
      </c>
      <c r="I256" s="65" t="s">
        <v>169</v>
      </c>
      <c r="J256" s="63">
        <v>2568</v>
      </c>
      <c r="K256" s="64">
        <v>674.61</v>
      </c>
      <c r="L256" s="63" t="s">
        <v>1596</v>
      </c>
      <c r="M256" t="s">
        <v>1117</v>
      </c>
      <c r="N256" s="65" t="str">
        <f>queryCARRADAS_20250905_83647[[#This Row],[ORIGEM]]&amp;queryCARRADAS_20250905_83647[[#This Row],[DESTINO]]&amp;queryCARRADAS_20250905_83647[[#This Row],[MATERIAL]]</f>
        <v>GRANORTEEXPOEMAPULMÃOZINHO</v>
      </c>
      <c r="O256" s="68" t="s">
        <v>164</v>
      </c>
    </row>
    <row r="257" spans="2:15" x14ac:dyDescent="0.25">
      <c r="B257" s="66">
        <v>45881</v>
      </c>
      <c r="C257" s="65">
        <v>1</v>
      </c>
      <c r="D257" s="63" t="s">
        <v>170</v>
      </c>
      <c r="E257" s="65" t="s">
        <v>171</v>
      </c>
      <c r="F257" s="65" t="s">
        <v>166</v>
      </c>
      <c r="G257" s="65" t="s">
        <v>164</v>
      </c>
      <c r="H257" s="63">
        <v>58</v>
      </c>
      <c r="I257" s="65" t="s">
        <v>165</v>
      </c>
      <c r="J257" s="63">
        <v>2592</v>
      </c>
      <c r="K257" s="64">
        <v>556.24</v>
      </c>
      <c r="L257" s="63" t="s">
        <v>1597</v>
      </c>
      <c r="M257" t="s">
        <v>1117</v>
      </c>
      <c r="N257" s="65" t="str">
        <f>queryCARRADAS_20250905_83647[[#This Row],[ORIGEM]]&amp;queryCARRADAS_20250905_83647[[#This Row],[DESTINO]]&amp;queryCARRADAS_20250905_83647[[#This Row],[MATERIAL]]</f>
        <v>GRANORTEUA SAO LUISPÓ DE BRITA</v>
      </c>
      <c r="O257" s="68" t="s">
        <v>164</v>
      </c>
    </row>
    <row r="258" spans="2:15" x14ac:dyDescent="0.25">
      <c r="B258" s="66">
        <v>45881</v>
      </c>
      <c r="C258" s="65">
        <v>1</v>
      </c>
      <c r="D258" s="63" t="s">
        <v>203</v>
      </c>
      <c r="E258" s="65" t="s">
        <v>204</v>
      </c>
      <c r="F258" s="65" t="s">
        <v>166</v>
      </c>
      <c r="G258" s="65" t="s">
        <v>223</v>
      </c>
      <c r="H258" s="63">
        <v>370</v>
      </c>
      <c r="I258" s="65" t="s">
        <v>165</v>
      </c>
      <c r="J258" s="63">
        <v>477</v>
      </c>
      <c r="K258" s="64">
        <v>6530.13</v>
      </c>
      <c r="L258" s="63" t="s">
        <v>1598</v>
      </c>
      <c r="M258" t="s">
        <v>1117</v>
      </c>
      <c r="N258" s="65" t="str">
        <f>queryCARRADAS_20250905_83647[[#This Row],[ORIGEM]]&amp;queryCARRADAS_20250905_83647[[#This Row],[DESTINO]]&amp;queryCARRADAS_20250905_83647[[#This Row],[MATERIAL]]</f>
        <v>GRANORTEUA PINHEIRO - MAPÓ DE BRITA</v>
      </c>
      <c r="O258" s="68" t="s">
        <v>164</v>
      </c>
    </row>
    <row r="259" spans="2:15" x14ac:dyDescent="0.25">
      <c r="B259" s="66">
        <v>45881</v>
      </c>
      <c r="C259" s="65">
        <v>1</v>
      </c>
      <c r="D259" s="63" t="s">
        <v>181</v>
      </c>
      <c r="E259" s="65" t="s">
        <v>182</v>
      </c>
      <c r="F259" s="65" t="s">
        <v>166</v>
      </c>
      <c r="G259" s="65" t="s">
        <v>218</v>
      </c>
      <c r="H259" s="63">
        <v>71</v>
      </c>
      <c r="I259" s="65" t="s">
        <v>169</v>
      </c>
      <c r="J259" s="63">
        <v>2734</v>
      </c>
      <c r="K259" s="64">
        <v>718.22</v>
      </c>
      <c r="L259" s="63" t="s">
        <v>1599</v>
      </c>
      <c r="M259" t="s">
        <v>1117</v>
      </c>
      <c r="N259" s="65" t="str">
        <f>queryCARRADAS_20250905_83647[[#This Row],[ORIGEM]]&amp;queryCARRADAS_20250905_83647[[#This Row],[DESTINO]]&amp;queryCARRADAS_20250905_83647[[#This Row],[MATERIAL]]</f>
        <v>GRANORTEEXPOEMAPULMÃOZINHO</v>
      </c>
      <c r="O259" s="68" t="s">
        <v>164</v>
      </c>
    </row>
    <row r="260" spans="2:15" x14ac:dyDescent="0.25">
      <c r="B260" s="66">
        <v>45881</v>
      </c>
      <c r="C260" s="65">
        <v>1</v>
      </c>
      <c r="D260" s="63" t="s">
        <v>202</v>
      </c>
      <c r="E260" s="65" t="s">
        <v>1153</v>
      </c>
      <c r="F260" s="65" t="s">
        <v>166</v>
      </c>
      <c r="G260" s="65" t="s">
        <v>191</v>
      </c>
      <c r="H260" s="63">
        <v>243</v>
      </c>
      <c r="I260" s="65" t="s">
        <v>165</v>
      </c>
      <c r="J260" s="63">
        <v>501</v>
      </c>
      <c r="K260" s="64">
        <v>4504.49</v>
      </c>
      <c r="L260" s="63" t="s">
        <v>1600</v>
      </c>
      <c r="M260" t="s">
        <v>1117</v>
      </c>
      <c r="N260" s="65" t="str">
        <f>queryCARRADAS_20250905_83647[[#This Row],[ORIGEM]]&amp;queryCARRADAS_20250905_83647[[#This Row],[DESTINO]]&amp;queryCARRADAS_20250905_83647[[#This Row],[MATERIAL]]</f>
        <v>GRANORTEOLINDA NOVA - MAPÓ DE BRITA</v>
      </c>
      <c r="O260" s="68" t="s">
        <v>164</v>
      </c>
    </row>
    <row r="261" spans="2:15" x14ac:dyDescent="0.25">
      <c r="B261" s="66">
        <v>45881</v>
      </c>
      <c r="C261" s="65">
        <v>1</v>
      </c>
      <c r="D261" s="63" t="s">
        <v>1127</v>
      </c>
      <c r="E261" s="65" t="s">
        <v>178</v>
      </c>
      <c r="F261" s="65" t="s">
        <v>166</v>
      </c>
      <c r="G261" s="65" t="s">
        <v>164</v>
      </c>
      <c r="H261" s="63">
        <v>58</v>
      </c>
      <c r="I261" s="65" t="s">
        <v>165</v>
      </c>
      <c r="J261" s="63">
        <v>2752</v>
      </c>
      <c r="K261" s="64">
        <v>590.58000000000004</v>
      </c>
      <c r="L261" s="63" t="s">
        <v>1601</v>
      </c>
      <c r="M261" t="s">
        <v>1117</v>
      </c>
      <c r="N261" s="65" t="str">
        <f>queryCARRADAS_20250905_83647[[#This Row],[ORIGEM]]&amp;queryCARRADAS_20250905_83647[[#This Row],[DESTINO]]&amp;queryCARRADAS_20250905_83647[[#This Row],[MATERIAL]]</f>
        <v>GRANORTEUA SAO LUISPÓ DE BRITA</v>
      </c>
      <c r="O261" s="68" t="s">
        <v>164</v>
      </c>
    </row>
    <row r="262" spans="2:15" x14ac:dyDescent="0.25">
      <c r="B262" s="66">
        <v>45881</v>
      </c>
      <c r="C262" s="65">
        <v>1</v>
      </c>
      <c r="D262" s="63" t="s">
        <v>188</v>
      </c>
      <c r="E262" s="65" t="s">
        <v>189</v>
      </c>
      <c r="F262" s="65" t="s">
        <v>166</v>
      </c>
      <c r="G262" s="65" t="s">
        <v>191</v>
      </c>
      <c r="H262" s="63">
        <v>243</v>
      </c>
      <c r="I262" s="65" t="s">
        <v>221</v>
      </c>
      <c r="J262" s="63">
        <v>4968</v>
      </c>
      <c r="K262" s="64">
        <v>4466.7299999999996</v>
      </c>
      <c r="L262" s="63" t="s">
        <v>1602</v>
      </c>
      <c r="M262" t="s">
        <v>1117</v>
      </c>
      <c r="N262" s="65" t="str">
        <f>queryCARRADAS_20250905_83647[[#This Row],[ORIGEM]]&amp;queryCARRADAS_20250905_83647[[#This Row],[DESTINO]]&amp;queryCARRADAS_20250905_83647[[#This Row],[MATERIAL]]</f>
        <v>GRANORTEOLINDA NOVA - MABGS</v>
      </c>
      <c r="O262" s="68" t="s">
        <v>164</v>
      </c>
    </row>
    <row r="263" spans="2:15" x14ac:dyDescent="0.25">
      <c r="B263" s="66">
        <v>45881</v>
      </c>
      <c r="C263" s="65">
        <v>1</v>
      </c>
      <c r="D263" s="63" t="s">
        <v>167</v>
      </c>
      <c r="E263" s="65" t="s">
        <v>168</v>
      </c>
      <c r="F263" s="65" t="s">
        <v>166</v>
      </c>
      <c r="G263" s="65" t="s">
        <v>218</v>
      </c>
      <c r="H263" s="63">
        <v>71</v>
      </c>
      <c r="I263" s="65" t="s">
        <v>185</v>
      </c>
      <c r="J263" s="63">
        <v>257</v>
      </c>
      <c r="K263" s="64">
        <v>675.14</v>
      </c>
      <c r="L263" s="63" t="s">
        <v>1603</v>
      </c>
      <c r="M263" t="s">
        <v>1117</v>
      </c>
      <c r="N263" s="65" t="str">
        <f>queryCARRADAS_20250905_83647[[#This Row],[ORIGEM]]&amp;queryCARRADAS_20250905_83647[[#This Row],[DESTINO]]&amp;queryCARRADAS_20250905_83647[[#This Row],[MATERIAL]]</f>
        <v>GRANORTEEXPOEMARACHÃOZINHO</v>
      </c>
      <c r="O263" s="68" t="s">
        <v>154</v>
      </c>
    </row>
    <row r="264" spans="2:15" x14ac:dyDescent="0.25">
      <c r="B264" s="66">
        <v>45881</v>
      </c>
      <c r="C264" s="65">
        <v>1</v>
      </c>
      <c r="D264" s="63" t="s">
        <v>181</v>
      </c>
      <c r="E264" s="65" t="s">
        <v>182</v>
      </c>
      <c r="F264" s="65" t="s">
        <v>166</v>
      </c>
      <c r="G264" s="65" t="s">
        <v>218</v>
      </c>
      <c r="H264" s="63">
        <v>71</v>
      </c>
      <c r="I264" s="65" t="s">
        <v>169</v>
      </c>
      <c r="J264" s="63">
        <v>275</v>
      </c>
      <c r="K264" s="64">
        <v>722.43</v>
      </c>
      <c r="L264" s="63" t="s">
        <v>1604</v>
      </c>
      <c r="M264" t="s">
        <v>1117</v>
      </c>
      <c r="N264" s="65" t="str">
        <f>queryCARRADAS_20250905_83647[[#This Row],[ORIGEM]]&amp;queryCARRADAS_20250905_83647[[#This Row],[DESTINO]]&amp;queryCARRADAS_20250905_83647[[#This Row],[MATERIAL]]</f>
        <v>GRANORTEEXPOEMAPULMÃOZINHO</v>
      </c>
      <c r="O264" s="68" t="s">
        <v>164</v>
      </c>
    </row>
    <row r="265" spans="2:15" x14ac:dyDescent="0.25">
      <c r="B265" s="66">
        <v>45881</v>
      </c>
      <c r="C265" s="65">
        <v>1</v>
      </c>
      <c r="D265" s="63" t="s">
        <v>167</v>
      </c>
      <c r="E265" s="65" t="s">
        <v>168</v>
      </c>
      <c r="F265" s="65" t="s">
        <v>166</v>
      </c>
      <c r="G265" s="65" t="s">
        <v>218</v>
      </c>
      <c r="H265" s="63">
        <v>71</v>
      </c>
      <c r="I265" s="65" t="s">
        <v>169</v>
      </c>
      <c r="J265" s="63">
        <v>2658</v>
      </c>
      <c r="K265" s="64">
        <v>698.26</v>
      </c>
      <c r="L265" s="63" t="s">
        <v>1605</v>
      </c>
      <c r="M265" t="s">
        <v>1117</v>
      </c>
      <c r="N265" s="65" t="str">
        <f>queryCARRADAS_20250905_83647[[#This Row],[ORIGEM]]&amp;queryCARRADAS_20250905_83647[[#This Row],[DESTINO]]&amp;queryCARRADAS_20250905_83647[[#This Row],[MATERIAL]]</f>
        <v>GRANORTEEXPOEMAPULMÃOZINHO</v>
      </c>
      <c r="O265" s="68" t="s">
        <v>164</v>
      </c>
    </row>
    <row r="266" spans="2:15" x14ac:dyDescent="0.25">
      <c r="B266" s="66">
        <v>45881</v>
      </c>
      <c r="C266" s="65">
        <v>1</v>
      </c>
      <c r="D266" s="63" t="s">
        <v>170</v>
      </c>
      <c r="E266" s="65" t="s">
        <v>171</v>
      </c>
      <c r="F266" s="65" t="s">
        <v>163</v>
      </c>
      <c r="G266" s="65" t="s">
        <v>164</v>
      </c>
      <c r="H266" s="63">
        <v>52</v>
      </c>
      <c r="I266" s="65" t="s">
        <v>165</v>
      </c>
      <c r="J266" s="63">
        <v>257</v>
      </c>
      <c r="K266" s="64">
        <v>494.47</v>
      </c>
      <c r="L266" s="63" t="s">
        <v>1606</v>
      </c>
      <c r="M266" t="s">
        <v>1117</v>
      </c>
      <c r="N266" s="65" t="str">
        <f>queryCARRADAS_20250905_83647[[#This Row],[ORIGEM]]&amp;queryCARRADAS_20250905_83647[[#This Row],[DESTINO]]&amp;queryCARRADAS_20250905_83647[[#This Row],[MATERIAL]]</f>
        <v>BRASIL MINERACAOUA SAO LUISPÓ DE BRITA</v>
      </c>
      <c r="O266" s="68" t="s">
        <v>164</v>
      </c>
    </row>
    <row r="267" spans="2:15" x14ac:dyDescent="0.25">
      <c r="B267" s="66">
        <v>45881</v>
      </c>
      <c r="C267" s="65">
        <v>1</v>
      </c>
      <c r="D267" s="63" t="s">
        <v>181</v>
      </c>
      <c r="E267" s="65" t="s">
        <v>182</v>
      </c>
      <c r="F267" s="65" t="s">
        <v>166</v>
      </c>
      <c r="G267" s="65" t="s">
        <v>218</v>
      </c>
      <c r="H267" s="63">
        <v>71</v>
      </c>
      <c r="I267" s="65" t="s">
        <v>169</v>
      </c>
      <c r="J267" s="63">
        <v>2524</v>
      </c>
      <c r="K267" s="64">
        <v>663.05</v>
      </c>
      <c r="L267" s="63" t="s">
        <v>1607</v>
      </c>
      <c r="M267" t="s">
        <v>1117</v>
      </c>
      <c r="N267" s="65" t="str">
        <f>queryCARRADAS_20250905_83647[[#This Row],[ORIGEM]]&amp;queryCARRADAS_20250905_83647[[#This Row],[DESTINO]]&amp;queryCARRADAS_20250905_83647[[#This Row],[MATERIAL]]</f>
        <v>GRANORTEEXPOEMAPULMÃOZINHO</v>
      </c>
      <c r="O267" s="68" t="s">
        <v>164</v>
      </c>
    </row>
    <row r="268" spans="2:15" x14ac:dyDescent="0.25">
      <c r="B268" s="66">
        <v>45881</v>
      </c>
      <c r="C268" s="65">
        <v>1</v>
      </c>
      <c r="D268" s="63" t="s">
        <v>1129</v>
      </c>
      <c r="E268" s="65" t="s">
        <v>1130</v>
      </c>
      <c r="F268" s="65" t="s">
        <v>1131</v>
      </c>
      <c r="G268" s="65" t="s">
        <v>1132</v>
      </c>
      <c r="H268" s="63">
        <v>69</v>
      </c>
      <c r="I268" s="65" t="s">
        <v>165</v>
      </c>
      <c r="J268" s="63">
        <v>3177</v>
      </c>
      <c r="K268" s="64">
        <v>811.09</v>
      </c>
      <c r="L268" s="63" t="s">
        <v>1608</v>
      </c>
      <c r="M268" t="s">
        <v>1117</v>
      </c>
      <c r="N268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268" s="68" t="s">
        <v>164</v>
      </c>
    </row>
    <row r="269" spans="2:15" x14ac:dyDescent="0.25">
      <c r="B269" s="66">
        <v>45881</v>
      </c>
      <c r="C269" s="65">
        <v>1</v>
      </c>
      <c r="D269" s="63" t="s">
        <v>210</v>
      </c>
      <c r="E269" s="65" t="s">
        <v>211</v>
      </c>
      <c r="F269" s="65" t="s">
        <v>190</v>
      </c>
      <c r="G269" s="65" t="s">
        <v>212</v>
      </c>
      <c r="H269" s="63">
        <v>376</v>
      </c>
      <c r="I269" s="65" t="s">
        <v>165</v>
      </c>
      <c r="J269" s="63">
        <v>5246</v>
      </c>
      <c r="K269" s="64">
        <v>6311.99</v>
      </c>
      <c r="L269" s="63" t="s">
        <v>1609</v>
      </c>
      <c r="M269" t="s">
        <v>1117</v>
      </c>
      <c r="N269" s="65" t="str">
        <f>queryCARRADAS_20250905_83647[[#This Row],[ORIGEM]]&amp;queryCARRADAS_20250905_83647[[#This Row],[DESTINO]]&amp;queryCARRADAS_20250905_83647[[#This Row],[MATERIAL]]</f>
        <v>SERVENGUSINA PINHEIROPÓ DE BRITA</v>
      </c>
      <c r="O269" s="68" t="s">
        <v>164</v>
      </c>
    </row>
    <row r="270" spans="2:15" x14ac:dyDescent="0.25">
      <c r="B270" s="66">
        <v>45881</v>
      </c>
      <c r="C270" s="65">
        <v>1</v>
      </c>
      <c r="D270" s="63" t="s">
        <v>210</v>
      </c>
      <c r="E270" s="65" t="s">
        <v>211</v>
      </c>
      <c r="F270" s="65" t="s">
        <v>190</v>
      </c>
      <c r="G270" s="65" t="s">
        <v>212</v>
      </c>
      <c r="H270" s="63">
        <v>376</v>
      </c>
      <c r="I270" s="65" t="s">
        <v>165</v>
      </c>
      <c r="J270" s="63">
        <v>5246</v>
      </c>
      <c r="K270" s="64">
        <v>6311.99</v>
      </c>
      <c r="L270" s="63" t="s">
        <v>1610</v>
      </c>
      <c r="M270" t="s">
        <v>1117</v>
      </c>
      <c r="N270" s="65" t="str">
        <f>queryCARRADAS_20250905_83647[[#This Row],[ORIGEM]]&amp;queryCARRADAS_20250905_83647[[#This Row],[DESTINO]]&amp;queryCARRADAS_20250905_83647[[#This Row],[MATERIAL]]</f>
        <v>SERVENGUSINA PINHEIROPÓ DE BRITA</v>
      </c>
      <c r="O270" s="68" t="s">
        <v>164</v>
      </c>
    </row>
    <row r="271" spans="2:15" x14ac:dyDescent="0.25">
      <c r="B271" s="66">
        <v>45881</v>
      </c>
      <c r="C271" s="65">
        <v>1</v>
      </c>
      <c r="D271" s="63" t="s">
        <v>213</v>
      </c>
      <c r="E271" s="65" t="s">
        <v>214</v>
      </c>
      <c r="F271" s="65" t="s">
        <v>166</v>
      </c>
      <c r="G271" s="65" t="s">
        <v>191</v>
      </c>
      <c r="H271" s="63">
        <v>243</v>
      </c>
      <c r="I271" s="65" t="s">
        <v>165</v>
      </c>
      <c r="J271" s="63">
        <v>4822</v>
      </c>
      <c r="K271" s="64">
        <v>4335.46</v>
      </c>
      <c r="L271" s="63" t="s">
        <v>1611</v>
      </c>
      <c r="M271" t="s">
        <v>1117</v>
      </c>
      <c r="N271" s="65" t="str">
        <f>queryCARRADAS_20250905_83647[[#This Row],[ORIGEM]]&amp;queryCARRADAS_20250905_83647[[#This Row],[DESTINO]]&amp;queryCARRADAS_20250905_83647[[#This Row],[MATERIAL]]</f>
        <v>GRANORTEOLINDA NOVA - MAPÓ DE BRITA</v>
      </c>
      <c r="O271" s="68" t="s">
        <v>164</v>
      </c>
    </row>
    <row r="272" spans="2:15" x14ac:dyDescent="0.25">
      <c r="B272" s="66">
        <v>45881</v>
      </c>
      <c r="C272" s="65">
        <v>1</v>
      </c>
      <c r="D272" s="63" t="s">
        <v>170</v>
      </c>
      <c r="E272" s="65" t="s">
        <v>171</v>
      </c>
      <c r="F272" s="65" t="s">
        <v>166</v>
      </c>
      <c r="G272" s="65" t="s">
        <v>164</v>
      </c>
      <c r="H272" s="63">
        <v>58</v>
      </c>
      <c r="I272" s="65" t="s">
        <v>165</v>
      </c>
      <c r="J272" s="63">
        <v>2614</v>
      </c>
      <c r="K272" s="64">
        <v>560.96</v>
      </c>
      <c r="L272" s="63" t="s">
        <v>1612</v>
      </c>
      <c r="M272" t="s">
        <v>1117</v>
      </c>
      <c r="N272" s="65" t="str">
        <f>queryCARRADAS_20250905_83647[[#This Row],[ORIGEM]]&amp;queryCARRADAS_20250905_83647[[#This Row],[DESTINO]]&amp;queryCARRADAS_20250905_83647[[#This Row],[MATERIAL]]</f>
        <v>GRANORTEUA SAO LUISPÓ DE BRITA</v>
      </c>
      <c r="O272" s="68" t="s">
        <v>164</v>
      </c>
    </row>
    <row r="273" spans="2:15" x14ac:dyDescent="0.25">
      <c r="B273" s="66">
        <v>45881</v>
      </c>
      <c r="C273" s="65">
        <v>1</v>
      </c>
      <c r="D273" s="63" t="s">
        <v>199</v>
      </c>
      <c r="E273" s="65" t="s">
        <v>215</v>
      </c>
      <c r="F273" s="65" t="s">
        <v>163</v>
      </c>
      <c r="G273" s="65" t="s">
        <v>164</v>
      </c>
      <c r="H273" s="63">
        <v>52</v>
      </c>
      <c r="I273" s="65" t="s">
        <v>165</v>
      </c>
      <c r="J273" s="63">
        <v>285</v>
      </c>
      <c r="K273" s="64">
        <v>548.34</v>
      </c>
      <c r="L273" s="63" t="s">
        <v>1613</v>
      </c>
      <c r="M273" t="s">
        <v>1614</v>
      </c>
      <c r="N273" s="65" t="str">
        <f>queryCARRADAS_20250905_83647[[#This Row],[ORIGEM]]&amp;queryCARRADAS_20250905_83647[[#This Row],[DESTINO]]&amp;queryCARRADAS_20250905_83647[[#This Row],[MATERIAL]]</f>
        <v>BRASIL MINERACAOUA SAO LUISPÓ DE BRITA</v>
      </c>
      <c r="O273" s="68" t="s">
        <v>164</v>
      </c>
    </row>
    <row r="274" spans="2:15" x14ac:dyDescent="0.25">
      <c r="B274" s="66">
        <v>45881</v>
      </c>
      <c r="C274" s="65">
        <v>1</v>
      </c>
      <c r="D274" s="63" t="s">
        <v>199</v>
      </c>
      <c r="E274" s="65" t="s">
        <v>215</v>
      </c>
      <c r="F274" s="65" t="s">
        <v>166</v>
      </c>
      <c r="G274" s="65" t="s">
        <v>164</v>
      </c>
      <c r="H274" s="63">
        <v>58</v>
      </c>
      <c r="I274" s="65" t="s">
        <v>165</v>
      </c>
      <c r="J274" s="63">
        <v>2816</v>
      </c>
      <c r="K274" s="64">
        <v>604.30999999999995</v>
      </c>
      <c r="L274" s="63" t="s">
        <v>1615</v>
      </c>
      <c r="M274" t="s">
        <v>1616</v>
      </c>
      <c r="N274" s="65" t="str">
        <f>queryCARRADAS_20250905_83647[[#This Row],[ORIGEM]]&amp;queryCARRADAS_20250905_83647[[#This Row],[DESTINO]]&amp;queryCARRADAS_20250905_83647[[#This Row],[MATERIAL]]</f>
        <v>GRANORTEUA SAO LUISPÓ DE BRITA</v>
      </c>
      <c r="O274" s="68" t="s">
        <v>161</v>
      </c>
    </row>
    <row r="275" spans="2:15" x14ac:dyDescent="0.25">
      <c r="B275" s="66">
        <v>45881</v>
      </c>
      <c r="C275" s="65">
        <v>1</v>
      </c>
      <c r="D275" s="63" t="s">
        <v>183</v>
      </c>
      <c r="E275" s="65" t="s">
        <v>184</v>
      </c>
      <c r="F275" s="65" t="s">
        <v>166</v>
      </c>
      <c r="G275" s="65" t="s">
        <v>164</v>
      </c>
      <c r="H275" s="63">
        <v>58</v>
      </c>
      <c r="I275" s="65" t="s">
        <v>165</v>
      </c>
      <c r="J275" s="63">
        <v>298</v>
      </c>
      <c r="K275" s="64">
        <v>639.51</v>
      </c>
      <c r="L275" s="63" t="s">
        <v>1617</v>
      </c>
      <c r="M275" t="s">
        <v>1117</v>
      </c>
      <c r="N275" s="65" t="str">
        <f>queryCARRADAS_20250905_83647[[#This Row],[ORIGEM]]&amp;queryCARRADAS_20250905_83647[[#This Row],[DESTINO]]&amp;queryCARRADAS_20250905_83647[[#This Row],[MATERIAL]]</f>
        <v>GRANORTEUA SAO LUISPÓ DE BRITA</v>
      </c>
      <c r="O275" s="68" t="s">
        <v>164</v>
      </c>
    </row>
    <row r="276" spans="2:15" x14ac:dyDescent="0.25">
      <c r="B276" s="66">
        <v>45881</v>
      </c>
      <c r="C276" s="65">
        <v>1</v>
      </c>
      <c r="D276" s="63" t="s">
        <v>186</v>
      </c>
      <c r="E276" s="65" t="s">
        <v>187</v>
      </c>
      <c r="F276" s="65" t="s">
        <v>190</v>
      </c>
      <c r="G276" s="65" t="s">
        <v>212</v>
      </c>
      <c r="H276" s="63">
        <v>376</v>
      </c>
      <c r="I276" s="65" t="s">
        <v>165</v>
      </c>
      <c r="J276" s="63">
        <v>700</v>
      </c>
      <c r="K276" s="64">
        <v>8422.4</v>
      </c>
      <c r="L276" s="63" t="s">
        <v>1618</v>
      </c>
      <c r="M276" t="s">
        <v>1493</v>
      </c>
      <c r="N276" s="65" t="str">
        <f>queryCARRADAS_20250905_83647[[#This Row],[ORIGEM]]&amp;queryCARRADAS_20250905_83647[[#This Row],[DESTINO]]&amp;queryCARRADAS_20250905_83647[[#This Row],[MATERIAL]]</f>
        <v>SERVENGUSINA PINHEIROPÓ DE BRITA</v>
      </c>
      <c r="O276" s="68" t="s">
        <v>164</v>
      </c>
    </row>
    <row r="277" spans="2:15" x14ac:dyDescent="0.25">
      <c r="B277" s="66">
        <v>45881</v>
      </c>
      <c r="C277" s="65">
        <v>1</v>
      </c>
      <c r="D277" s="63" t="s">
        <v>179</v>
      </c>
      <c r="E277" s="65" t="s">
        <v>180</v>
      </c>
      <c r="F277" s="65" t="s">
        <v>163</v>
      </c>
      <c r="G277" s="65" t="s">
        <v>164</v>
      </c>
      <c r="H277" s="63">
        <v>52</v>
      </c>
      <c r="I277" s="65" t="s">
        <v>185</v>
      </c>
      <c r="J277" s="63">
        <v>259</v>
      </c>
      <c r="K277" s="64">
        <v>498.32</v>
      </c>
      <c r="L277" s="63" t="s">
        <v>1619</v>
      </c>
      <c r="M277" t="s">
        <v>1117</v>
      </c>
      <c r="N277" s="65" t="str">
        <f>queryCARRADAS_20250905_83647[[#This Row],[ORIGEM]]&amp;queryCARRADAS_20250905_83647[[#This Row],[DESTINO]]&amp;queryCARRADAS_20250905_83647[[#This Row],[MATERIAL]]</f>
        <v>BRASIL MINERACAOUA SAO LUISRACHÃOZINHO</v>
      </c>
      <c r="O277" s="68" t="s">
        <v>164</v>
      </c>
    </row>
    <row r="278" spans="2:15" x14ac:dyDescent="0.25">
      <c r="B278" s="66">
        <v>45882</v>
      </c>
      <c r="C278" s="65">
        <v>1</v>
      </c>
      <c r="D278" s="63" t="s">
        <v>202</v>
      </c>
      <c r="E278" s="65" t="s">
        <v>1153</v>
      </c>
      <c r="F278" s="65" t="s">
        <v>166</v>
      </c>
      <c r="G278" s="65" t="s">
        <v>191</v>
      </c>
      <c r="H278" s="63">
        <v>243</v>
      </c>
      <c r="I278" s="65" t="s">
        <v>165</v>
      </c>
      <c r="J278" s="63">
        <v>5046</v>
      </c>
      <c r="K278" s="64">
        <v>4536.8599999999997</v>
      </c>
      <c r="L278" s="63" t="s">
        <v>1575</v>
      </c>
      <c r="M278" t="s">
        <v>1117</v>
      </c>
      <c r="N278" s="65" t="str">
        <f>queryCARRADAS_20250905_83647[[#This Row],[ORIGEM]]&amp;queryCARRADAS_20250905_83647[[#This Row],[DESTINO]]&amp;queryCARRADAS_20250905_83647[[#This Row],[MATERIAL]]</f>
        <v>GRANORTEOLINDA NOVA - MAPÓ DE BRITA</v>
      </c>
      <c r="O278" s="68" t="s">
        <v>164</v>
      </c>
    </row>
    <row r="279" spans="2:15" x14ac:dyDescent="0.25">
      <c r="B279" s="66">
        <v>45882</v>
      </c>
      <c r="C279" s="65">
        <v>1</v>
      </c>
      <c r="D279" s="63" t="s">
        <v>196</v>
      </c>
      <c r="E279" s="65" t="s">
        <v>197</v>
      </c>
      <c r="F279" s="65" t="s">
        <v>190</v>
      </c>
      <c r="G279" s="65" t="s">
        <v>191</v>
      </c>
      <c r="H279" s="63">
        <v>217</v>
      </c>
      <c r="I279" s="65" t="s">
        <v>165</v>
      </c>
      <c r="J279" s="63">
        <v>4984</v>
      </c>
      <c r="K279" s="64">
        <v>4001.65</v>
      </c>
      <c r="L279" s="63" t="s">
        <v>1576</v>
      </c>
      <c r="M279" t="s">
        <v>1193</v>
      </c>
      <c r="N279" s="65" t="str">
        <f>queryCARRADAS_20250905_83647[[#This Row],[ORIGEM]]&amp;queryCARRADAS_20250905_83647[[#This Row],[DESTINO]]&amp;queryCARRADAS_20250905_83647[[#This Row],[MATERIAL]]</f>
        <v>SERVENGOLINDA NOVA - MAPÓ DE BRITA</v>
      </c>
      <c r="O279" s="68" t="s">
        <v>164</v>
      </c>
    </row>
    <row r="280" spans="2:15" x14ac:dyDescent="0.25">
      <c r="B280" s="66">
        <v>45882</v>
      </c>
      <c r="C280" s="65">
        <v>1</v>
      </c>
      <c r="D280" s="63" t="s">
        <v>188</v>
      </c>
      <c r="E280" s="65" t="s">
        <v>189</v>
      </c>
      <c r="F280" s="65" t="s">
        <v>166</v>
      </c>
      <c r="G280" s="65" t="s">
        <v>191</v>
      </c>
      <c r="H280" s="63">
        <v>243</v>
      </c>
      <c r="I280" s="65" t="s">
        <v>221</v>
      </c>
      <c r="J280" s="63">
        <v>4964</v>
      </c>
      <c r="K280" s="64">
        <v>4463.13</v>
      </c>
      <c r="L280" s="63" t="s">
        <v>1577</v>
      </c>
      <c r="M280" t="s">
        <v>1117</v>
      </c>
      <c r="N280" s="65" t="str">
        <f>queryCARRADAS_20250905_83647[[#This Row],[ORIGEM]]&amp;queryCARRADAS_20250905_83647[[#This Row],[DESTINO]]&amp;queryCARRADAS_20250905_83647[[#This Row],[MATERIAL]]</f>
        <v>GRANORTEOLINDA NOVA - MABGS</v>
      </c>
      <c r="O280" s="68" t="s">
        <v>164</v>
      </c>
    </row>
    <row r="281" spans="2:15" x14ac:dyDescent="0.25">
      <c r="B281" s="66">
        <v>45882</v>
      </c>
      <c r="C281" s="65">
        <v>1</v>
      </c>
      <c r="D281" s="63" t="s">
        <v>167</v>
      </c>
      <c r="E281" s="65" t="s">
        <v>168</v>
      </c>
      <c r="F281" s="65" t="s">
        <v>166</v>
      </c>
      <c r="G281" s="65" t="s">
        <v>218</v>
      </c>
      <c r="H281" s="63">
        <v>71</v>
      </c>
      <c r="I281" s="65" t="s">
        <v>169</v>
      </c>
      <c r="J281" s="63">
        <v>274</v>
      </c>
      <c r="K281" s="64">
        <v>719.8</v>
      </c>
      <c r="L281" s="63" t="s">
        <v>1578</v>
      </c>
      <c r="M281" t="s">
        <v>1117</v>
      </c>
      <c r="N281" s="65" t="str">
        <f>queryCARRADAS_20250905_83647[[#This Row],[ORIGEM]]&amp;queryCARRADAS_20250905_83647[[#This Row],[DESTINO]]&amp;queryCARRADAS_20250905_83647[[#This Row],[MATERIAL]]</f>
        <v>GRANORTEEXPOEMAPULMÃOZINHO</v>
      </c>
      <c r="O281" s="68" t="s">
        <v>111</v>
      </c>
    </row>
    <row r="282" spans="2:15" x14ac:dyDescent="0.25">
      <c r="B282" s="66">
        <v>45882</v>
      </c>
      <c r="C282" s="65">
        <v>1</v>
      </c>
      <c r="D282" s="63" t="s">
        <v>1127</v>
      </c>
      <c r="E282" s="65" t="s">
        <v>178</v>
      </c>
      <c r="F282" s="65" t="s">
        <v>166</v>
      </c>
      <c r="G282" s="65" t="s">
        <v>364</v>
      </c>
      <c r="H282" s="63">
        <v>80</v>
      </c>
      <c r="I282" s="65" t="s">
        <v>185</v>
      </c>
      <c r="J282" s="63">
        <v>2676</v>
      </c>
      <c r="K282" s="64">
        <v>792.1</v>
      </c>
      <c r="L282" s="63" t="s">
        <v>1579</v>
      </c>
      <c r="M282" t="s">
        <v>1117</v>
      </c>
      <c r="N282" s="65" t="str">
        <f>queryCARRADAS_20250905_83647[[#This Row],[ORIGEM]]&amp;queryCARRADAS_20250905_83647[[#This Row],[DESTINO]]&amp;queryCARRADAS_20250905_83647[[#This Row],[MATERIAL]]</f>
        <v>GRANORTEARACAGY - SAO LUISRACHÃOZINHO</v>
      </c>
      <c r="O282" s="68" t="s">
        <v>164</v>
      </c>
    </row>
    <row r="283" spans="2:15" x14ac:dyDescent="0.25">
      <c r="B283" s="66">
        <v>45882</v>
      </c>
      <c r="C283" s="65">
        <v>1</v>
      </c>
      <c r="D283" s="63" t="s">
        <v>170</v>
      </c>
      <c r="E283" s="65" t="s">
        <v>171</v>
      </c>
      <c r="F283" s="65" t="s">
        <v>166</v>
      </c>
      <c r="G283" s="65" t="s">
        <v>164</v>
      </c>
      <c r="H283" s="63">
        <v>58</v>
      </c>
      <c r="I283" s="65" t="s">
        <v>165</v>
      </c>
      <c r="J283" s="63">
        <v>2562</v>
      </c>
      <c r="K283" s="64">
        <v>549.80999999999995</v>
      </c>
      <c r="L283" s="63" t="s">
        <v>1580</v>
      </c>
      <c r="M283" t="s">
        <v>1117</v>
      </c>
      <c r="N283" s="65" t="str">
        <f>queryCARRADAS_20250905_83647[[#This Row],[ORIGEM]]&amp;queryCARRADAS_20250905_83647[[#This Row],[DESTINO]]&amp;queryCARRADAS_20250905_83647[[#This Row],[MATERIAL]]</f>
        <v>GRANORTEUA SAO LUISPÓ DE BRITA</v>
      </c>
      <c r="O283" s="68" t="s">
        <v>164</v>
      </c>
    </row>
    <row r="284" spans="2:15" x14ac:dyDescent="0.25">
      <c r="B284" s="66">
        <v>45882</v>
      </c>
      <c r="C284" s="65">
        <v>1</v>
      </c>
      <c r="D284" s="63" t="s">
        <v>181</v>
      </c>
      <c r="E284" s="65" t="s">
        <v>182</v>
      </c>
      <c r="F284" s="65" t="s">
        <v>166</v>
      </c>
      <c r="G284" s="65" t="s">
        <v>218</v>
      </c>
      <c r="H284" s="63">
        <v>71</v>
      </c>
      <c r="I284" s="65" t="s">
        <v>169</v>
      </c>
      <c r="J284" s="63">
        <v>2638</v>
      </c>
      <c r="K284" s="64">
        <v>693</v>
      </c>
      <c r="L284" s="63" t="s">
        <v>1581</v>
      </c>
      <c r="M284" t="s">
        <v>1117</v>
      </c>
      <c r="N284" s="65" t="str">
        <f>queryCARRADAS_20250905_83647[[#This Row],[ORIGEM]]&amp;queryCARRADAS_20250905_83647[[#This Row],[DESTINO]]&amp;queryCARRADAS_20250905_83647[[#This Row],[MATERIAL]]</f>
        <v>GRANORTEEXPOEMAPULMÃOZINHO</v>
      </c>
      <c r="O284" s="68" t="s">
        <v>164</v>
      </c>
    </row>
    <row r="285" spans="2:15" x14ac:dyDescent="0.25">
      <c r="B285" s="66">
        <v>45882</v>
      </c>
      <c r="C285" s="65">
        <v>1</v>
      </c>
      <c r="D285" s="63" t="s">
        <v>167</v>
      </c>
      <c r="E285" s="65" t="s">
        <v>168</v>
      </c>
      <c r="F285" s="65" t="s">
        <v>166</v>
      </c>
      <c r="G285" s="65" t="s">
        <v>218</v>
      </c>
      <c r="H285" s="63">
        <v>71</v>
      </c>
      <c r="I285" s="65" t="s">
        <v>169</v>
      </c>
      <c r="J285" s="63">
        <v>2598</v>
      </c>
      <c r="K285" s="64">
        <v>682.49</v>
      </c>
      <c r="L285" s="63" t="s">
        <v>1582</v>
      </c>
      <c r="M285" t="s">
        <v>1117</v>
      </c>
      <c r="N285" s="65" t="str">
        <f>queryCARRADAS_20250905_83647[[#This Row],[ORIGEM]]&amp;queryCARRADAS_20250905_83647[[#This Row],[DESTINO]]&amp;queryCARRADAS_20250905_83647[[#This Row],[MATERIAL]]</f>
        <v>GRANORTEEXPOEMAPULMÃOZINHO</v>
      </c>
      <c r="O285" s="68" t="s">
        <v>164</v>
      </c>
    </row>
    <row r="286" spans="2:15" x14ac:dyDescent="0.25">
      <c r="B286" s="66">
        <v>45882</v>
      </c>
      <c r="C286" s="65">
        <v>1</v>
      </c>
      <c r="D286" s="63" t="s">
        <v>1127</v>
      </c>
      <c r="E286" s="65" t="s">
        <v>178</v>
      </c>
      <c r="F286" s="65" t="s">
        <v>166</v>
      </c>
      <c r="G286" s="65" t="s">
        <v>364</v>
      </c>
      <c r="H286" s="63">
        <v>80</v>
      </c>
      <c r="I286" s="65" t="s">
        <v>185</v>
      </c>
      <c r="J286" s="63">
        <v>2798</v>
      </c>
      <c r="K286" s="64">
        <v>828.21</v>
      </c>
      <c r="L286" s="63" t="s">
        <v>1583</v>
      </c>
      <c r="M286" t="s">
        <v>1117</v>
      </c>
      <c r="N286" s="65" t="str">
        <f>queryCARRADAS_20250905_83647[[#This Row],[ORIGEM]]&amp;queryCARRADAS_20250905_83647[[#This Row],[DESTINO]]&amp;queryCARRADAS_20250905_83647[[#This Row],[MATERIAL]]</f>
        <v>GRANORTEARACAGY - SAO LUISRACHÃOZINHO</v>
      </c>
      <c r="O286" s="68" t="s">
        <v>164</v>
      </c>
    </row>
    <row r="287" spans="2:15" x14ac:dyDescent="0.25">
      <c r="B287" s="66">
        <v>45882</v>
      </c>
      <c r="C287" s="65">
        <v>1</v>
      </c>
      <c r="D287" s="63" t="s">
        <v>170</v>
      </c>
      <c r="E287" s="65" t="s">
        <v>171</v>
      </c>
      <c r="F287" s="65" t="s">
        <v>166</v>
      </c>
      <c r="G287" s="65" t="s">
        <v>164</v>
      </c>
      <c r="H287" s="63">
        <v>58</v>
      </c>
      <c r="I287" s="65" t="s">
        <v>165</v>
      </c>
      <c r="J287" s="63">
        <v>2588</v>
      </c>
      <c r="K287" s="64">
        <v>555.38</v>
      </c>
      <c r="L287" s="63" t="s">
        <v>1584</v>
      </c>
      <c r="M287" t="s">
        <v>1117</v>
      </c>
      <c r="N287" s="65" t="str">
        <f>queryCARRADAS_20250905_83647[[#This Row],[ORIGEM]]&amp;queryCARRADAS_20250905_83647[[#This Row],[DESTINO]]&amp;queryCARRADAS_20250905_83647[[#This Row],[MATERIAL]]</f>
        <v>GRANORTEUA SAO LUISPÓ DE BRITA</v>
      </c>
      <c r="O287" s="68" t="s">
        <v>164</v>
      </c>
    </row>
    <row r="288" spans="2:15" x14ac:dyDescent="0.25">
      <c r="B288" s="66">
        <v>45882</v>
      </c>
      <c r="C288" s="65">
        <v>1</v>
      </c>
      <c r="D288" s="63" t="s">
        <v>167</v>
      </c>
      <c r="E288" s="65" t="s">
        <v>168</v>
      </c>
      <c r="F288" s="65" t="s">
        <v>166</v>
      </c>
      <c r="G288" s="65" t="s">
        <v>218</v>
      </c>
      <c r="H288" s="63">
        <v>71</v>
      </c>
      <c r="I288" s="65" t="s">
        <v>169</v>
      </c>
      <c r="J288" s="63">
        <v>2706</v>
      </c>
      <c r="K288" s="64">
        <v>710.87</v>
      </c>
      <c r="L288" s="63" t="s">
        <v>1585</v>
      </c>
      <c r="M288" t="s">
        <v>1117</v>
      </c>
      <c r="N288" s="65" t="str">
        <f>queryCARRADAS_20250905_83647[[#This Row],[ORIGEM]]&amp;queryCARRADAS_20250905_83647[[#This Row],[DESTINO]]&amp;queryCARRADAS_20250905_83647[[#This Row],[MATERIAL]]</f>
        <v>GRANORTEEXPOEMAPULMÃOZINHO</v>
      </c>
      <c r="O288" s="68" t="s">
        <v>164</v>
      </c>
    </row>
    <row r="289" spans="2:15" x14ac:dyDescent="0.25">
      <c r="B289" s="66">
        <v>45882</v>
      </c>
      <c r="C289" s="65">
        <v>1</v>
      </c>
      <c r="D289" s="63" t="s">
        <v>181</v>
      </c>
      <c r="E289" s="65" t="s">
        <v>182</v>
      </c>
      <c r="F289" s="65" t="s">
        <v>166</v>
      </c>
      <c r="G289" s="65" t="s">
        <v>218</v>
      </c>
      <c r="H289" s="63">
        <v>71</v>
      </c>
      <c r="I289" s="65" t="s">
        <v>169</v>
      </c>
      <c r="J289" s="63">
        <v>2632</v>
      </c>
      <c r="K289" s="64">
        <v>691.43</v>
      </c>
      <c r="L289" s="63" t="s">
        <v>1586</v>
      </c>
      <c r="M289" t="s">
        <v>1117</v>
      </c>
      <c r="N289" s="65" t="str">
        <f>queryCARRADAS_20250905_83647[[#This Row],[ORIGEM]]&amp;queryCARRADAS_20250905_83647[[#This Row],[DESTINO]]&amp;queryCARRADAS_20250905_83647[[#This Row],[MATERIAL]]</f>
        <v>GRANORTEEXPOEMAPULMÃOZINHO</v>
      </c>
      <c r="O289" s="68" t="s">
        <v>164</v>
      </c>
    </row>
    <row r="290" spans="2:15" x14ac:dyDescent="0.25">
      <c r="B290" s="66">
        <v>45882</v>
      </c>
      <c r="C290" s="65">
        <v>1</v>
      </c>
      <c r="D290" s="63" t="s">
        <v>1129</v>
      </c>
      <c r="E290" s="65" t="s">
        <v>1130</v>
      </c>
      <c r="F290" s="65" t="s">
        <v>1207</v>
      </c>
      <c r="G290" s="65" t="s">
        <v>1208</v>
      </c>
      <c r="H290" s="63">
        <v>78</v>
      </c>
      <c r="I290" s="65" t="s">
        <v>195</v>
      </c>
      <c r="J290" s="63">
        <v>3522</v>
      </c>
      <c r="K290" s="64">
        <v>1016.45</v>
      </c>
      <c r="L290" s="63" t="s">
        <v>1587</v>
      </c>
      <c r="M290" t="s">
        <v>1117</v>
      </c>
      <c r="N290" s="65" t="str">
        <f>queryCARRADAS_20250905_83647[[#This Row],[ORIGEM]]&amp;queryCARRADAS_20250905_83647[[#This Row],[DESTINO]]&amp;queryCARRADAS_20250905_83647[[#This Row],[MATERIAL]]</f>
        <v>JGA MINERADORA - PASTOS BONS/MAMIRADORBRITA 1</v>
      </c>
      <c r="O290" s="68" t="s">
        <v>164</v>
      </c>
    </row>
    <row r="291" spans="2:15" x14ac:dyDescent="0.25">
      <c r="B291" s="66">
        <v>45882</v>
      </c>
      <c r="C291" s="65">
        <v>1</v>
      </c>
      <c r="D291" s="63" t="s">
        <v>1129</v>
      </c>
      <c r="E291" s="65" t="s">
        <v>1130</v>
      </c>
      <c r="F291" s="65" t="s">
        <v>1131</v>
      </c>
      <c r="G291" s="65" t="s">
        <v>1132</v>
      </c>
      <c r="H291" s="63">
        <v>69</v>
      </c>
      <c r="I291" s="65" t="s">
        <v>165</v>
      </c>
      <c r="J291" s="63">
        <v>3216</v>
      </c>
      <c r="K291" s="64">
        <v>821.04</v>
      </c>
      <c r="L291" s="63" t="s">
        <v>1588</v>
      </c>
      <c r="M291" t="s">
        <v>1117</v>
      </c>
      <c r="N291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291" s="68" t="s">
        <v>164</v>
      </c>
    </row>
    <row r="292" spans="2:15" x14ac:dyDescent="0.25">
      <c r="B292" s="66">
        <v>45882</v>
      </c>
      <c r="C292" s="65">
        <v>1</v>
      </c>
      <c r="D292" s="63" t="s">
        <v>213</v>
      </c>
      <c r="E292" s="65" t="s">
        <v>214</v>
      </c>
      <c r="F292" s="65" t="s">
        <v>166</v>
      </c>
      <c r="G292" s="65" t="s">
        <v>191</v>
      </c>
      <c r="H292" s="63">
        <v>243</v>
      </c>
      <c r="I292" s="65" t="s">
        <v>165</v>
      </c>
      <c r="J292" s="63">
        <v>4848</v>
      </c>
      <c r="K292" s="64">
        <v>4358.84</v>
      </c>
      <c r="L292" s="63" t="s">
        <v>1589</v>
      </c>
      <c r="M292" t="s">
        <v>1117</v>
      </c>
      <c r="N292" s="65" t="str">
        <f>queryCARRADAS_20250905_83647[[#This Row],[ORIGEM]]&amp;queryCARRADAS_20250905_83647[[#This Row],[DESTINO]]&amp;queryCARRADAS_20250905_83647[[#This Row],[MATERIAL]]</f>
        <v>GRANORTEOLINDA NOVA - MAPÓ DE BRITA</v>
      </c>
      <c r="O292" s="68" t="s">
        <v>111</v>
      </c>
    </row>
    <row r="293" spans="2:15" x14ac:dyDescent="0.25">
      <c r="B293" s="66">
        <v>45882</v>
      </c>
      <c r="C293" s="65">
        <v>1</v>
      </c>
      <c r="D293" s="63" t="s">
        <v>203</v>
      </c>
      <c r="E293" s="65" t="s">
        <v>204</v>
      </c>
      <c r="F293" s="65" t="s">
        <v>166</v>
      </c>
      <c r="G293" s="65" t="s">
        <v>223</v>
      </c>
      <c r="H293" s="63">
        <v>370</v>
      </c>
      <c r="I293" s="65" t="s">
        <v>165</v>
      </c>
      <c r="J293" s="63">
        <v>4614</v>
      </c>
      <c r="K293" s="64">
        <v>6316.57</v>
      </c>
      <c r="L293" s="63" t="s">
        <v>1590</v>
      </c>
      <c r="M293" t="s">
        <v>1117</v>
      </c>
      <c r="N293" s="65" t="str">
        <f>queryCARRADAS_20250905_83647[[#This Row],[ORIGEM]]&amp;queryCARRADAS_20250905_83647[[#This Row],[DESTINO]]&amp;queryCARRADAS_20250905_83647[[#This Row],[MATERIAL]]</f>
        <v>GRANORTEUA PINHEIRO - MAPÓ DE BRITA</v>
      </c>
      <c r="O293" s="68" t="s">
        <v>164</v>
      </c>
    </row>
    <row r="294" spans="2:15" x14ac:dyDescent="0.25">
      <c r="B294" s="66">
        <v>45882</v>
      </c>
      <c r="C294" s="65">
        <v>1</v>
      </c>
      <c r="D294" s="63" t="s">
        <v>188</v>
      </c>
      <c r="E294" s="65" t="s">
        <v>189</v>
      </c>
      <c r="F294" s="65" t="s">
        <v>166</v>
      </c>
      <c r="G294" s="65" t="s">
        <v>191</v>
      </c>
      <c r="H294" s="63">
        <v>243</v>
      </c>
      <c r="I294" s="65" t="s">
        <v>221</v>
      </c>
      <c r="J294" s="63">
        <v>4834</v>
      </c>
      <c r="K294" s="64">
        <v>4346.25</v>
      </c>
      <c r="L294" s="63" t="s">
        <v>1591</v>
      </c>
      <c r="M294" t="s">
        <v>1117</v>
      </c>
      <c r="N294" s="65" t="str">
        <f>queryCARRADAS_20250905_83647[[#This Row],[ORIGEM]]&amp;queryCARRADAS_20250905_83647[[#This Row],[DESTINO]]&amp;queryCARRADAS_20250905_83647[[#This Row],[MATERIAL]]</f>
        <v>GRANORTEOLINDA NOVA - MABGS</v>
      </c>
      <c r="O294" s="68" t="s">
        <v>164</v>
      </c>
    </row>
    <row r="295" spans="2:15" x14ac:dyDescent="0.25">
      <c r="B295" s="66">
        <v>45882</v>
      </c>
      <c r="C295" s="65">
        <v>1</v>
      </c>
      <c r="D295" s="63" t="s">
        <v>208</v>
      </c>
      <c r="E295" s="65" t="s">
        <v>209</v>
      </c>
      <c r="F295" s="65" t="s">
        <v>190</v>
      </c>
      <c r="G295" s="65" t="s">
        <v>212</v>
      </c>
      <c r="H295" s="63">
        <v>376</v>
      </c>
      <c r="I295" s="65" t="s">
        <v>165</v>
      </c>
      <c r="J295" s="63">
        <v>800</v>
      </c>
      <c r="K295" s="64">
        <v>9625.6</v>
      </c>
      <c r="L295" s="63" t="s">
        <v>1592</v>
      </c>
      <c r="M295" t="s">
        <v>1117</v>
      </c>
      <c r="N295" s="65" t="str">
        <f>queryCARRADAS_20250905_83647[[#This Row],[ORIGEM]]&amp;queryCARRADAS_20250905_83647[[#This Row],[DESTINO]]&amp;queryCARRADAS_20250905_83647[[#This Row],[MATERIAL]]</f>
        <v>SERVENGUSINA PINHEIROPÓ DE BRITA</v>
      </c>
      <c r="O295" s="68" t="s">
        <v>164</v>
      </c>
    </row>
    <row r="296" spans="2:15" x14ac:dyDescent="0.25">
      <c r="B296" s="66">
        <v>45882</v>
      </c>
      <c r="C296" s="65">
        <v>1</v>
      </c>
      <c r="D296" s="63" t="s">
        <v>275</v>
      </c>
      <c r="E296" s="65" t="s">
        <v>217</v>
      </c>
      <c r="F296" s="65" t="s">
        <v>190</v>
      </c>
      <c r="G296" s="65" t="s">
        <v>212</v>
      </c>
      <c r="H296" s="63">
        <v>376</v>
      </c>
      <c r="I296" s="65" t="s">
        <v>165</v>
      </c>
      <c r="J296" s="63">
        <v>750</v>
      </c>
      <c r="K296" s="64">
        <v>9024</v>
      </c>
      <c r="L296" s="63" t="s">
        <v>1593</v>
      </c>
      <c r="M296" t="s">
        <v>1117</v>
      </c>
      <c r="N296" s="65" t="str">
        <f>queryCARRADAS_20250905_83647[[#This Row],[ORIGEM]]&amp;queryCARRADAS_20250905_83647[[#This Row],[DESTINO]]&amp;queryCARRADAS_20250905_83647[[#This Row],[MATERIAL]]</f>
        <v>SERVENGUSINA PINHEIROPÓ DE BRITA</v>
      </c>
      <c r="O296" s="68" t="s">
        <v>164</v>
      </c>
    </row>
    <row r="297" spans="2:15" x14ac:dyDescent="0.25">
      <c r="B297" s="66">
        <v>45882</v>
      </c>
      <c r="C297" s="65">
        <v>1</v>
      </c>
      <c r="D297" s="63" t="s">
        <v>270</v>
      </c>
      <c r="E297" s="65" t="s">
        <v>1146</v>
      </c>
      <c r="F297" s="65" t="s">
        <v>190</v>
      </c>
      <c r="G297" s="65" t="s">
        <v>212</v>
      </c>
      <c r="H297" s="63">
        <v>376</v>
      </c>
      <c r="I297" s="65" t="s">
        <v>165</v>
      </c>
      <c r="J297" s="63">
        <v>5104</v>
      </c>
      <c r="K297" s="64">
        <v>6141.13</v>
      </c>
      <c r="L297" s="63" t="s">
        <v>1594</v>
      </c>
      <c r="M297" t="s">
        <v>1183</v>
      </c>
      <c r="N297" s="65" t="str">
        <f>queryCARRADAS_20250905_83647[[#This Row],[ORIGEM]]&amp;queryCARRADAS_20250905_83647[[#This Row],[DESTINO]]&amp;queryCARRADAS_20250905_83647[[#This Row],[MATERIAL]]</f>
        <v>SERVENGUSINA PINHEIROPÓ DE BRITA</v>
      </c>
      <c r="O297" s="68" t="s">
        <v>164</v>
      </c>
    </row>
    <row r="298" spans="2:15" x14ac:dyDescent="0.25">
      <c r="B298" s="66">
        <v>45883</v>
      </c>
      <c r="C298" s="65">
        <v>1</v>
      </c>
      <c r="D298" s="63" t="s">
        <v>202</v>
      </c>
      <c r="E298" s="65" t="s">
        <v>1153</v>
      </c>
      <c r="F298" s="65" t="s">
        <v>166</v>
      </c>
      <c r="G298" s="65" t="s">
        <v>191</v>
      </c>
      <c r="H298" s="63">
        <v>243</v>
      </c>
      <c r="I298" s="65" t="s">
        <v>165</v>
      </c>
      <c r="J298" s="63">
        <v>4998</v>
      </c>
      <c r="K298" s="64">
        <v>4493.7</v>
      </c>
      <c r="L298" s="63" t="s">
        <v>1550</v>
      </c>
      <c r="M298" t="s">
        <v>1117</v>
      </c>
      <c r="N298" s="65" t="str">
        <f>queryCARRADAS_20250905_83647[[#This Row],[ORIGEM]]&amp;queryCARRADAS_20250905_83647[[#This Row],[DESTINO]]&amp;queryCARRADAS_20250905_83647[[#This Row],[MATERIAL]]</f>
        <v>GRANORTEOLINDA NOVA - MAPÓ DE BRITA</v>
      </c>
      <c r="O298" s="68" t="s">
        <v>164</v>
      </c>
    </row>
    <row r="299" spans="2:15" x14ac:dyDescent="0.25">
      <c r="B299" s="66">
        <v>45883</v>
      </c>
      <c r="C299" s="65">
        <v>1</v>
      </c>
      <c r="D299" s="63" t="s">
        <v>167</v>
      </c>
      <c r="E299" s="65" t="s">
        <v>168</v>
      </c>
      <c r="F299" s="65" t="s">
        <v>166</v>
      </c>
      <c r="G299" s="65" t="s">
        <v>218</v>
      </c>
      <c r="H299" s="63">
        <v>71</v>
      </c>
      <c r="I299" s="65" t="s">
        <v>172</v>
      </c>
      <c r="J299" s="63">
        <v>265</v>
      </c>
      <c r="K299" s="64">
        <v>696.16</v>
      </c>
      <c r="L299" s="63" t="s">
        <v>1551</v>
      </c>
      <c r="M299" t="s">
        <v>1117</v>
      </c>
      <c r="N299" s="65" t="str">
        <f>queryCARRADAS_20250905_83647[[#This Row],[ORIGEM]]&amp;queryCARRADAS_20250905_83647[[#This Row],[DESTINO]]&amp;queryCARRADAS_20250905_83647[[#This Row],[MATERIAL]]</f>
        <v>GRANORTEEXPOEMABICA CORRIDA</v>
      </c>
      <c r="O299" s="68" t="s">
        <v>164</v>
      </c>
    </row>
    <row r="300" spans="2:15" x14ac:dyDescent="0.25">
      <c r="B300" s="66">
        <v>45883</v>
      </c>
      <c r="C300" s="65">
        <v>1</v>
      </c>
      <c r="D300" s="63" t="s">
        <v>196</v>
      </c>
      <c r="E300" s="65" t="s">
        <v>197</v>
      </c>
      <c r="F300" s="65" t="s">
        <v>190</v>
      </c>
      <c r="G300" s="65" t="s">
        <v>191</v>
      </c>
      <c r="H300" s="63">
        <v>217</v>
      </c>
      <c r="I300" s="65" t="s">
        <v>165</v>
      </c>
      <c r="J300" s="63">
        <v>5088</v>
      </c>
      <c r="K300" s="64">
        <v>4085.16</v>
      </c>
      <c r="L300" s="63" t="s">
        <v>1552</v>
      </c>
      <c r="M300" t="s">
        <v>1193</v>
      </c>
      <c r="N300" s="65" t="str">
        <f>queryCARRADAS_20250905_83647[[#This Row],[ORIGEM]]&amp;queryCARRADAS_20250905_83647[[#This Row],[DESTINO]]&amp;queryCARRADAS_20250905_83647[[#This Row],[MATERIAL]]</f>
        <v>SERVENGOLINDA NOVA - MAPÓ DE BRITA</v>
      </c>
      <c r="O300" s="68" t="s">
        <v>164</v>
      </c>
    </row>
    <row r="301" spans="2:15" x14ac:dyDescent="0.25">
      <c r="B301" s="66">
        <v>45883</v>
      </c>
      <c r="C301" s="65">
        <v>1</v>
      </c>
      <c r="D301" s="63" t="s">
        <v>170</v>
      </c>
      <c r="E301" s="65" t="s">
        <v>171</v>
      </c>
      <c r="F301" s="65" t="s">
        <v>166</v>
      </c>
      <c r="G301" s="65" t="s">
        <v>164</v>
      </c>
      <c r="H301" s="63">
        <v>58</v>
      </c>
      <c r="I301" s="65" t="s">
        <v>165</v>
      </c>
      <c r="J301" s="63">
        <v>2648</v>
      </c>
      <c r="K301" s="64">
        <v>568.26</v>
      </c>
      <c r="L301" s="63" t="s">
        <v>1553</v>
      </c>
      <c r="M301" t="s">
        <v>1117</v>
      </c>
      <c r="N301" s="65" t="str">
        <f>queryCARRADAS_20250905_83647[[#This Row],[ORIGEM]]&amp;queryCARRADAS_20250905_83647[[#This Row],[DESTINO]]&amp;queryCARRADAS_20250905_83647[[#This Row],[MATERIAL]]</f>
        <v>GRANORTEUA SAO LUISPÓ DE BRITA</v>
      </c>
      <c r="O301" s="68" t="s">
        <v>164</v>
      </c>
    </row>
    <row r="302" spans="2:15" x14ac:dyDescent="0.25">
      <c r="B302" s="66">
        <v>45883</v>
      </c>
      <c r="C302" s="65">
        <v>1</v>
      </c>
      <c r="D302" s="63" t="s">
        <v>181</v>
      </c>
      <c r="E302" s="65" t="s">
        <v>182</v>
      </c>
      <c r="F302" s="65" t="s">
        <v>166</v>
      </c>
      <c r="G302" s="65" t="s">
        <v>218</v>
      </c>
      <c r="H302" s="63">
        <v>71</v>
      </c>
      <c r="I302" s="65" t="s">
        <v>172</v>
      </c>
      <c r="J302" s="63">
        <v>2636</v>
      </c>
      <c r="K302" s="64">
        <v>692.48</v>
      </c>
      <c r="L302" s="63" t="s">
        <v>1554</v>
      </c>
      <c r="M302" t="s">
        <v>1117</v>
      </c>
      <c r="N302" s="65" t="str">
        <f>queryCARRADAS_20250905_83647[[#This Row],[ORIGEM]]&amp;queryCARRADAS_20250905_83647[[#This Row],[DESTINO]]&amp;queryCARRADAS_20250905_83647[[#This Row],[MATERIAL]]</f>
        <v>GRANORTEEXPOEMABICA CORRIDA</v>
      </c>
      <c r="O302" s="68" t="s">
        <v>164</v>
      </c>
    </row>
    <row r="303" spans="2:15" x14ac:dyDescent="0.25">
      <c r="B303" s="66">
        <v>45883</v>
      </c>
      <c r="C303" s="65">
        <v>1</v>
      </c>
      <c r="D303" s="63" t="s">
        <v>170</v>
      </c>
      <c r="E303" s="65" t="s">
        <v>171</v>
      </c>
      <c r="F303" s="65" t="s">
        <v>166</v>
      </c>
      <c r="G303" s="65" t="s">
        <v>164</v>
      </c>
      <c r="H303" s="63">
        <v>58</v>
      </c>
      <c r="I303" s="65" t="s">
        <v>165</v>
      </c>
      <c r="J303" s="63">
        <v>259</v>
      </c>
      <c r="K303" s="64">
        <v>555.80999999999995</v>
      </c>
      <c r="L303" s="63" t="s">
        <v>1555</v>
      </c>
      <c r="M303" t="s">
        <v>1117</v>
      </c>
      <c r="N303" s="65" t="str">
        <f>queryCARRADAS_20250905_83647[[#This Row],[ORIGEM]]&amp;queryCARRADAS_20250905_83647[[#This Row],[DESTINO]]&amp;queryCARRADAS_20250905_83647[[#This Row],[MATERIAL]]</f>
        <v>GRANORTEUA SAO LUISPÓ DE BRITA</v>
      </c>
      <c r="O303" s="68" t="s">
        <v>164</v>
      </c>
    </row>
    <row r="304" spans="2:15" x14ac:dyDescent="0.25">
      <c r="B304" s="66">
        <v>45883</v>
      </c>
      <c r="C304" s="65">
        <v>1</v>
      </c>
      <c r="D304" s="63" t="s">
        <v>167</v>
      </c>
      <c r="E304" s="65" t="s">
        <v>168</v>
      </c>
      <c r="F304" s="65" t="s">
        <v>166</v>
      </c>
      <c r="G304" s="65" t="s">
        <v>218</v>
      </c>
      <c r="H304" s="63">
        <v>71</v>
      </c>
      <c r="I304" s="65" t="s">
        <v>172</v>
      </c>
      <c r="J304" s="63">
        <v>2718</v>
      </c>
      <c r="K304" s="64">
        <v>714.02</v>
      </c>
      <c r="L304" s="63" t="s">
        <v>1556</v>
      </c>
      <c r="M304" t="s">
        <v>1117</v>
      </c>
      <c r="N304" s="65" t="str">
        <f>queryCARRADAS_20250905_83647[[#This Row],[ORIGEM]]&amp;queryCARRADAS_20250905_83647[[#This Row],[DESTINO]]&amp;queryCARRADAS_20250905_83647[[#This Row],[MATERIAL]]</f>
        <v>GRANORTEEXPOEMABICA CORRIDA</v>
      </c>
      <c r="O304" s="68" t="s">
        <v>111</v>
      </c>
    </row>
    <row r="305" spans="2:15" x14ac:dyDescent="0.25">
      <c r="B305" s="66">
        <v>45883</v>
      </c>
      <c r="C305" s="65">
        <v>1</v>
      </c>
      <c r="D305" s="63" t="s">
        <v>210</v>
      </c>
      <c r="E305" s="65" t="s">
        <v>211</v>
      </c>
      <c r="F305" s="65" t="s">
        <v>190</v>
      </c>
      <c r="G305" s="65" t="s">
        <v>212</v>
      </c>
      <c r="H305" s="63">
        <v>376</v>
      </c>
      <c r="I305" s="65" t="s">
        <v>165</v>
      </c>
      <c r="J305" s="63">
        <v>4494</v>
      </c>
      <c r="K305" s="64">
        <v>5407.18</v>
      </c>
      <c r="L305" s="63" t="s">
        <v>1557</v>
      </c>
      <c r="M305" t="s">
        <v>1117</v>
      </c>
      <c r="N305" s="65" t="str">
        <f>queryCARRADAS_20250905_83647[[#This Row],[ORIGEM]]&amp;queryCARRADAS_20250905_83647[[#This Row],[DESTINO]]&amp;queryCARRADAS_20250905_83647[[#This Row],[MATERIAL]]</f>
        <v>SERVENGUSINA PINHEIROPÓ DE BRITA</v>
      </c>
      <c r="O305" s="68" t="s">
        <v>164</v>
      </c>
    </row>
    <row r="306" spans="2:15" x14ac:dyDescent="0.25">
      <c r="B306" s="66">
        <v>45883</v>
      </c>
      <c r="C306" s="65">
        <v>1</v>
      </c>
      <c r="D306" s="63" t="s">
        <v>181</v>
      </c>
      <c r="E306" s="65" t="s">
        <v>182</v>
      </c>
      <c r="F306" s="65" t="s">
        <v>166</v>
      </c>
      <c r="G306" s="65" t="s">
        <v>218</v>
      </c>
      <c r="H306" s="63">
        <v>71</v>
      </c>
      <c r="I306" s="65" t="s">
        <v>172</v>
      </c>
      <c r="J306" s="63">
        <v>2666</v>
      </c>
      <c r="K306" s="64">
        <v>700.36</v>
      </c>
      <c r="L306" s="63" t="s">
        <v>1558</v>
      </c>
      <c r="M306" t="s">
        <v>1117</v>
      </c>
      <c r="N306" s="65" t="str">
        <f>queryCARRADAS_20250905_83647[[#This Row],[ORIGEM]]&amp;queryCARRADAS_20250905_83647[[#This Row],[DESTINO]]&amp;queryCARRADAS_20250905_83647[[#This Row],[MATERIAL]]</f>
        <v>GRANORTEEXPOEMABICA CORRIDA</v>
      </c>
      <c r="O306" s="68" t="s">
        <v>164</v>
      </c>
    </row>
    <row r="307" spans="2:15" x14ac:dyDescent="0.25">
      <c r="B307" s="66">
        <v>45883</v>
      </c>
      <c r="C307" s="65">
        <v>1</v>
      </c>
      <c r="D307" s="63" t="s">
        <v>173</v>
      </c>
      <c r="E307" s="65" t="s">
        <v>174</v>
      </c>
      <c r="F307" s="65" t="s">
        <v>166</v>
      </c>
      <c r="G307" s="65" t="s">
        <v>218</v>
      </c>
      <c r="H307" s="63">
        <v>71</v>
      </c>
      <c r="I307" s="65" t="s">
        <v>172</v>
      </c>
      <c r="J307" s="63">
        <v>2904</v>
      </c>
      <c r="K307" s="64">
        <v>762.88</v>
      </c>
      <c r="L307" s="63" t="s">
        <v>1559</v>
      </c>
      <c r="M307" t="s">
        <v>1117</v>
      </c>
      <c r="N307" s="65" t="str">
        <f>queryCARRADAS_20250905_83647[[#This Row],[ORIGEM]]&amp;queryCARRADAS_20250905_83647[[#This Row],[DESTINO]]&amp;queryCARRADAS_20250905_83647[[#This Row],[MATERIAL]]</f>
        <v>GRANORTEEXPOEMABICA CORRIDA</v>
      </c>
      <c r="O307" s="68" t="s">
        <v>111</v>
      </c>
    </row>
    <row r="308" spans="2:15" x14ac:dyDescent="0.25">
      <c r="B308" s="66">
        <v>45883</v>
      </c>
      <c r="C308" s="65">
        <v>1</v>
      </c>
      <c r="D308" s="63" t="s">
        <v>170</v>
      </c>
      <c r="E308" s="65" t="s">
        <v>171</v>
      </c>
      <c r="F308" s="65" t="s">
        <v>166</v>
      </c>
      <c r="G308" s="65" t="s">
        <v>218</v>
      </c>
      <c r="H308" s="63">
        <v>71</v>
      </c>
      <c r="I308" s="65" t="s">
        <v>172</v>
      </c>
      <c r="J308" s="63">
        <v>2626</v>
      </c>
      <c r="K308" s="64">
        <v>689.85</v>
      </c>
      <c r="L308" s="63" t="s">
        <v>1560</v>
      </c>
      <c r="M308" t="s">
        <v>1117</v>
      </c>
      <c r="N308" s="65" t="str">
        <f>queryCARRADAS_20250905_83647[[#This Row],[ORIGEM]]&amp;queryCARRADAS_20250905_83647[[#This Row],[DESTINO]]&amp;queryCARRADAS_20250905_83647[[#This Row],[MATERIAL]]</f>
        <v>GRANORTEEXPOEMABICA CORRIDA</v>
      </c>
      <c r="O308" s="68" t="s">
        <v>111</v>
      </c>
    </row>
    <row r="309" spans="2:15" x14ac:dyDescent="0.25">
      <c r="B309" s="66">
        <v>45883</v>
      </c>
      <c r="C309" s="65">
        <v>1</v>
      </c>
      <c r="D309" s="63" t="s">
        <v>188</v>
      </c>
      <c r="E309" s="65" t="s">
        <v>189</v>
      </c>
      <c r="F309" s="65" t="s">
        <v>166</v>
      </c>
      <c r="G309" s="65" t="s">
        <v>191</v>
      </c>
      <c r="H309" s="63">
        <v>243</v>
      </c>
      <c r="I309" s="65" t="s">
        <v>221</v>
      </c>
      <c r="J309" s="63">
        <v>4822</v>
      </c>
      <c r="K309" s="64">
        <v>4335.46</v>
      </c>
      <c r="L309" s="63" t="s">
        <v>1561</v>
      </c>
      <c r="M309" t="s">
        <v>1117</v>
      </c>
      <c r="N309" s="65" t="str">
        <f>queryCARRADAS_20250905_83647[[#This Row],[ORIGEM]]&amp;queryCARRADAS_20250905_83647[[#This Row],[DESTINO]]&amp;queryCARRADAS_20250905_83647[[#This Row],[MATERIAL]]</f>
        <v>GRANORTEOLINDA NOVA - MABGS</v>
      </c>
      <c r="O309" s="68" t="s">
        <v>164</v>
      </c>
    </row>
    <row r="310" spans="2:15" x14ac:dyDescent="0.25">
      <c r="B310" s="66">
        <v>45883</v>
      </c>
      <c r="C310" s="65">
        <v>1</v>
      </c>
      <c r="D310" s="63" t="s">
        <v>167</v>
      </c>
      <c r="E310" s="65" t="s">
        <v>168</v>
      </c>
      <c r="F310" s="65" t="s">
        <v>166</v>
      </c>
      <c r="G310" s="65" t="s">
        <v>218</v>
      </c>
      <c r="H310" s="63">
        <v>71</v>
      </c>
      <c r="I310" s="65" t="s">
        <v>172</v>
      </c>
      <c r="J310" s="63">
        <v>282</v>
      </c>
      <c r="K310" s="64">
        <v>740.81</v>
      </c>
      <c r="L310" s="63" t="s">
        <v>1562</v>
      </c>
      <c r="M310" t="s">
        <v>1117</v>
      </c>
      <c r="N310" s="65" t="str">
        <f>queryCARRADAS_20250905_83647[[#This Row],[ORIGEM]]&amp;queryCARRADAS_20250905_83647[[#This Row],[DESTINO]]&amp;queryCARRADAS_20250905_83647[[#This Row],[MATERIAL]]</f>
        <v>GRANORTEEXPOEMABICA CORRIDA</v>
      </c>
      <c r="O310" s="68" t="s">
        <v>164</v>
      </c>
    </row>
    <row r="311" spans="2:15" x14ac:dyDescent="0.25">
      <c r="B311" s="66">
        <v>45883</v>
      </c>
      <c r="C311" s="65">
        <v>1</v>
      </c>
      <c r="D311" s="63" t="s">
        <v>1127</v>
      </c>
      <c r="E311" s="65" t="s">
        <v>178</v>
      </c>
      <c r="F311" s="65" t="s">
        <v>166</v>
      </c>
      <c r="G311" s="65" t="s">
        <v>164</v>
      </c>
      <c r="H311" s="63">
        <v>58</v>
      </c>
      <c r="I311" s="65" t="s">
        <v>165</v>
      </c>
      <c r="J311" s="63">
        <v>2708</v>
      </c>
      <c r="K311" s="64">
        <v>581.14</v>
      </c>
      <c r="L311" s="63" t="s">
        <v>1563</v>
      </c>
      <c r="M311" t="s">
        <v>1117</v>
      </c>
      <c r="N311" s="65" t="str">
        <f>queryCARRADAS_20250905_83647[[#This Row],[ORIGEM]]&amp;queryCARRADAS_20250905_83647[[#This Row],[DESTINO]]&amp;queryCARRADAS_20250905_83647[[#This Row],[MATERIAL]]</f>
        <v>GRANORTEUA SAO LUISPÓ DE BRITA</v>
      </c>
      <c r="O311" s="68" t="s">
        <v>154</v>
      </c>
    </row>
    <row r="312" spans="2:15" x14ac:dyDescent="0.25">
      <c r="B312" s="66">
        <v>45883</v>
      </c>
      <c r="C312" s="65">
        <v>1</v>
      </c>
      <c r="D312" s="63" t="s">
        <v>1127</v>
      </c>
      <c r="E312" s="65" t="s">
        <v>178</v>
      </c>
      <c r="F312" s="65" t="s">
        <v>166</v>
      </c>
      <c r="G312" s="65" t="s">
        <v>164</v>
      </c>
      <c r="H312" s="63">
        <v>58</v>
      </c>
      <c r="I312" s="65" t="s">
        <v>165</v>
      </c>
      <c r="J312" s="63">
        <v>3058</v>
      </c>
      <c r="K312" s="64">
        <v>656.25</v>
      </c>
      <c r="L312" s="63" t="s">
        <v>1564</v>
      </c>
      <c r="M312" t="s">
        <v>1117</v>
      </c>
      <c r="N312" s="65" t="str">
        <f>queryCARRADAS_20250905_83647[[#This Row],[ORIGEM]]&amp;queryCARRADAS_20250905_83647[[#This Row],[DESTINO]]&amp;queryCARRADAS_20250905_83647[[#This Row],[MATERIAL]]</f>
        <v>GRANORTEUA SAO LUISPÓ DE BRITA</v>
      </c>
      <c r="O312" s="68" t="s">
        <v>164</v>
      </c>
    </row>
    <row r="313" spans="2:15" x14ac:dyDescent="0.25">
      <c r="B313" s="66">
        <v>45883</v>
      </c>
      <c r="C313" s="65">
        <v>1</v>
      </c>
      <c r="D313" s="63" t="s">
        <v>200</v>
      </c>
      <c r="E313" s="65" t="s">
        <v>201</v>
      </c>
      <c r="F313" s="65" t="s">
        <v>190</v>
      </c>
      <c r="G313" s="65" t="s">
        <v>212</v>
      </c>
      <c r="H313" s="63">
        <v>376</v>
      </c>
      <c r="I313" s="65" t="s">
        <v>165</v>
      </c>
      <c r="J313" s="63">
        <v>4886</v>
      </c>
      <c r="K313" s="64">
        <v>5878.84</v>
      </c>
      <c r="L313" s="63" t="s">
        <v>1565</v>
      </c>
      <c r="M313" t="s">
        <v>1117</v>
      </c>
      <c r="N313" s="65" t="str">
        <f>queryCARRADAS_20250905_83647[[#This Row],[ORIGEM]]&amp;queryCARRADAS_20250905_83647[[#This Row],[DESTINO]]&amp;queryCARRADAS_20250905_83647[[#This Row],[MATERIAL]]</f>
        <v>SERVENGUSINA PINHEIROPÓ DE BRITA</v>
      </c>
      <c r="O313" s="68" t="s">
        <v>164</v>
      </c>
    </row>
    <row r="314" spans="2:15" x14ac:dyDescent="0.25">
      <c r="B314" s="66">
        <v>45883</v>
      </c>
      <c r="C314" s="65">
        <v>1</v>
      </c>
      <c r="D314" s="63" t="s">
        <v>1129</v>
      </c>
      <c r="E314" s="65" t="s">
        <v>1130</v>
      </c>
      <c r="F314" s="65" t="s">
        <v>1131</v>
      </c>
      <c r="G314" s="65" t="s">
        <v>1132</v>
      </c>
      <c r="H314" s="63">
        <v>69</v>
      </c>
      <c r="I314" s="65" t="s">
        <v>165</v>
      </c>
      <c r="J314" s="63">
        <v>309</v>
      </c>
      <c r="K314" s="64">
        <v>788.88</v>
      </c>
      <c r="L314" s="63" t="s">
        <v>1566</v>
      </c>
      <c r="M314" t="s">
        <v>1117</v>
      </c>
      <c r="N314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314" s="68" t="s">
        <v>164</v>
      </c>
    </row>
    <row r="315" spans="2:15" x14ac:dyDescent="0.25">
      <c r="B315" s="66">
        <v>45883</v>
      </c>
      <c r="C315" s="65">
        <v>1</v>
      </c>
      <c r="D315" s="63" t="s">
        <v>213</v>
      </c>
      <c r="E315" s="65" t="s">
        <v>214</v>
      </c>
      <c r="F315" s="65" t="s">
        <v>166</v>
      </c>
      <c r="G315" s="65" t="s">
        <v>191</v>
      </c>
      <c r="H315" s="63">
        <v>243</v>
      </c>
      <c r="I315" s="65" t="s">
        <v>221</v>
      </c>
      <c r="J315" s="63">
        <v>485</v>
      </c>
      <c r="K315" s="64">
        <v>4360.6400000000003</v>
      </c>
      <c r="L315" s="63" t="s">
        <v>1567</v>
      </c>
      <c r="M315" t="s">
        <v>1117</v>
      </c>
      <c r="N315" s="65" t="str">
        <f>queryCARRADAS_20250905_83647[[#This Row],[ORIGEM]]&amp;queryCARRADAS_20250905_83647[[#This Row],[DESTINO]]&amp;queryCARRADAS_20250905_83647[[#This Row],[MATERIAL]]</f>
        <v>GRANORTEOLINDA NOVA - MABGS</v>
      </c>
      <c r="O315" s="68" t="s">
        <v>164</v>
      </c>
    </row>
    <row r="316" spans="2:15" x14ac:dyDescent="0.25">
      <c r="B316" s="66">
        <v>45883</v>
      </c>
      <c r="C316" s="65">
        <v>1</v>
      </c>
      <c r="D316" s="63" t="s">
        <v>199</v>
      </c>
      <c r="E316" s="65" t="s">
        <v>215</v>
      </c>
      <c r="F316" s="65" t="s">
        <v>163</v>
      </c>
      <c r="G316" s="65" t="s">
        <v>164</v>
      </c>
      <c r="H316" s="63">
        <v>52</v>
      </c>
      <c r="I316" s="65" t="s">
        <v>165</v>
      </c>
      <c r="J316" s="63">
        <v>2797</v>
      </c>
      <c r="K316" s="64">
        <v>538.14</v>
      </c>
      <c r="L316" s="63" t="s">
        <v>1568</v>
      </c>
      <c r="M316" t="s">
        <v>1569</v>
      </c>
      <c r="N316" s="65" t="str">
        <f>queryCARRADAS_20250905_83647[[#This Row],[ORIGEM]]&amp;queryCARRADAS_20250905_83647[[#This Row],[DESTINO]]&amp;queryCARRADAS_20250905_83647[[#This Row],[MATERIAL]]</f>
        <v>BRASIL MINERACAOUA SAO LUISPÓ DE BRITA</v>
      </c>
      <c r="O316" s="68" t="s">
        <v>111</v>
      </c>
    </row>
    <row r="317" spans="2:15" x14ac:dyDescent="0.25">
      <c r="B317" s="66">
        <v>45883</v>
      </c>
      <c r="C317" s="65">
        <v>1</v>
      </c>
      <c r="D317" s="63" t="s">
        <v>208</v>
      </c>
      <c r="E317" s="65" t="s">
        <v>209</v>
      </c>
      <c r="F317" s="65" t="s">
        <v>190</v>
      </c>
      <c r="G317" s="65" t="s">
        <v>212</v>
      </c>
      <c r="H317" s="63">
        <v>376</v>
      </c>
      <c r="I317" s="65" t="s">
        <v>165</v>
      </c>
      <c r="J317" s="63">
        <v>500</v>
      </c>
      <c r="K317" s="64">
        <v>6016</v>
      </c>
      <c r="L317" s="63" t="s">
        <v>1570</v>
      </c>
      <c r="M317" t="s">
        <v>1117</v>
      </c>
      <c r="N317" s="65" t="str">
        <f>queryCARRADAS_20250905_83647[[#This Row],[ORIGEM]]&amp;queryCARRADAS_20250905_83647[[#This Row],[DESTINO]]&amp;queryCARRADAS_20250905_83647[[#This Row],[MATERIAL]]</f>
        <v>SERVENGUSINA PINHEIROPÓ DE BRITA</v>
      </c>
      <c r="O317" s="68" t="s">
        <v>164</v>
      </c>
    </row>
    <row r="318" spans="2:15" x14ac:dyDescent="0.25">
      <c r="B318" s="66">
        <v>45883</v>
      </c>
      <c r="C318" s="65">
        <v>1</v>
      </c>
      <c r="D318" s="63" t="s">
        <v>193</v>
      </c>
      <c r="E318" s="65" t="s">
        <v>194</v>
      </c>
      <c r="F318" s="65" t="s">
        <v>166</v>
      </c>
      <c r="G318" s="65" t="s">
        <v>164</v>
      </c>
      <c r="H318" s="63">
        <v>58</v>
      </c>
      <c r="I318" s="65" t="s">
        <v>165</v>
      </c>
      <c r="J318" s="63">
        <v>300</v>
      </c>
      <c r="K318" s="64">
        <v>643.79999999999995</v>
      </c>
      <c r="L318" s="63" t="s">
        <v>1571</v>
      </c>
      <c r="M318" t="s">
        <v>1117</v>
      </c>
      <c r="N318" s="65" t="str">
        <f>queryCARRADAS_20250905_83647[[#This Row],[ORIGEM]]&amp;queryCARRADAS_20250905_83647[[#This Row],[DESTINO]]&amp;queryCARRADAS_20250905_83647[[#This Row],[MATERIAL]]</f>
        <v>GRANORTEUA SAO LUISPÓ DE BRITA</v>
      </c>
      <c r="O318" s="68" t="s">
        <v>164</v>
      </c>
    </row>
    <row r="319" spans="2:15" x14ac:dyDescent="0.25">
      <c r="B319" s="66">
        <v>45883</v>
      </c>
      <c r="C319" s="65">
        <v>1</v>
      </c>
      <c r="D319" s="63" t="s">
        <v>193</v>
      </c>
      <c r="E319" s="65" t="s">
        <v>194</v>
      </c>
      <c r="F319" s="65" t="s">
        <v>166</v>
      </c>
      <c r="G319" s="65" t="s">
        <v>164</v>
      </c>
      <c r="H319" s="63">
        <v>58</v>
      </c>
      <c r="I319" s="65" t="s">
        <v>165</v>
      </c>
      <c r="J319" s="63">
        <v>2896</v>
      </c>
      <c r="K319" s="64">
        <v>621.48</v>
      </c>
      <c r="L319" s="63" t="s">
        <v>1572</v>
      </c>
      <c r="M319" t="s">
        <v>1117</v>
      </c>
      <c r="N319" s="65" t="str">
        <f>queryCARRADAS_20250905_83647[[#This Row],[ORIGEM]]&amp;queryCARRADAS_20250905_83647[[#This Row],[DESTINO]]&amp;queryCARRADAS_20250905_83647[[#This Row],[MATERIAL]]</f>
        <v>GRANORTEUA SAO LUISPÓ DE BRITA</v>
      </c>
      <c r="O319" s="68" t="s">
        <v>164</v>
      </c>
    </row>
    <row r="320" spans="2:15" x14ac:dyDescent="0.25">
      <c r="B320" s="66">
        <v>45883</v>
      </c>
      <c r="C320" s="65">
        <v>1</v>
      </c>
      <c r="D320" s="63" t="s">
        <v>183</v>
      </c>
      <c r="E320" s="65" t="s">
        <v>184</v>
      </c>
      <c r="F320" s="65" t="s">
        <v>166</v>
      </c>
      <c r="G320" s="65" t="s">
        <v>164</v>
      </c>
      <c r="H320" s="63">
        <v>58</v>
      </c>
      <c r="I320" s="65" t="s">
        <v>165</v>
      </c>
      <c r="J320" s="63">
        <v>295</v>
      </c>
      <c r="K320" s="64">
        <v>633.07000000000005</v>
      </c>
      <c r="L320" s="63" t="s">
        <v>1573</v>
      </c>
      <c r="M320" t="s">
        <v>1117</v>
      </c>
      <c r="N320" s="65" t="str">
        <f>queryCARRADAS_20250905_83647[[#This Row],[ORIGEM]]&amp;queryCARRADAS_20250905_83647[[#This Row],[DESTINO]]&amp;queryCARRADAS_20250905_83647[[#This Row],[MATERIAL]]</f>
        <v>GRANORTEUA SAO LUISPÓ DE BRITA</v>
      </c>
      <c r="O320" s="68" t="s">
        <v>164</v>
      </c>
    </row>
    <row r="321" spans="2:15" x14ac:dyDescent="0.25">
      <c r="B321" s="66">
        <v>45883</v>
      </c>
      <c r="C321" s="65">
        <v>1</v>
      </c>
      <c r="D321" s="63" t="s">
        <v>270</v>
      </c>
      <c r="E321" s="65" t="s">
        <v>1146</v>
      </c>
      <c r="F321" s="65" t="s">
        <v>190</v>
      </c>
      <c r="G321" s="65" t="s">
        <v>212</v>
      </c>
      <c r="H321" s="63">
        <v>376</v>
      </c>
      <c r="I321" s="65" t="s">
        <v>165</v>
      </c>
      <c r="J321" s="63">
        <v>4808</v>
      </c>
      <c r="K321" s="64">
        <v>5784.99</v>
      </c>
      <c r="L321" s="63" t="s">
        <v>1574</v>
      </c>
      <c r="M321" t="s">
        <v>1183</v>
      </c>
      <c r="N321" s="65" t="str">
        <f>queryCARRADAS_20250905_83647[[#This Row],[ORIGEM]]&amp;queryCARRADAS_20250905_83647[[#This Row],[DESTINO]]&amp;queryCARRADAS_20250905_83647[[#This Row],[MATERIAL]]</f>
        <v>SERVENGUSINA PINHEIROPÓ DE BRITA</v>
      </c>
      <c r="O321" s="68" t="s">
        <v>164</v>
      </c>
    </row>
    <row r="322" spans="2:15" x14ac:dyDescent="0.25">
      <c r="B322" s="66">
        <v>45884</v>
      </c>
      <c r="C322" s="65">
        <v>1</v>
      </c>
      <c r="D322" s="63" t="s">
        <v>196</v>
      </c>
      <c r="E322" s="65" t="s">
        <v>197</v>
      </c>
      <c r="F322" s="65" t="s">
        <v>190</v>
      </c>
      <c r="G322" s="65" t="s">
        <v>191</v>
      </c>
      <c r="H322" s="63">
        <v>217</v>
      </c>
      <c r="I322" s="65" t="s">
        <v>165</v>
      </c>
      <c r="J322" s="63">
        <v>473</v>
      </c>
      <c r="K322" s="64">
        <v>3797.72</v>
      </c>
      <c r="L322" s="63" t="s">
        <v>1521</v>
      </c>
      <c r="M322" t="s">
        <v>1193</v>
      </c>
      <c r="N322" s="65" t="str">
        <f>queryCARRADAS_20250905_83647[[#This Row],[ORIGEM]]&amp;queryCARRADAS_20250905_83647[[#This Row],[DESTINO]]&amp;queryCARRADAS_20250905_83647[[#This Row],[MATERIAL]]</f>
        <v>SERVENGOLINDA NOVA - MAPÓ DE BRITA</v>
      </c>
      <c r="O322" s="68" t="s">
        <v>164</v>
      </c>
    </row>
    <row r="323" spans="2:15" x14ac:dyDescent="0.25">
      <c r="B323" s="66">
        <v>45884</v>
      </c>
      <c r="C323" s="65">
        <v>1</v>
      </c>
      <c r="D323" s="63" t="s">
        <v>202</v>
      </c>
      <c r="E323" s="65" t="s">
        <v>1153</v>
      </c>
      <c r="F323" s="65" t="s">
        <v>190</v>
      </c>
      <c r="G323" s="65" t="s">
        <v>191</v>
      </c>
      <c r="H323" s="63">
        <v>217</v>
      </c>
      <c r="I323" s="65" t="s">
        <v>165</v>
      </c>
      <c r="J323" s="63">
        <v>4984</v>
      </c>
      <c r="K323" s="64">
        <v>4001.65</v>
      </c>
      <c r="L323" s="63" t="s">
        <v>1522</v>
      </c>
      <c r="M323" t="s">
        <v>1117</v>
      </c>
      <c r="N323" s="65" t="str">
        <f>queryCARRADAS_20250905_83647[[#This Row],[ORIGEM]]&amp;queryCARRADAS_20250905_83647[[#This Row],[DESTINO]]&amp;queryCARRADAS_20250905_83647[[#This Row],[MATERIAL]]</f>
        <v>SERVENGOLINDA NOVA - MAPÓ DE BRITA</v>
      </c>
      <c r="O323" s="68" t="s">
        <v>164</v>
      </c>
    </row>
    <row r="324" spans="2:15" x14ac:dyDescent="0.25">
      <c r="B324" s="66">
        <v>45884</v>
      </c>
      <c r="C324" s="65">
        <v>1</v>
      </c>
      <c r="D324" s="63" t="s">
        <v>167</v>
      </c>
      <c r="E324" s="65" t="s">
        <v>168</v>
      </c>
      <c r="F324" s="65" t="s">
        <v>166</v>
      </c>
      <c r="G324" s="65" t="s">
        <v>218</v>
      </c>
      <c r="H324" s="63">
        <v>71</v>
      </c>
      <c r="I324" s="65" t="s">
        <v>172</v>
      </c>
      <c r="J324" s="63">
        <v>2666</v>
      </c>
      <c r="K324" s="64">
        <v>700.36</v>
      </c>
      <c r="L324" s="63" t="s">
        <v>1523</v>
      </c>
      <c r="M324" t="s">
        <v>1117</v>
      </c>
      <c r="N324" s="65" t="str">
        <f>queryCARRADAS_20250905_83647[[#This Row],[ORIGEM]]&amp;queryCARRADAS_20250905_83647[[#This Row],[DESTINO]]&amp;queryCARRADAS_20250905_83647[[#This Row],[MATERIAL]]</f>
        <v>GRANORTEEXPOEMABICA CORRIDA</v>
      </c>
      <c r="O324" s="68" t="s">
        <v>164</v>
      </c>
    </row>
    <row r="325" spans="2:15" x14ac:dyDescent="0.25">
      <c r="B325" s="66">
        <v>45884</v>
      </c>
      <c r="C325" s="65">
        <v>1</v>
      </c>
      <c r="D325" s="63" t="s">
        <v>181</v>
      </c>
      <c r="E325" s="65" t="s">
        <v>182</v>
      </c>
      <c r="F325" s="65" t="s">
        <v>166</v>
      </c>
      <c r="G325" s="65" t="s">
        <v>218</v>
      </c>
      <c r="H325" s="63">
        <v>71</v>
      </c>
      <c r="I325" s="65" t="s">
        <v>172</v>
      </c>
      <c r="J325" s="63">
        <v>2658</v>
      </c>
      <c r="K325" s="64">
        <v>698.26</v>
      </c>
      <c r="L325" s="63" t="s">
        <v>1524</v>
      </c>
      <c r="M325" t="s">
        <v>1117</v>
      </c>
      <c r="N325" s="65" t="str">
        <f>queryCARRADAS_20250905_83647[[#This Row],[ORIGEM]]&amp;queryCARRADAS_20250905_83647[[#This Row],[DESTINO]]&amp;queryCARRADAS_20250905_83647[[#This Row],[MATERIAL]]</f>
        <v>GRANORTEEXPOEMABICA CORRIDA</v>
      </c>
      <c r="O325" s="68" t="s">
        <v>164</v>
      </c>
    </row>
    <row r="326" spans="2:15" x14ac:dyDescent="0.25">
      <c r="B326" s="66">
        <v>45884</v>
      </c>
      <c r="C326" s="65">
        <v>1</v>
      </c>
      <c r="D326" s="63" t="s">
        <v>275</v>
      </c>
      <c r="E326" s="65" t="s">
        <v>217</v>
      </c>
      <c r="F326" s="65" t="s">
        <v>190</v>
      </c>
      <c r="G326" s="65" t="s">
        <v>212</v>
      </c>
      <c r="H326" s="63">
        <v>376</v>
      </c>
      <c r="I326" s="65" t="s">
        <v>165</v>
      </c>
      <c r="J326" s="63">
        <v>748</v>
      </c>
      <c r="K326" s="64">
        <v>8999.94</v>
      </c>
      <c r="L326" s="63" t="s">
        <v>1525</v>
      </c>
      <c r="M326" t="s">
        <v>1526</v>
      </c>
      <c r="N326" s="65" t="str">
        <f>queryCARRADAS_20250905_83647[[#This Row],[ORIGEM]]&amp;queryCARRADAS_20250905_83647[[#This Row],[DESTINO]]&amp;queryCARRADAS_20250905_83647[[#This Row],[MATERIAL]]</f>
        <v>SERVENGUSINA PINHEIROPÓ DE BRITA</v>
      </c>
      <c r="O326" s="68" t="s">
        <v>164</v>
      </c>
    </row>
    <row r="327" spans="2:15" x14ac:dyDescent="0.25">
      <c r="B327" s="66">
        <v>45884</v>
      </c>
      <c r="C327" s="65">
        <v>1</v>
      </c>
      <c r="D327" s="63" t="s">
        <v>170</v>
      </c>
      <c r="E327" s="65" t="s">
        <v>171</v>
      </c>
      <c r="F327" s="65" t="s">
        <v>166</v>
      </c>
      <c r="G327" s="65" t="s">
        <v>164</v>
      </c>
      <c r="H327" s="63">
        <v>58</v>
      </c>
      <c r="I327" s="65" t="s">
        <v>165</v>
      </c>
      <c r="J327" s="63">
        <v>2544</v>
      </c>
      <c r="K327" s="64">
        <v>545.94000000000005</v>
      </c>
      <c r="L327" s="63" t="s">
        <v>1527</v>
      </c>
      <c r="M327" t="s">
        <v>1117</v>
      </c>
      <c r="N327" s="65" t="str">
        <f>queryCARRADAS_20250905_83647[[#This Row],[ORIGEM]]&amp;queryCARRADAS_20250905_83647[[#This Row],[DESTINO]]&amp;queryCARRADAS_20250905_83647[[#This Row],[MATERIAL]]</f>
        <v>GRANORTEUA SAO LUISPÓ DE BRITA</v>
      </c>
      <c r="O327" s="68" t="s">
        <v>164</v>
      </c>
    </row>
    <row r="328" spans="2:15" x14ac:dyDescent="0.25">
      <c r="B328" s="66">
        <v>45884</v>
      </c>
      <c r="C328" s="65">
        <v>1</v>
      </c>
      <c r="D328" s="63" t="s">
        <v>167</v>
      </c>
      <c r="E328" s="65" t="s">
        <v>168</v>
      </c>
      <c r="F328" s="65" t="s">
        <v>166</v>
      </c>
      <c r="G328" s="65" t="s">
        <v>218</v>
      </c>
      <c r="H328" s="63">
        <v>71</v>
      </c>
      <c r="I328" s="65" t="s">
        <v>172</v>
      </c>
      <c r="J328" s="63">
        <v>266</v>
      </c>
      <c r="K328" s="64">
        <v>698.78</v>
      </c>
      <c r="L328" s="63" t="s">
        <v>1528</v>
      </c>
      <c r="M328" t="s">
        <v>1117</v>
      </c>
      <c r="N328" s="65" t="str">
        <f>queryCARRADAS_20250905_83647[[#This Row],[ORIGEM]]&amp;queryCARRADAS_20250905_83647[[#This Row],[DESTINO]]&amp;queryCARRADAS_20250905_83647[[#This Row],[MATERIAL]]</f>
        <v>GRANORTEEXPOEMABICA CORRIDA</v>
      </c>
      <c r="O328" s="68" t="s">
        <v>164</v>
      </c>
    </row>
    <row r="329" spans="2:15" x14ac:dyDescent="0.25">
      <c r="B329" s="66">
        <v>45884</v>
      </c>
      <c r="C329" s="65">
        <v>1</v>
      </c>
      <c r="D329" s="63" t="s">
        <v>1127</v>
      </c>
      <c r="E329" s="65" t="s">
        <v>178</v>
      </c>
      <c r="F329" s="65" t="s">
        <v>166</v>
      </c>
      <c r="G329" s="65" t="s">
        <v>164</v>
      </c>
      <c r="H329" s="63">
        <v>58</v>
      </c>
      <c r="I329" s="65" t="s">
        <v>165</v>
      </c>
      <c r="J329" s="63">
        <v>2652</v>
      </c>
      <c r="K329" s="64">
        <v>569.12</v>
      </c>
      <c r="L329" s="63" t="s">
        <v>1529</v>
      </c>
      <c r="M329" t="s">
        <v>1117</v>
      </c>
      <c r="N329" s="65" t="str">
        <f>queryCARRADAS_20250905_83647[[#This Row],[ORIGEM]]&amp;queryCARRADAS_20250905_83647[[#This Row],[DESTINO]]&amp;queryCARRADAS_20250905_83647[[#This Row],[MATERIAL]]</f>
        <v>GRANORTEUA SAO LUISPÓ DE BRITA</v>
      </c>
      <c r="O329" s="68" t="s">
        <v>164</v>
      </c>
    </row>
    <row r="330" spans="2:15" x14ac:dyDescent="0.25">
      <c r="B330" s="66">
        <v>45884</v>
      </c>
      <c r="C330" s="65">
        <v>1</v>
      </c>
      <c r="D330" s="63" t="s">
        <v>181</v>
      </c>
      <c r="E330" s="65" t="s">
        <v>182</v>
      </c>
      <c r="F330" s="65" t="s">
        <v>166</v>
      </c>
      <c r="G330" s="65" t="s">
        <v>218</v>
      </c>
      <c r="H330" s="63">
        <v>71</v>
      </c>
      <c r="I330" s="65" t="s">
        <v>172</v>
      </c>
      <c r="J330" s="63">
        <v>2552</v>
      </c>
      <c r="K330" s="64">
        <v>670.41</v>
      </c>
      <c r="L330" s="63" t="s">
        <v>1530</v>
      </c>
      <c r="M330" t="s">
        <v>1117</v>
      </c>
      <c r="N330" s="65" t="str">
        <f>queryCARRADAS_20250905_83647[[#This Row],[ORIGEM]]&amp;queryCARRADAS_20250905_83647[[#This Row],[DESTINO]]&amp;queryCARRADAS_20250905_83647[[#This Row],[MATERIAL]]</f>
        <v>GRANORTEEXPOEMABICA CORRIDA</v>
      </c>
      <c r="O330" s="68" t="s">
        <v>111</v>
      </c>
    </row>
    <row r="331" spans="2:15" x14ac:dyDescent="0.25">
      <c r="B331" s="66">
        <v>45884</v>
      </c>
      <c r="C331" s="65">
        <v>1</v>
      </c>
      <c r="D331" s="63" t="s">
        <v>173</v>
      </c>
      <c r="E331" s="65" t="s">
        <v>174</v>
      </c>
      <c r="F331" s="65" t="s">
        <v>166</v>
      </c>
      <c r="G331" s="65" t="s">
        <v>218</v>
      </c>
      <c r="H331" s="63">
        <v>71</v>
      </c>
      <c r="I331" s="65" t="s">
        <v>172</v>
      </c>
      <c r="J331" s="63">
        <v>2782</v>
      </c>
      <c r="K331" s="64">
        <v>730.83</v>
      </c>
      <c r="L331" s="63" t="s">
        <v>1531</v>
      </c>
      <c r="M331" t="s">
        <v>1117</v>
      </c>
      <c r="N331" s="65" t="str">
        <f>queryCARRADAS_20250905_83647[[#This Row],[ORIGEM]]&amp;queryCARRADAS_20250905_83647[[#This Row],[DESTINO]]&amp;queryCARRADAS_20250905_83647[[#This Row],[MATERIAL]]</f>
        <v>GRANORTEEXPOEMABICA CORRIDA</v>
      </c>
      <c r="O331" s="68" t="s">
        <v>164</v>
      </c>
    </row>
    <row r="332" spans="2:15" x14ac:dyDescent="0.25">
      <c r="B332" s="66">
        <v>45884</v>
      </c>
      <c r="C332" s="65">
        <v>1</v>
      </c>
      <c r="D332" s="63" t="s">
        <v>183</v>
      </c>
      <c r="E332" s="65" t="s">
        <v>184</v>
      </c>
      <c r="F332" s="65" t="s">
        <v>163</v>
      </c>
      <c r="G332" s="65" t="s">
        <v>164</v>
      </c>
      <c r="H332" s="63">
        <v>52</v>
      </c>
      <c r="I332" s="65" t="s">
        <v>165</v>
      </c>
      <c r="J332" s="63">
        <v>3058</v>
      </c>
      <c r="K332" s="64">
        <v>588.36</v>
      </c>
      <c r="L332" s="63" t="s">
        <v>1532</v>
      </c>
      <c r="M332" t="s">
        <v>1117</v>
      </c>
      <c r="N332" s="65" t="str">
        <f>queryCARRADAS_20250905_83647[[#This Row],[ORIGEM]]&amp;queryCARRADAS_20250905_83647[[#This Row],[DESTINO]]&amp;queryCARRADAS_20250905_83647[[#This Row],[MATERIAL]]</f>
        <v>BRASIL MINERACAOUA SAO LUISPÓ DE BRITA</v>
      </c>
      <c r="O332" s="68" t="s">
        <v>164</v>
      </c>
    </row>
    <row r="333" spans="2:15" x14ac:dyDescent="0.25">
      <c r="B333" s="66">
        <v>45884</v>
      </c>
      <c r="C333" s="65">
        <v>1</v>
      </c>
      <c r="D333" s="63" t="s">
        <v>167</v>
      </c>
      <c r="E333" s="65" t="s">
        <v>168</v>
      </c>
      <c r="F333" s="65" t="s">
        <v>166</v>
      </c>
      <c r="G333" s="65" t="s">
        <v>218</v>
      </c>
      <c r="H333" s="63">
        <v>71</v>
      </c>
      <c r="I333" s="65" t="s">
        <v>172</v>
      </c>
      <c r="J333" s="63">
        <v>265</v>
      </c>
      <c r="K333" s="64">
        <v>696.16</v>
      </c>
      <c r="L333" s="63" t="s">
        <v>1533</v>
      </c>
      <c r="M333" t="s">
        <v>1117</v>
      </c>
      <c r="N333" s="65" t="str">
        <f>queryCARRADAS_20250905_83647[[#This Row],[ORIGEM]]&amp;queryCARRADAS_20250905_83647[[#This Row],[DESTINO]]&amp;queryCARRADAS_20250905_83647[[#This Row],[MATERIAL]]</f>
        <v>GRANORTEEXPOEMABICA CORRIDA</v>
      </c>
      <c r="O333" s="68" t="s">
        <v>164</v>
      </c>
    </row>
    <row r="334" spans="2:15" x14ac:dyDescent="0.25">
      <c r="B334" s="66">
        <v>45884</v>
      </c>
      <c r="C334" s="65">
        <v>1</v>
      </c>
      <c r="D334" s="63" t="s">
        <v>181</v>
      </c>
      <c r="E334" s="65" t="s">
        <v>182</v>
      </c>
      <c r="F334" s="65" t="s">
        <v>166</v>
      </c>
      <c r="G334" s="65" t="s">
        <v>364</v>
      </c>
      <c r="H334" s="63">
        <v>80</v>
      </c>
      <c r="I334" s="65" t="s">
        <v>216</v>
      </c>
      <c r="J334" s="63">
        <v>2786</v>
      </c>
      <c r="K334" s="64">
        <v>824.66</v>
      </c>
      <c r="L334" s="63" t="s">
        <v>1534</v>
      </c>
      <c r="M334" t="s">
        <v>1117</v>
      </c>
      <c r="N334" s="65" t="str">
        <f>queryCARRADAS_20250905_83647[[#This Row],[ORIGEM]]&amp;queryCARRADAS_20250905_83647[[#This Row],[DESTINO]]&amp;queryCARRADAS_20250905_83647[[#This Row],[MATERIAL]]</f>
        <v>GRANORTEARACAGY - SAO LUISBRITA 3</v>
      </c>
      <c r="O334" s="68" t="s">
        <v>164</v>
      </c>
    </row>
    <row r="335" spans="2:15" x14ac:dyDescent="0.25">
      <c r="B335" s="66">
        <v>45884</v>
      </c>
      <c r="C335" s="65">
        <v>1</v>
      </c>
      <c r="D335" s="63" t="s">
        <v>1535</v>
      </c>
      <c r="E335" s="65" t="s">
        <v>1536</v>
      </c>
      <c r="F335" s="65" t="s">
        <v>276</v>
      </c>
      <c r="G335" s="65" t="s">
        <v>1415</v>
      </c>
      <c r="H335" s="63">
        <v>150</v>
      </c>
      <c r="I335" s="65" t="s">
        <v>207</v>
      </c>
      <c r="J335" s="63">
        <v>6462</v>
      </c>
      <c r="K335" s="64">
        <v>3101.76</v>
      </c>
      <c r="L335" s="63" t="s">
        <v>1537</v>
      </c>
      <c r="M335" t="s">
        <v>1117</v>
      </c>
      <c r="N335" s="65" t="str">
        <f>queryCARRADAS_20250905_83647[[#This Row],[ORIGEM]]&amp;queryCARRADAS_20250905_83647[[#This Row],[DESTINO]]&amp;queryCARRADAS_20250905_83647[[#This Row],[MATERIAL]]</f>
        <v>MINERADORA PORTO FRANCOSENADOR LA ROQUERACHÃO</v>
      </c>
      <c r="O335" s="68" t="s">
        <v>164</v>
      </c>
    </row>
    <row r="336" spans="2:15" x14ac:dyDescent="0.25">
      <c r="B336" s="66">
        <v>45884</v>
      </c>
      <c r="C336" s="65">
        <v>1</v>
      </c>
      <c r="D336" s="63" t="s">
        <v>173</v>
      </c>
      <c r="E336" s="65" t="s">
        <v>174</v>
      </c>
      <c r="F336" s="65" t="s">
        <v>166</v>
      </c>
      <c r="G336" s="65" t="s">
        <v>218</v>
      </c>
      <c r="H336" s="63">
        <v>71</v>
      </c>
      <c r="I336" s="65" t="s">
        <v>172</v>
      </c>
      <c r="J336" s="63">
        <v>313</v>
      </c>
      <c r="K336" s="64">
        <v>822.25</v>
      </c>
      <c r="L336" s="63" t="s">
        <v>1538</v>
      </c>
      <c r="M336" t="s">
        <v>1117</v>
      </c>
      <c r="N336" s="65" t="str">
        <f>queryCARRADAS_20250905_83647[[#This Row],[ORIGEM]]&amp;queryCARRADAS_20250905_83647[[#This Row],[DESTINO]]&amp;queryCARRADAS_20250905_83647[[#This Row],[MATERIAL]]</f>
        <v>GRANORTEEXPOEMABICA CORRIDA</v>
      </c>
      <c r="O336" s="68" t="s">
        <v>164</v>
      </c>
    </row>
    <row r="337" spans="2:15" x14ac:dyDescent="0.25">
      <c r="B337" s="66">
        <v>45884</v>
      </c>
      <c r="C337" s="65">
        <v>1</v>
      </c>
      <c r="D337" s="63" t="s">
        <v>188</v>
      </c>
      <c r="E337" s="65" t="s">
        <v>189</v>
      </c>
      <c r="F337" s="65" t="s">
        <v>166</v>
      </c>
      <c r="G337" s="65" t="s">
        <v>191</v>
      </c>
      <c r="H337" s="63">
        <v>243</v>
      </c>
      <c r="I337" s="65" t="s">
        <v>221</v>
      </c>
      <c r="J337" s="63">
        <v>4804</v>
      </c>
      <c r="K337" s="64">
        <v>4319.28</v>
      </c>
      <c r="L337" s="63" t="s">
        <v>1539</v>
      </c>
      <c r="M337" t="s">
        <v>1117</v>
      </c>
      <c r="N337" s="65" t="str">
        <f>queryCARRADAS_20250905_83647[[#This Row],[ORIGEM]]&amp;queryCARRADAS_20250905_83647[[#This Row],[DESTINO]]&amp;queryCARRADAS_20250905_83647[[#This Row],[MATERIAL]]</f>
        <v>GRANORTEOLINDA NOVA - MABGS</v>
      </c>
      <c r="O337" s="68" t="s">
        <v>154</v>
      </c>
    </row>
    <row r="338" spans="2:15" x14ac:dyDescent="0.25">
      <c r="B338" s="66">
        <v>45884</v>
      </c>
      <c r="C338" s="65">
        <v>1</v>
      </c>
      <c r="D338" s="63" t="s">
        <v>205</v>
      </c>
      <c r="E338" s="65" t="s">
        <v>206</v>
      </c>
      <c r="F338" s="65" t="s">
        <v>276</v>
      </c>
      <c r="G338" s="65" t="s">
        <v>1415</v>
      </c>
      <c r="H338" s="63">
        <v>150</v>
      </c>
      <c r="I338" s="65" t="s">
        <v>279</v>
      </c>
      <c r="J338" s="63">
        <v>6612</v>
      </c>
      <c r="K338" s="64">
        <v>3173.76</v>
      </c>
      <c r="L338" s="63" t="s">
        <v>1540</v>
      </c>
      <c r="M338" t="s">
        <v>1117</v>
      </c>
      <c r="N338" s="65" t="str">
        <f>queryCARRADAS_20250905_83647[[#This Row],[ORIGEM]]&amp;queryCARRADAS_20250905_83647[[#This Row],[DESTINO]]&amp;queryCARRADAS_20250905_83647[[#This Row],[MATERIAL]]</f>
        <v>MINERADORA PORTO FRANCOSENADOR LA ROQUEMATACO</v>
      </c>
      <c r="O338" s="68" t="s">
        <v>164</v>
      </c>
    </row>
    <row r="339" spans="2:15" x14ac:dyDescent="0.25">
      <c r="B339" s="66">
        <v>45884</v>
      </c>
      <c r="C339" s="65">
        <v>1</v>
      </c>
      <c r="D339" s="63" t="s">
        <v>203</v>
      </c>
      <c r="E339" s="65" t="s">
        <v>204</v>
      </c>
      <c r="F339" s="65" t="s">
        <v>190</v>
      </c>
      <c r="G339" s="65" t="s">
        <v>212</v>
      </c>
      <c r="H339" s="63">
        <v>376</v>
      </c>
      <c r="I339" s="65" t="s">
        <v>165</v>
      </c>
      <c r="J339" s="63">
        <v>484</v>
      </c>
      <c r="K339" s="64">
        <v>5823.49</v>
      </c>
      <c r="L339" s="63" t="s">
        <v>1541</v>
      </c>
      <c r="M339" t="s">
        <v>1117</v>
      </c>
      <c r="N339" s="65" t="str">
        <f>queryCARRADAS_20250905_83647[[#This Row],[ORIGEM]]&amp;queryCARRADAS_20250905_83647[[#This Row],[DESTINO]]&amp;queryCARRADAS_20250905_83647[[#This Row],[MATERIAL]]</f>
        <v>SERVENGUSINA PINHEIROPÓ DE BRITA</v>
      </c>
      <c r="O339" s="68" t="s">
        <v>164</v>
      </c>
    </row>
    <row r="340" spans="2:15" x14ac:dyDescent="0.25">
      <c r="B340" s="66">
        <v>45884</v>
      </c>
      <c r="C340" s="65">
        <v>1</v>
      </c>
      <c r="D340" s="63" t="s">
        <v>1129</v>
      </c>
      <c r="E340" s="65" t="s">
        <v>1130</v>
      </c>
      <c r="F340" s="65" t="s">
        <v>1131</v>
      </c>
      <c r="G340" s="65" t="s">
        <v>1132</v>
      </c>
      <c r="H340" s="63">
        <v>69</v>
      </c>
      <c r="I340" s="65" t="s">
        <v>165</v>
      </c>
      <c r="J340" s="63">
        <v>3187</v>
      </c>
      <c r="K340" s="64">
        <v>813.64</v>
      </c>
      <c r="L340" s="63" t="s">
        <v>1542</v>
      </c>
      <c r="M340" t="s">
        <v>1117</v>
      </c>
      <c r="N340" s="65" t="str">
        <f>queryCARRADAS_20250905_83647[[#This Row],[ORIGEM]]&amp;queryCARRADAS_20250905_83647[[#This Row],[DESTINO]]&amp;queryCARRADAS_20250905_83647[[#This Row],[MATERIAL]]</f>
        <v>MINERACAO OURO PRETO - COLINAS/MAMIRADOR- MAPÓ DE BRITA</v>
      </c>
      <c r="O340" s="68" t="s">
        <v>164</v>
      </c>
    </row>
    <row r="341" spans="2:15" x14ac:dyDescent="0.25">
      <c r="B341" s="66">
        <v>45884</v>
      </c>
      <c r="C341" s="65">
        <v>1</v>
      </c>
      <c r="D341" s="63" t="s">
        <v>199</v>
      </c>
      <c r="E341" s="65" t="s">
        <v>215</v>
      </c>
      <c r="F341" s="65" t="s">
        <v>163</v>
      </c>
      <c r="G341" s="65" t="s">
        <v>164</v>
      </c>
      <c r="H341" s="63">
        <v>52</v>
      </c>
      <c r="I341" s="65" t="s">
        <v>165</v>
      </c>
      <c r="J341" s="63">
        <v>2757</v>
      </c>
      <c r="K341" s="64">
        <v>530.45000000000005</v>
      </c>
      <c r="L341" s="63" t="s">
        <v>1543</v>
      </c>
      <c r="M341" t="s">
        <v>1544</v>
      </c>
      <c r="N341" s="65" t="str">
        <f>queryCARRADAS_20250905_83647[[#This Row],[ORIGEM]]&amp;queryCARRADAS_20250905_83647[[#This Row],[DESTINO]]&amp;queryCARRADAS_20250905_83647[[#This Row],[MATERIAL]]</f>
        <v>BRASIL MINERACAOUA SAO LUISPÓ DE BRITA</v>
      </c>
      <c r="O341" s="68" t="s">
        <v>164</v>
      </c>
    </row>
    <row r="342" spans="2:15" x14ac:dyDescent="0.25">
      <c r="B342" s="66">
        <v>45884</v>
      </c>
      <c r="C342" s="65">
        <v>1</v>
      </c>
      <c r="D342" s="63" t="s">
        <v>213</v>
      </c>
      <c r="E342" s="65" t="s">
        <v>214</v>
      </c>
      <c r="F342" s="65" t="s">
        <v>166</v>
      </c>
      <c r="G342" s="65" t="s">
        <v>191</v>
      </c>
      <c r="H342" s="63">
        <v>243</v>
      </c>
      <c r="I342" s="65" t="s">
        <v>221</v>
      </c>
      <c r="J342" s="63">
        <v>4754</v>
      </c>
      <c r="K342" s="64">
        <v>4274.32</v>
      </c>
      <c r="L342" s="63" t="s">
        <v>1545</v>
      </c>
      <c r="M342" t="s">
        <v>1117</v>
      </c>
      <c r="N342" s="65" t="str">
        <f>queryCARRADAS_20250905_83647[[#This Row],[ORIGEM]]&amp;queryCARRADAS_20250905_83647[[#This Row],[DESTINO]]&amp;queryCARRADAS_20250905_83647[[#This Row],[MATERIAL]]</f>
        <v>GRANORTEOLINDA NOVA - MABGS</v>
      </c>
      <c r="O342" s="68" t="s">
        <v>164</v>
      </c>
    </row>
    <row r="343" spans="2:15" x14ac:dyDescent="0.25">
      <c r="B343" s="66">
        <v>45884</v>
      </c>
      <c r="C343" s="65">
        <v>1</v>
      </c>
      <c r="D343" s="63" t="s">
        <v>173</v>
      </c>
      <c r="E343" s="65" t="s">
        <v>174</v>
      </c>
      <c r="F343" s="65" t="s">
        <v>163</v>
      </c>
      <c r="G343" s="65" t="s">
        <v>164</v>
      </c>
      <c r="H343" s="63">
        <v>52</v>
      </c>
      <c r="I343" s="65" t="s">
        <v>185</v>
      </c>
      <c r="J343" s="63">
        <v>2599</v>
      </c>
      <c r="K343" s="64">
        <v>500.05</v>
      </c>
      <c r="L343" s="63" t="s">
        <v>1546</v>
      </c>
      <c r="M343" t="s">
        <v>1117</v>
      </c>
      <c r="N343" s="65" t="str">
        <f>queryCARRADAS_20250905_83647[[#This Row],[ORIGEM]]&amp;queryCARRADAS_20250905_83647[[#This Row],[DESTINO]]&amp;queryCARRADAS_20250905_83647[[#This Row],[MATERIAL]]</f>
        <v>BRASIL MINERACAOUA SAO LUISRACHÃOZINHO</v>
      </c>
      <c r="O343" s="68" t="s">
        <v>111</v>
      </c>
    </row>
    <row r="344" spans="2:15" x14ac:dyDescent="0.25">
      <c r="B344" s="66">
        <v>45884</v>
      </c>
      <c r="C344" s="65">
        <v>1</v>
      </c>
      <c r="D344" s="63" t="s">
        <v>193</v>
      </c>
      <c r="E344" s="65" t="s">
        <v>194</v>
      </c>
      <c r="F344" s="65" t="s">
        <v>166</v>
      </c>
      <c r="G344" s="65" t="s">
        <v>164</v>
      </c>
      <c r="H344" s="63">
        <v>58</v>
      </c>
      <c r="I344" s="65" t="s">
        <v>165</v>
      </c>
      <c r="J344" s="63">
        <v>282</v>
      </c>
      <c r="K344" s="64">
        <v>605.16999999999996</v>
      </c>
      <c r="L344" s="63" t="s">
        <v>1547</v>
      </c>
      <c r="M344" t="s">
        <v>1117</v>
      </c>
      <c r="N344" s="65" t="str">
        <f>queryCARRADAS_20250905_83647[[#This Row],[ORIGEM]]&amp;queryCARRADAS_20250905_83647[[#This Row],[DESTINO]]&amp;queryCARRADAS_20250905_83647[[#This Row],[MATERIAL]]</f>
        <v>GRANORTEUA SAO LUISPÓ DE BRITA</v>
      </c>
      <c r="O344" s="68" t="s">
        <v>164</v>
      </c>
    </row>
    <row r="345" spans="2:15" x14ac:dyDescent="0.25">
      <c r="B345" s="66">
        <v>45884</v>
      </c>
      <c r="C345" s="65">
        <v>1</v>
      </c>
      <c r="D345" s="63" t="s">
        <v>193</v>
      </c>
      <c r="E345" s="65" t="s">
        <v>194</v>
      </c>
      <c r="F345" s="65" t="s">
        <v>166</v>
      </c>
      <c r="G345" s="65" t="s">
        <v>164</v>
      </c>
      <c r="H345" s="63">
        <v>58</v>
      </c>
      <c r="I345" s="65" t="s">
        <v>165</v>
      </c>
      <c r="J345" s="63">
        <v>281</v>
      </c>
      <c r="K345" s="64">
        <v>603.03</v>
      </c>
      <c r="L345" s="63" t="s">
        <v>1548</v>
      </c>
      <c r="M345" t="s">
        <v>1117</v>
      </c>
      <c r="N345" s="65" t="str">
        <f>queryCARRADAS_20250905_83647[[#This Row],[ORIGEM]]&amp;queryCARRADAS_20250905_83647[[#This Row],[DESTINO]]&amp;queryCARRADAS_20250905_83647[[#This Row],[MATERIAL]]</f>
        <v>GRANORTEUA SAO LUISPÓ DE BRITA</v>
      </c>
      <c r="O345" s="68" t="s">
        <v>111</v>
      </c>
    </row>
    <row r="346" spans="2:15" x14ac:dyDescent="0.25">
      <c r="B346" s="66">
        <v>45884</v>
      </c>
      <c r="C346" s="65">
        <v>1</v>
      </c>
      <c r="D346" s="63" t="s">
        <v>179</v>
      </c>
      <c r="E346" s="65" t="s">
        <v>180</v>
      </c>
      <c r="F346" s="65" t="s">
        <v>166</v>
      </c>
      <c r="G346" s="65" t="s">
        <v>164</v>
      </c>
      <c r="H346" s="63">
        <v>58</v>
      </c>
      <c r="I346" s="65" t="s">
        <v>165</v>
      </c>
      <c r="J346" s="63">
        <v>269</v>
      </c>
      <c r="K346" s="64">
        <v>577.27</v>
      </c>
      <c r="L346" s="63" t="s">
        <v>1549</v>
      </c>
      <c r="M346" t="s">
        <v>1117</v>
      </c>
      <c r="N346" s="65" t="str">
        <f>queryCARRADAS_20250905_83647[[#This Row],[ORIGEM]]&amp;queryCARRADAS_20250905_83647[[#This Row],[DESTINO]]&amp;queryCARRADAS_20250905_83647[[#This Row],[MATERIAL]]</f>
        <v>GRANORTEUA SAO LUISPÓ DE BRITA</v>
      </c>
      <c r="O346" s="68" t="s">
        <v>111</v>
      </c>
    </row>
    <row r="347" spans="2:15" x14ac:dyDescent="0.25">
      <c r="B347" s="66">
        <v>45885</v>
      </c>
      <c r="C347" s="65">
        <v>1</v>
      </c>
      <c r="D347" s="63" t="s">
        <v>202</v>
      </c>
      <c r="E347" s="65" t="s">
        <v>1153</v>
      </c>
      <c r="F347" s="65" t="s">
        <v>166</v>
      </c>
      <c r="G347" s="65" t="s">
        <v>191</v>
      </c>
      <c r="H347" s="63">
        <v>243</v>
      </c>
      <c r="I347" s="65" t="s">
        <v>172</v>
      </c>
      <c r="J347" s="63">
        <v>499</v>
      </c>
      <c r="K347" s="64">
        <v>4486.51</v>
      </c>
      <c r="L347" s="63" t="s">
        <v>1501</v>
      </c>
      <c r="M347" t="s">
        <v>1117</v>
      </c>
      <c r="N347" s="65" t="str">
        <f>queryCARRADAS_20250905_83647[[#This Row],[ORIGEM]]&amp;queryCARRADAS_20250905_83647[[#This Row],[DESTINO]]&amp;queryCARRADAS_20250905_83647[[#This Row],[MATERIAL]]</f>
        <v>GRANORTEOLINDA NOVA - MABICA CORRIDA</v>
      </c>
      <c r="O347" s="68" t="s">
        <v>164</v>
      </c>
    </row>
    <row r="348" spans="2:15" x14ac:dyDescent="0.25">
      <c r="B348" s="66">
        <v>45885</v>
      </c>
      <c r="C348" s="65">
        <v>1</v>
      </c>
      <c r="D348" s="63" t="s">
        <v>173</v>
      </c>
      <c r="E348" s="65" t="s">
        <v>174</v>
      </c>
      <c r="F348" s="65" t="s">
        <v>166</v>
      </c>
      <c r="G348" s="65" t="s">
        <v>164</v>
      </c>
      <c r="H348" s="63">
        <v>58</v>
      </c>
      <c r="I348" s="65" t="s">
        <v>165</v>
      </c>
      <c r="J348" s="63">
        <v>2566</v>
      </c>
      <c r="K348" s="64">
        <v>550.66</v>
      </c>
      <c r="L348" s="63" t="s">
        <v>1502</v>
      </c>
      <c r="M348" t="s">
        <v>1117</v>
      </c>
      <c r="N348" s="65" t="str">
        <f>queryCARRADAS_20250905_83647[[#This Row],[ORIGEM]]&amp;queryCARRADAS_20250905_83647[[#This Row],[DESTINO]]&amp;queryCARRADAS_20250905_83647[[#This Row],[MATERIAL]]</f>
        <v>GRANORTEUA SAO LUISPÓ DE BRITA</v>
      </c>
      <c r="O348" s="68" t="s">
        <v>164</v>
      </c>
    </row>
    <row r="349" spans="2:15" x14ac:dyDescent="0.25">
      <c r="B349" s="66">
        <v>45885</v>
      </c>
      <c r="C349" s="65">
        <v>1</v>
      </c>
      <c r="D349" s="63" t="s">
        <v>205</v>
      </c>
      <c r="E349" s="65" t="s">
        <v>206</v>
      </c>
      <c r="F349" s="65" t="s">
        <v>276</v>
      </c>
      <c r="G349" s="65" t="s">
        <v>1415</v>
      </c>
      <c r="H349" s="63">
        <v>150</v>
      </c>
      <c r="I349" s="65" t="s">
        <v>279</v>
      </c>
      <c r="J349" s="63">
        <v>6528</v>
      </c>
      <c r="K349" s="64">
        <v>3133.44</v>
      </c>
      <c r="L349" s="63" t="s">
        <v>1503</v>
      </c>
      <c r="M349" t="s">
        <v>1117</v>
      </c>
      <c r="N349" s="65" t="str">
        <f>queryCARRADAS_20250905_83647[[#This Row],[ORIGEM]]&amp;queryCARRADAS_20250905_83647[[#This Row],[DESTINO]]&amp;queryCARRADAS_20250905_83647[[#This Row],[MATERIAL]]</f>
        <v>MINERADORA PORTO FRANCOSENADOR LA ROQUEMATACO</v>
      </c>
      <c r="O349" s="68" t="s">
        <v>164</v>
      </c>
    </row>
    <row r="350" spans="2:15" x14ac:dyDescent="0.25">
      <c r="B350" s="66">
        <v>45885</v>
      </c>
      <c r="C350" s="65">
        <v>1</v>
      </c>
      <c r="D350" s="63" t="s">
        <v>181</v>
      </c>
      <c r="E350" s="65" t="s">
        <v>182</v>
      </c>
      <c r="F350" s="65" t="s">
        <v>166</v>
      </c>
      <c r="G350" s="65" t="s">
        <v>364</v>
      </c>
      <c r="H350" s="63">
        <v>80</v>
      </c>
      <c r="I350" s="65" t="s">
        <v>216</v>
      </c>
      <c r="J350" s="63">
        <v>2736</v>
      </c>
      <c r="K350" s="64">
        <v>809.86</v>
      </c>
      <c r="L350" s="63" t="s">
        <v>1504</v>
      </c>
      <c r="M350" t="s">
        <v>1117</v>
      </c>
      <c r="N350" s="65" t="str">
        <f>queryCARRADAS_20250905_83647[[#This Row],[ORIGEM]]&amp;queryCARRADAS_20250905_83647[[#This Row],[DESTINO]]&amp;queryCARRADAS_20250905_83647[[#This Row],[MATERIAL]]</f>
        <v>GRANORTEARACAGY - SAO LUISBRITA 3</v>
      </c>
      <c r="O350" s="68" t="s">
        <v>164</v>
      </c>
    </row>
    <row r="351" spans="2:15" x14ac:dyDescent="0.25">
      <c r="B351" s="66">
        <v>45885</v>
      </c>
      <c r="C351" s="65">
        <v>1</v>
      </c>
      <c r="D351" s="63" t="s">
        <v>188</v>
      </c>
      <c r="E351" s="65" t="s">
        <v>189</v>
      </c>
      <c r="F351" s="65" t="s">
        <v>166</v>
      </c>
      <c r="G351" s="65" t="s">
        <v>191</v>
      </c>
      <c r="H351" s="63">
        <v>243</v>
      </c>
      <c r="I351" s="65" t="s">
        <v>221</v>
      </c>
      <c r="J351" s="63">
        <v>502</v>
      </c>
      <c r="K351" s="64">
        <v>4513.4799999999996</v>
      </c>
      <c r="L351" s="63" t="s">
        <v>1505</v>
      </c>
      <c r="M351" t="s">
        <v>1117</v>
      </c>
      <c r="N351" s="65" t="str">
        <f>queryCARRADAS_20250905_83647[[#This Row],[ORIGEM]]&amp;queryCARRADAS_20250905_83647[[#This Row],[DESTINO]]&amp;queryCARRADAS_20250905_83647[[#This Row],[MATERIAL]]</f>
        <v>GRANORTEOLINDA NOVA - MABGS</v>
      </c>
      <c r="O351" s="68" t="s">
        <v>164</v>
      </c>
    </row>
    <row r="352" spans="2:15" x14ac:dyDescent="0.25">
      <c r="B352" s="66">
        <v>45885</v>
      </c>
      <c r="C352" s="65">
        <v>1</v>
      </c>
      <c r="D352" s="63" t="s">
        <v>173</v>
      </c>
      <c r="E352" s="65" t="s">
        <v>174</v>
      </c>
      <c r="F352" s="65" t="s">
        <v>166</v>
      </c>
      <c r="G352" s="65" t="s">
        <v>218</v>
      </c>
      <c r="H352" s="63">
        <v>71</v>
      </c>
      <c r="I352" s="65" t="s">
        <v>172</v>
      </c>
      <c r="J352" s="63">
        <v>286</v>
      </c>
      <c r="K352" s="64">
        <v>751.32</v>
      </c>
      <c r="L352" s="63" t="s">
        <v>1506</v>
      </c>
      <c r="M352" t="s">
        <v>1117</v>
      </c>
      <c r="N352" s="65" t="str">
        <f>queryCARRADAS_20250905_83647[[#This Row],[ORIGEM]]&amp;queryCARRADAS_20250905_83647[[#This Row],[DESTINO]]&amp;queryCARRADAS_20250905_83647[[#This Row],[MATERIAL]]</f>
        <v>GRANORTEEXPOEMABICA CORRIDA</v>
      </c>
      <c r="O352" s="68" t="s">
        <v>164</v>
      </c>
    </row>
    <row r="353" spans="2:15" x14ac:dyDescent="0.25">
      <c r="B353" s="66">
        <v>45885</v>
      </c>
      <c r="C353" s="65">
        <v>1</v>
      </c>
      <c r="D353" s="63" t="s">
        <v>170</v>
      </c>
      <c r="E353" s="65" t="s">
        <v>171</v>
      </c>
      <c r="F353" s="65" t="s">
        <v>163</v>
      </c>
      <c r="G353" s="65" t="s">
        <v>164</v>
      </c>
      <c r="H353" s="63">
        <v>52</v>
      </c>
      <c r="I353" s="65" t="s">
        <v>165</v>
      </c>
      <c r="J353" s="63">
        <v>2559</v>
      </c>
      <c r="K353" s="64">
        <v>492.35</v>
      </c>
      <c r="L353" s="63" t="s">
        <v>1507</v>
      </c>
      <c r="M353" t="s">
        <v>1117</v>
      </c>
      <c r="N353" s="65" t="str">
        <f>queryCARRADAS_20250905_83647[[#This Row],[ORIGEM]]&amp;queryCARRADAS_20250905_83647[[#This Row],[DESTINO]]&amp;queryCARRADAS_20250905_83647[[#This Row],[MATERIAL]]</f>
        <v>BRASIL MINERACAOUA SAO LUISPÓ DE BRITA</v>
      </c>
      <c r="O353" s="68" t="s">
        <v>164</v>
      </c>
    </row>
    <row r="354" spans="2:15" x14ac:dyDescent="0.25">
      <c r="B354" s="66">
        <v>45885</v>
      </c>
      <c r="C354" s="65">
        <v>1</v>
      </c>
      <c r="D354" s="63" t="s">
        <v>167</v>
      </c>
      <c r="E354" s="65" t="s">
        <v>168</v>
      </c>
      <c r="F354" s="65" t="s">
        <v>166</v>
      </c>
      <c r="G354" s="65" t="s">
        <v>218</v>
      </c>
      <c r="H354" s="63">
        <v>71</v>
      </c>
      <c r="I354" s="65" t="s">
        <v>172</v>
      </c>
      <c r="J354" s="63">
        <v>269</v>
      </c>
      <c r="K354" s="64">
        <v>706.66</v>
      </c>
      <c r="L354" s="63" t="s">
        <v>1508</v>
      </c>
      <c r="M354" t="s">
        <v>1117</v>
      </c>
      <c r="N354" s="65" t="str">
        <f>queryCARRADAS_20250905_83647[[#This Row],[ORIGEM]]&amp;queryCARRADAS_20250905_83647[[#This Row],[DESTINO]]&amp;queryCARRADAS_20250905_83647[[#This Row],[MATERIAL]]</f>
        <v>GRANORTEEXPOEMABICA CORRIDA</v>
      </c>
      <c r="O354" s="68" t="s">
        <v>164</v>
      </c>
    </row>
    <row r="355" spans="2:15" x14ac:dyDescent="0.25">
      <c r="B355" s="66">
        <v>45885</v>
      </c>
      <c r="C355" s="65">
        <v>1</v>
      </c>
      <c r="D355" s="63" t="s">
        <v>200</v>
      </c>
      <c r="E355" s="65" t="s">
        <v>201</v>
      </c>
      <c r="F355" s="65" t="s">
        <v>163</v>
      </c>
      <c r="G355" s="65" t="s">
        <v>164</v>
      </c>
      <c r="H355" s="63">
        <v>52</v>
      </c>
      <c r="I355" s="65" t="s">
        <v>165</v>
      </c>
      <c r="J355" s="63">
        <v>4375</v>
      </c>
      <c r="K355" s="64">
        <v>841.75</v>
      </c>
      <c r="L355" s="63" t="s">
        <v>1509</v>
      </c>
      <c r="M355" t="s">
        <v>1117</v>
      </c>
      <c r="N355" s="65" t="str">
        <f>queryCARRADAS_20250905_83647[[#This Row],[ORIGEM]]&amp;queryCARRADAS_20250905_83647[[#This Row],[DESTINO]]&amp;queryCARRADAS_20250905_83647[[#This Row],[MATERIAL]]</f>
        <v>BRASIL MINERACAOUA SAO LUISPÓ DE BRITA</v>
      </c>
      <c r="O355" s="68" t="s">
        <v>164</v>
      </c>
    </row>
    <row r="356" spans="2:15" x14ac:dyDescent="0.25">
      <c r="B356" s="66">
        <v>45885</v>
      </c>
      <c r="C356" s="65">
        <v>1</v>
      </c>
      <c r="D356" s="63" t="s">
        <v>1127</v>
      </c>
      <c r="E356" s="65" t="s">
        <v>178</v>
      </c>
      <c r="F356" s="65" t="s">
        <v>163</v>
      </c>
      <c r="G356" s="65" t="s">
        <v>164</v>
      </c>
      <c r="H356" s="63">
        <v>52</v>
      </c>
      <c r="I356" s="65" t="s">
        <v>185</v>
      </c>
      <c r="J356" s="63">
        <v>3001</v>
      </c>
      <c r="K356" s="64">
        <v>577.39</v>
      </c>
      <c r="L356" s="63" t="s">
        <v>1510</v>
      </c>
      <c r="M356" t="s">
        <v>1117</v>
      </c>
      <c r="N356" s="65" t="str">
        <f>queryCARRADAS_20250905_83647[[#This Row],[ORIGEM]]&amp;queryCARRADAS_20250905_83647[[#This Row],[DESTINO]]&amp;queryCARRADAS_20250905_83647[[#This Row],[MATERIAL]]</f>
        <v>BRASIL MINERACAOUA SAO LUISRACHÃOZINHO</v>
      </c>
      <c r="O356" s="68" t="s">
        <v>164</v>
      </c>
    </row>
    <row r="357" spans="2:15" x14ac:dyDescent="0.25">
      <c r="B357" s="66">
        <v>45885</v>
      </c>
      <c r="C357" s="65">
        <v>1</v>
      </c>
      <c r="D357" s="63" t="s">
        <v>210</v>
      </c>
      <c r="E357" s="65" t="s">
        <v>211</v>
      </c>
      <c r="F357" s="65" t="s">
        <v>166</v>
      </c>
      <c r="G357" s="65" t="s">
        <v>223</v>
      </c>
      <c r="H357" s="63">
        <v>370</v>
      </c>
      <c r="I357" s="65" t="s">
        <v>165</v>
      </c>
      <c r="J357" s="63">
        <v>4648</v>
      </c>
      <c r="K357" s="64">
        <v>6363.11</v>
      </c>
      <c r="L357" s="63" t="s">
        <v>1511</v>
      </c>
      <c r="M357" t="s">
        <v>1117</v>
      </c>
      <c r="N357" s="65" t="str">
        <f>queryCARRADAS_20250905_83647[[#This Row],[ORIGEM]]&amp;queryCARRADAS_20250905_83647[[#This Row],[DESTINO]]&amp;queryCARRADAS_20250905_83647[[#This Row],[MATERIAL]]</f>
        <v>GRANORTEUA PINHEIRO - MAPÓ DE BRITA</v>
      </c>
      <c r="O357" s="68" t="s">
        <v>164</v>
      </c>
    </row>
    <row r="358" spans="2:15" x14ac:dyDescent="0.25">
      <c r="B358" s="66">
        <v>45885</v>
      </c>
      <c r="C358" s="65">
        <v>1</v>
      </c>
      <c r="D358" s="63" t="s">
        <v>173</v>
      </c>
      <c r="E358" s="65" t="s">
        <v>174</v>
      </c>
      <c r="F358" s="65" t="s">
        <v>166</v>
      </c>
      <c r="G358" s="65" t="s">
        <v>218</v>
      </c>
      <c r="H358" s="63">
        <v>71</v>
      </c>
      <c r="I358" s="65" t="s">
        <v>172</v>
      </c>
      <c r="J358" s="63">
        <v>3162</v>
      </c>
      <c r="K358" s="64">
        <v>830.66</v>
      </c>
      <c r="L358" s="63" t="s">
        <v>1512</v>
      </c>
      <c r="M358" t="s">
        <v>1117</v>
      </c>
      <c r="N358" s="65" t="str">
        <f>queryCARRADAS_20250905_83647[[#This Row],[ORIGEM]]&amp;queryCARRADAS_20250905_83647[[#This Row],[DESTINO]]&amp;queryCARRADAS_20250905_83647[[#This Row],[MATERIAL]]</f>
        <v>GRANORTEEXPOEMABICA CORRIDA</v>
      </c>
      <c r="O358" s="68" t="s">
        <v>164</v>
      </c>
    </row>
    <row r="359" spans="2:15" x14ac:dyDescent="0.25">
      <c r="B359" s="66">
        <v>45885</v>
      </c>
      <c r="C359" s="65">
        <v>1</v>
      </c>
      <c r="D359" s="63" t="s">
        <v>183</v>
      </c>
      <c r="E359" s="65" t="s">
        <v>184</v>
      </c>
      <c r="F359" s="65" t="s">
        <v>163</v>
      </c>
      <c r="G359" s="65" t="s">
        <v>164</v>
      </c>
      <c r="H359" s="63">
        <v>52</v>
      </c>
      <c r="I359" s="65" t="s">
        <v>165</v>
      </c>
      <c r="J359" s="63">
        <v>3057</v>
      </c>
      <c r="K359" s="64">
        <v>588.16999999999996</v>
      </c>
      <c r="L359" s="63" t="s">
        <v>1513</v>
      </c>
      <c r="M359" t="s">
        <v>1117</v>
      </c>
      <c r="N359" s="65" t="str">
        <f>queryCARRADAS_20250905_83647[[#This Row],[ORIGEM]]&amp;queryCARRADAS_20250905_83647[[#This Row],[DESTINO]]&amp;queryCARRADAS_20250905_83647[[#This Row],[MATERIAL]]</f>
        <v>BRASIL MINERACAOUA SAO LUISPÓ DE BRITA</v>
      </c>
      <c r="O359" s="68" t="s">
        <v>164</v>
      </c>
    </row>
    <row r="360" spans="2:15" x14ac:dyDescent="0.25">
      <c r="B360" s="66">
        <v>45885</v>
      </c>
      <c r="C360" s="65">
        <v>1</v>
      </c>
      <c r="D360" s="63" t="s">
        <v>199</v>
      </c>
      <c r="E360" s="65" t="s">
        <v>215</v>
      </c>
      <c r="F360" s="65" t="s">
        <v>163</v>
      </c>
      <c r="G360" s="65" t="s">
        <v>164</v>
      </c>
      <c r="H360" s="63">
        <v>52</v>
      </c>
      <c r="I360" s="65" t="s">
        <v>185</v>
      </c>
      <c r="J360" s="63">
        <v>2864</v>
      </c>
      <c r="K360" s="64">
        <v>551.03</v>
      </c>
      <c r="L360" s="63" t="s">
        <v>1514</v>
      </c>
      <c r="M360" t="s">
        <v>1515</v>
      </c>
      <c r="N360" s="65" t="str">
        <f>queryCARRADAS_20250905_83647[[#This Row],[ORIGEM]]&amp;queryCARRADAS_20250905_83647[[#This Row],[DESTINO]]&amp;queryCARRADAS_20250905_83647[[#This Row],[MATERIAL]]</f>
        <v>BRASIL MINERACAOUA SAO LUISRACHÃOZINHO</v>
      </c>
      <c r="O360" s="68" t="s">
        <v>164</v>
      </c>
    </row>
    <row r="361" spans="2:15" x14ac:dyDescent="0.25">
      <c r="B361" s="66">
        <v>45885</v>
      </c>
      <c r="C361" s="65">
        <v>1</v>
      </c>
      <c r="D361" s="63" t="s">
        <v>199</v>
      </c>
      <c r="E361" s="65" t="s">
        <v>215</v>
      </c>
      <c r="F361" s="65" t="s">
        <v>163</v>
      </c>
      <c r="G361" s="65" t="s">
        <v>164</v>
      </c>
      <c r="H361" s="63">
        <v>52</v>
      </c>
      <c r="I361" s="65" t="s">
        <v>185</v>
      </c>
      <c r="J361" s="63">
        <v>2778</v>
      </c>
      <c r="K361" s="64">
        <v>534.49</v>
      </c>
      <c r="L361" s="63" t="s">
        <v>1516</v>
      </c>
      <c r="M361" t="s">
        <v>1517</v>
      </c>
      <c r="N361" s="65" t="str">
        <f>queryCARRADAS_20250905_83647[[#This Row],[ORIGEM]]&amp;queryCARRADAS_20250905_83647[[#This Row],[DESTINO]]&amp;queryCARRADAS_20250905_83647[[#This Row],[MATERIAL]]</f>
        <v>BRASIL MINERACAOUA SAO LUISRACHÃOZINHO</v>
      </c>
      <c r="O361" s="68" t="s">
        <v>164</v>
      </c>
    </row>
    <row r="362" spans="2:15" x14ac:dyDescent="0.25">
      <c r="B362" s="66">
        <v>45885</v>
      </c>
      <c r="C362" s="65">
        <v>1</v>
      </c>
      <c r="D362" s="63" t="s">
        <v>193</v>
      </c>
      <c r="E362" s="65" t="s">
        <v>194</v>
      </c>
      <c r="F362" s="65" t="s">
        <v>163</v>
      </c>
      <c r="G362" s="65" t="s">
        <v>164</v>
      </c>
      <c r="H362" s="63">
        <v>52</v>
      </c>
      <c r="I362" s="65" t="s">
        <v>165</v>
      </c>
      <c r="J362" s="63">
        <v>286</v>
      </c>
      <c r="K362" s="64">
        <v>550.26</v>
      </c>
      <c r="L362" s="63" t="s">
        <v>1518</v>
      </c>
      <c r="M362" t="s">
        <v>1117</v>
      </c>
      <c r="N362" s="65" t="str">
        <f>queryCARRADAS_20250905_83647[[#This Row],[ORIGEM]]&amp;queryCARRADAS_20250905_83647[[#This Row],[DESTINO]]&amp;queryCARRADAS_20250905_83647[[#This Row],[MATERIAL]]</f>
        <v>BRASIL MINERACAOUA SAO LUISPÓ DE BRITA</v>
      </c>
      <c r="O362" s="68" t="s">
        <v>191</v>
      </c>
    </row>
    <row r="363" spans="2:15" x14ac:dyDescent="0.25">
      <c r="B363" s="66">
        <v>45885</v>
      </c>
      <c r="C363" s="65">
        <v>1</v>
      </c>
      <c r="D363" s="63" t="s">
        <v>186</v>
      </c>
      <c r="E363" s="65" t="s">
        <v>187</v>
      </c>
      <c r="F363" s="65" t="s">
        <v>190</v>
      </c>
      <c r="G363" s="65" t="s">
        <v>212</v>
      </c>
      <c r="H363" s="63">
        <v>376</v>
      </c>
      <c r="I363" s="65" t="s">
        <v>165</v>
      </c>
      <c r="J363" s="63">
        <v>720</v>
      </c>
      <c r="K363" s="64">
        <v>8663.0400000000009</v>
      </c>
      <c r="L363" s="63" t="s">
        <v>1519</v>
      </c>
      <c r="M363" t="s">
        <v>1493</v>
      </c>
      <c r="N363" s="65" t="str">
        <f>queryCARRADAS_20250905_83647[[#This Row],[ORIGEM]]&amp;queryCARRADAS_20250905_83647[[#This Row],[DESTINO]]&amp;queryCARRADAS_20250905_83647[[#This Row],[MATERIAL]]</f>
        <v>SERVENGUSINA PINHEIROPÓ DE BRITA</v>
      </c>
      <c r="O363" s="68" t="s">
        <v>191</v>
      </c>
    </row>
    <row r="364" spans="2:15" x14ac:dyDescent="0.25">
      <c r="B364" s="66">
        <v>45885</v>
      </c>
      <c r="C364" s="65">
        <v>1</v>
      </c>
      <c r="D364" s="63" t="s">
        <v>179</v>
      </c>
      <c r="E364" s="65" t="s">
        <v>180</v>
      </c>
      <c r="F364" s="65" t="s">
        <v>1213</v>
      </c>
      <c r="G364" s="65" t="s">
        <v>164</v>
      </c>
      <c r="H364" s="63">
        <v>56</v>
      </c>
      <c r="I364" s="65" t="s">
        <v>165</v>
      </c>
      <c r="J364" s="63">
        <v>276</v>
      </c>
      <c r="K364" s="64">
        <v>571.87</v>
      </c>
      <c r="L364" s="63" t="s">
        <v>1520</v>
      </c>
      <c r="M364" t="s">
        <v>1117</v>
      </c>
      <c r="N364" s="65" t="str">
        <f>queryCARRADAS_20250905_83647[[#This Row],[ORIGEM]]&amp;queryCARRADAS_20250905_83647[[#This Row],[DESTINO]]&amp;queryCARRADAS_20250905_83647[[#This Row],[MATERIAL]]</f>
        <v>POLIMIX -BACABEIRAUA SAO LUISPÓ DE BRITA</v>
      </c>
      <c r="O364" s="68" t="s">
        <v>164</v>
      </c>
    </row>
    <row r="365" spans="2:15" x14ac:dyDescent="0.25">
      <c r="B365" s="66">
        <v>45886</v>
      </c>
      <c r="C365" s="65">
        <v>1</v>
      </c>
      <c r="D365" s="63" t="s">
        <v>275</v>
      </c>
      <c r="E365" s="65" t="s">
        <v>217</v>
      </c>
      <c r="F365" s="65" t="s">
        <v>166</v>
      </c>
      <c r="G365" s="65" t="s">
        <v>223</v>
      </c>
      <c r="H365" s="63">
        <v>370</v>
      </c>
      <c r="I365" s="65" t="s">
        <v>165</v>
      </c>
      <c r="J365" s="63">
        <v>750</v>
      </c>
      <c r="K365" s="64">
        <v>10267.5</v>
      </c>
      <c r="L365" s="63" t="s">
        <v>1499</v>
      </c>
      <c r="M365" t="s">
        <v>1117</v>
      </c>
      <c r="N365" s="65" t="str">
        <f>queryCARRADAS_20250905_83647[[#This Row],[ORIGEM]]&amp;queryCARRADAS_20250905_83647[[#This Row],[DESTINO]]&amp;queryCARRADAS_20250905_83647[[#This Row],[MATERIAL]]</f>
        <v>GRANORTEUA PINHEIRO - MAPÓ DE BRITA</v>
      </c>
      <c r="O365" s="68" t="s">
        <v>164</v>
      </c>
    </row>
    <row r="366" spans="2:15" x14ac:dyDescent="0.25">
      <c r="B366" s="66">
        <v>45886</v>
      </c>
      <c r="C366" s="65">
        <v>1</v>
      </c>
      <c r="D366" s="63" t="s">
        <v>219</v>
      </c>
      <c r="E366" s="65" t="s">
        <v>220</v>
      </c>
      <c r="F366" s="65" t="s">
        <v>190</v>
      </c>
      <c r="G366" s="65" t="s">
        <v>198</v>
      </c>
      <c r="H366" s="63">
        <v>70</v>
      </c>
      <c r="I366" s="65" t="s">
        <v>165</v>
      </c>
      <c r="J366" s="63">
        <v>320</v>
      </c>
      <c r="K366" s="64">
        <v>828.8</v>
      </c>
      <c r="L366" s="63" t="s">
        <v>1500</v>
      </c>
      <c r="M366" t="s">
        <v>1117</v>
      </c>
      <c r="N366" s="65" t="str">
        <f>queryCARRADAS_20250905_83647[[#This Row],[ORIGEM]]&amp;queryCARRADAS_20250905_83647[[#This Row],[DESTINO]]&amp;queryCARRADAS_20250905_83647[[#This Row],[MATERIAL]]</f>
        <v>SERVENGUSINA SAO LUISPÓ DE BRITA</v>
      </c>
      <c r="O366" s="68" t="s">
        <v>164</v>
      </c>
    </row>
    <row r="367" spans="2:15" x14ac:dyDescent="0.25">
      <c r="B367" s="66">
        <v>45887</v>
      </c>
      <c r="C367" s="65">
        <v>1</v>
      </c>
      <c r="D367" s="63" t="s">
        <v>167</v>
      </c>
      <c r="E367" s="65" t="s">
        <v>168</v>
      </c>
      <c r="F367" s="65" t="s">
        <v>166</v>
      </c>
      <c r="G367" s="65" t="s">
        <v>218</v>
      </c>
      <c r="H367" s="63">
        <v>71</v>
      </c>
      <c r="I367" s="65" t="s">
        <v>172</v>
      </c>
      <c r="J367" s="63">
        <v>2632</v>
      </c>
      <c r="K367" s="64">
        <v>691.43</v>
      </c>
      <c r="L367" s="63" t="s">
        <v>1467</v>
      </c>
      <c r="M367" t="s">
        <v>1117</v>
      </c>
      <c r="N367" s="65" t="str">
        <f>queryCARRADAS_20250905_83647[[#This Row],[ORIGEM]]&amp;queryCARRADAS_20250905_83647[[#This Row],[DESTINO]]&amp;queryCARRADAS_20250905_83647[[#This Row],[MATERIAL]]</f>
        <v>GRANORTEEXPOEMABICA CORRIDA</v>
      </c>
      <c r="O367" s="68" t="s">
        <v>164</v>
      </c>
    </row>
    <row r="368" spans="2:15" x14ac:dyDescent="0.25">
      <c r="B368" s="66">
        <v>45887</v>
      </c>
      <c r="C368" s="65">
        <v>1</v>
      </c>
      <c r="D368" s="63" t="s">
        <v>181</v>
      </c>
      <c r="E368" s="65" t="s">
        <v>182</v>
      </c>
      <c r="F368" s="65" t="s">
        <v>166</v>
      </c>
      <c r="G368" s="65" t="s">
        <v>364</v>
      </c>
      <c r="H368" s="63">
        <v>80</v>
      </c>
      <c r="I368" s="65" t="s">
        <v>216</v>
      </c>
      <c r="J368" s="63">
        <v>294</v>
      </c>
      <c r="K368" s="64">
        <v>870.24</v>
      </c>
      <c r="L368" s="63" t="s">
        <v>1468</v>
      </c>
      <c r="M368" t="s">
        <v>1117</v>
      </c>
      <c r="N368" s="65" t="str">
        <f>queryCARRADAS_20250905_83647[[#This Row],[ORIGEM]]&amp;queryCARRADAS_20250905_83647[[#This Row],[DESTINO]]&amp;queryCARRADAS_20250905_83647[[#This Row],[MATERIAL]]</f>
        <v>GRANORTEARACAGY - SAO LUISBRITA 3</v>
      </c>
      <c r="O368" s="68" t="s">
        <v>154</v>
      </c>
    </row>
    <row r="369" spans="2:15" x14ac:dyDescent="0.25">
      <c r="B369" s="66">
        <v>45887</v>
      </c>
      <c r="C369" s="65">
        <v>1</v>
      </c>
      <c r="D369" s="63" t="s">
        <v>170</v>
      </c>
      <c r="E369" s="65" t="s">
        <v>171</v>
      </c>
      <c r="F369" s="65" t="s">
        <v>166</v>
      </c>
      <c r="G369" s="65" t="s">
        <v>164</v>
      </c>
      <c r="H369" s="63">
        <v>58</v>
      </c>
      <c r="I369" s="65" t="s">
        <v>165</v>
      </c>
      <c r="J369" s="63">
        <v>2604</v>
      </c>
      <c r="K369" s="64">
        <v>558.82000000000005</v>
      </c>
      <c r="L369" s="63" t="s">
        <v>1469</v>
      </c>
      <c r="M369" t="s">
        <v>1117</v>
      </c>
      <c r="N369" s="65" t="str">
        <f>queryCARRADAS_20250905_83647[[#This Row],[ORIGEM]]&amp;queryCARRADAS_20250905_83647[[#This Row],[DESTINO]]&amp;queryCARRADAS_20250905_83647[[#This Row],[MATERIAL]]</f>
        <v>GRANORTEUA SAO LUISPÓ DE BRITA</v>
      </c>
      <c r="O369" s="68" t="s">
        <v>154</v>
      </c>
    </row>
    <row r="370" spans="2:15" x14ac:dyDescent="0.25">
      <c r="B370" s="66">
        <v>45887</v>
      </c>
      <c r="C370" s="65">
        <v>1</v>
      </c>
      <c r="D370" s="63" t="s">
        <v>173</v>
      </c>
      <c r="E370" s="65" t="s">
        <v>174</v>
      </c>
      <c r="F370" s="65" t="s">
        <v>166</v>
      </c>
      <c r="G370" s="65" t="s">
        <v>218</v>
      </c>
      <c r="H370" s="63">
        <v>71</v>
      </c>
      <c r="I370" s="65" t="s">
        <v>172</v>
      </c>
      <c r="J370" s="63">
        <v>2954</v>
      </c>
      <c r="K370" s="64">
        <v>776.02</v>
      </c>
      <c r="L370" s="63" t="s">
        <v>1470</v>
      </c>
      <c r="M370" t="s">
        <v>1117</v>
      </c>
      <c r="N370" s="65" t="str">
        <f>queryCARRADAS_20250905_83647[[#This Row],[ORIGEM]]&amp;queryCARRADAS_20250905_83647[[#This Row],[DESTINO]]&amp;queryCARRADAS_20250905_83647[[#This Row],[MATERIAL]]</f>
        <v>GRANORTEEXPOEMABICA CORRIDA</v>
      </c>
      <c r="O370" s="68" t="s">
        <v>164</v>
      </c>
    </row>
    <row r="371" spans="2:15" x14ac:dyDescent="0.25">
      <c r="B371" s="66">
        <v>45887</v>
      </c>
      <c r="C371" s="65">
        <v>1</v>
      </c>
      <c r="D371" s="63" t="s">
        <v>205</v>
      </c>
      <c r="E371" s="65" t="s">
        <v>206</v>
      </c>
      <c r="F371" s="65" t="s">
        <v>276</v>
      </c>
      <c r="G371" s="65" t="s">
        <v>1415</v>
      </c>
      <c r="H371" s="63">
        <v>150</v>
      </c>
      <c r="I371" s="65" t="s">
        <v>279</v>
      </c>
      <c r="J371" s="63">
        <v>5472</v>
      </c>
      <c r="K371" s="64">
        <v>2626.56</v>
      </c>
      <c r="L371" s="63" t="s">
        <v>1471</v>
      </c>
      <c r="M371" t="s">
        <v>1117</v>
      </c>
      <c r="N371" s="65" t="str">
        <f>queryCARRADAS_20250905_83647[[#This Row],[ORIGEM]]&amp;queryCARRADAS_20250905_83647[[#This Row],[DESTINO]]&amp;queryCARRADAS_20250905_83647[[#This Row],[MATERIAL]]</f>
        <v>MINERADORA PORTO FRANCOSENADOR LA ROQUEMATACO</v>
      </c>
      <c r="O371" s="68" t="s">
        <v>164</v>
      </c>
    </row>
    <row r="372" spans="2:15" x14ac:dyDescent="0.25">
      <c r="B372" s="66">
        <v>45887</v>
      </c>
      <c r="C372" s="65">
        <v>1</v>
      </c>
      <c r="D372" s="63" t="s">
        <v>167</v>
      </c>
      <c r="E372" s="65" t="s">
        <v>168</v>
      </c>
      <c r="F372" s="65" t="s">
        <v>166</v>
      </c>
      <c r="G372" s="65" t="s">
        <v>218</v>
      </c>
      <c r="H372" s="63">
        <v>71</v>
      </c>
      <c r="I372" s="65" t="s">
        <v>172</v>
      </c>
      <c r="J372" s="63">
        <v>2758</v>
      </c>
      <c r="K372" s="64">
        <v>724.53</v>
      </c>
      <c r="L372" s="63" t="s">
        <v>1472</v>
      </c>
      <c r="M372" t="s">
        <v>1117</v>
      </c>
      <c r="N372" s="65" t="str">
        <f>queryCARRADAS_20250905_83647[[#This Row],[ORIGEM]]&amp;queryCARRADAS_20250905_83647[[#This Row],[DESTINO]]&amp;queryCARRADAS_20250905_83647[[#This Row],[MATERIAL]]</f>
        <v>GRANORTEEXPOEMABICA CORRIDA</v>
      </c>
      <c r="O372" s="68" t="s">
        <v>164</v>
      </c>
    </row>
    <row r="373" spans="2:15" x14ac:dyDescent="0.25">
      <c r="B373" s="66">
        <v>45887</v>
      </c>
      <c r="C373" s="65">
        <v>1</v>
      </c>
      <c r="D373" s="63" t="s">
        <v>173</v>
      </c>
      <c r="E373" s="65" t="s">
        <v>174</v>
      </c>
      <c r="F373" s="65" t="s">
        <v>166</v>
      </c>
      <c r="G373" s="65" t="s">
        <v>218</v>
      </c>
      <c r="H373" s="63">
        <v>71</v>
      </c>
      <c r="I373" s="65" t="s">
        <v>172</v>
      </c>
      <c r="J373" s="63">
        <v>2542</v>
      </c>
      <c r="K373" s="64">
        <v>667.78</v>
      </c>
      <c r="L373" s="63" t="s">
        <v>1473</v>
      </c>
      <c r="M373" t="s">
        <v>1117</v>
      </c>
      <c r="N373" s="65" t="str">
        <f>queryCARRADAS_20250905_83647[[#This Row],[ORIGEM]]&amp;queryCARRADAS_20250905_83647[[#This Row],[DESTINO]]&amp;queryCARRADAS_20250905_83647[[#This Row],[MATERIAL]]</f>
        <v>GRANORTEEXPOEMABICA CORRIDA</v>
      </c>
      <c r="O373" s="68" t="s">
        <v>164</v>
      </c>
    </row>
    <row r="374" spans="2:15" x14ac:dyDescent="0.25">
      <c r="B374" s="66">
        <v>45887</v>
      </c>
      <c r="C374" s="65">
        <v>1</v>
      </c>
      <c r="D374" s="63" t="s">
        <v>213</v>
      </c>
      <c r="E374" s="65" t="s">
        <v>214</v>
      </c>
      <c r="F374" s="65" t="s">
        <v>166</v>
      </c>
      <c r="G374" s="65" t="s">
        <v>191</v>
      </c>
      <c r="H374" s="63">
        <v>243</v>
      </c>
      <c r="I374" s="65" t="s">
        <v>221</v>
      </c>
      <c r="J374" s="63">
        <v>4884</v>
      </c>
      <c r="K374" s="64">
        <v>4391.2</v>
      </c>
      <c r="L374" s="63" t="s">
        <v>1474</v>
      </c>
      <c r="M374" t="s">
        <v>1117</v>
      </c>
      <c r="N374" s="65" t="str">
        <f>queryCARRADAS_20250905_83647[[#This Row],[ORIGEM]]&amp;queryCARRADAS_20250905_83647[[#This Row],[DESTINO]]&amp;queryCARRADAS_20250905_83647[[#This Row],[MATERIAL]]</f>
        <v>GRANORTEOLINDA NOVA - MABGS</v>
      </c>
      <c r="O374" s="68" t="s">
        <v>161</v>
      </c>
    </row>
    <row r="375" spans="2:15" x14ac:dyDescent="0.25">
      <c r="B375" s="66">
        <v>45887</v>
      </c>
      <c r="C375" s="65">
        <v>1</v>
      </c>
      <c r="D375" s="63" t="s">
        <v>170</v>
      </c>
      <c r="E375" s="65" t="s">
        <v>171</v>
      </c>
      <c r="F375" s="65" t="s">
        <v>166</v>
      </c>
      <c r="G375" s="65" t="s">
        <v>164</v>
      </c>
      <c r="H375" s="63">
        <v>58</v>
      </c>
      <c r="I375" s="65" t="s">
        <v>165</v>
      </c>
      <c r="J375" s="63">
        <v>2568</v>
      </c>
      <c r="K375" s="64">
        <v>551.09</v>
      </c>
      <c r="L375" s="63" t="s">
        <v>1475</v>
      </c>
      <c r="M375" t="s">
        <v>1117</v>
      </c>
      <c r="N375" s="65" t="str">
        <f>queryCARRADAS_20250905_83647[[#This Row],[ORIGEM]]&amp;queryCARRADAS_20250905_83647[[#This Row],[DESTINO]]&amp;queryCARRADAS_20250905_83647[[#This Row],[MATERIAL]]</f>
        <v>GRANORTEUA SAO LUISPÓ DE BRITA</v>
      </c>
      <c r="O375" s="68" t="s">
        <v>111</v>
      </c>
    </row>
    <row r="376" spans="2:15" x14ac:dyDescent="0.25">
      <c r="B376" s="66">
        <v>45887</v>
      </c>
      <c r="C376" s="65">
        <v>1</v>
      </c>
      <c r="D376" s="63" t="s">
        <v>188</v>
      </c>
      <c r="E376" s="65" t="s">
        <v>189</v>
      </c>
      <c r="F376" s="65" t="s">
        <v>166</v>
      </c>
      <c r="G376" s="65" t="s">
        <v>191</v>
      </c>
      <c r="H376" s="63">
        <v>243</v>
      </c>
      <c r="I376" s="65" t="s">
        <v>221</v>
      </c>
      <c r="J376" s="63">
        <v>5094</v>
      </c>
      <c r="K376" s="64">
        <v>4580.0200000000004</v>
      </c>
      <c r="L376" s="63" t="s">
        <v>1476</v>
      </c>
      <c r="M376" t="s">
        <v>1117</v>
      </c>
      <c r="N376" s="65" t="str">
        <f>queryCARRADAS_20250905_83647[[#This Row],[ORIGEM]]&amp;queryCARRADAS_20250905_83647[[#This Row],[DESTINO]]&amp;queryCARRADAS_20250905_83647[[#This Row],[MATERIAL]]</f>
        <v>GRANORTEOLINDA NOVA - MABGS</v>
      </c>
      <c r="O376" s="68" t="s">
        <v>164</v>
      </c>
    </row>
    <row r="377" spans="2:15" x14ac:dyDescent="0.25">
      <c r="B377" s="66">
        <v>45887</v>
      </c>
      <c r="C377" s="65">
        <v>1</v>
      </c>
      <c r="D377" s="63" t="s">
        <v>173</v>
      </c>
      <c r="E377" s="65" t="s">
        <v>174</v>
      </c>
      <c r="F377" s="65" t="s">
        <v>166</v>
      </c>
      <c r="G377" s="65" t="s">
        <v>218</v>
      </c>
      <c r="H377" s="63">
        <v>71</v>
      </c>
      <c r="I377" s="65" t="s">
        <v>172</v>
      </c>
      <c r="J377" s="63">
        <v>3596</v>
      </c>
      <c r="K377" s="64">
        <v>944.67</v>
      </c>
      <c r="L377" s="63" t="s">
        <v>1477</v>
      </c>
      <c r="M377" t="s">
        <v>1117</v>
      </c>
      <c r="N377" s="65" t="str">
        <f>queryCARRADAS_20250905_83647[[#This Row],[ORIGEM]]&amp;queryCARRADAS_20250905_83647[[#This Row],[DESTINO]]&amp;queryCARRADAS_20250905_83647[[#This Row],[MATERIAL]]</f>
        <v>GRANORTEEXPOEMABICA CORRIDA</v>
      </c>
      <c r="O377" s="68" t="s">
        <v>164</v>
      </c>
    </row>
    <row r="378" spans="2:15" x14ac:dyDescent="0.25">
      <c r="B378" s="66">
        <v>45887</v>
      </c>
      <c r="C378" s="65">
        <v>1</v>
      </c>
      <c r="D378" s="63" t="s">
        <v>202</v>
      </c>
      <c r="E378" s="65" t="s">
        <v>1153</v>
      </c>
      <c r="F378" s="65" t="s">
        <v>190</v>
      </c>
      <c r="G378" s="65" t="s">
        <v>191</v>
      </c>
      <c r="H378" s="63">
        <v>217</v>
      </c>
      <c r="I378" s="65" t="s">
        <v>165</v>
      </c>
      <c r="J378" s="63">
        <v>495</v>
      </c>
      <c r="K378" s="64">
        <v>3974.36</v>
      </c>
      <c r="L378" s="63" t="s">
        <v>1478</v>
      </c>
      <c r="M378" t="s">
        <v>1117</v>
      </c>
      <c r="N378" s="65" t="str">
        <f>queryCARRADAS_20250905_83647[[#This Row],[ORIGEM]]&amp;queryCARRADAS_20250905_83647[[#This Row],[DESTINO]]&amp;queryCARRADAS_20250905_83647[[#This Row],[MATERIAL]]</f>
        <v>SERVENGOLINDA NOVA - MAPÓ DE BRITA</v>
      </c>
      <c r="O378" s="68" t="s">
        <v>164</v>
      </c>
    </row>
    <row r="379" spans="2:15" x14ac:dyDescent="0.25">
      <c r="B379" s="66">
        <v>45887</v>
      </c>
      <c r="C379" s="65">
        <v>1</v>
      </c>
      <c r="D379" s="63" t="s">
        <v>173</v>
      </c>
      <c r="E379" s="65" t="s">
        <v>174</v>
      </c>
      <c r="F379" s="65" t="s">
        <v>166</v>
      </c>
      <c r="G379" s="65" t="s">
        <v>218</v>
      </c>
      <c r="H379" s="63">
        <v>71</v>
      </c>
      <c r="I379" s="65" t="s">
        <v>172</v>
      </c>
      <c r="J379" s="63">
        <v>3136</v>
      </c>
      <c r="K379" s="64">
        <v>823.83</v>
      </c>
      <c r="L379" s="63" t="s">
        <v>1479</v>
      </c>
      <c r="M379" t="s">
        <v>1117</v>
      </c>
      <c r="N379" s="65" t="str">
        <f>queryCARRADAS_20250905_83647[[#This Row],[ORIGEM]]&amp;queryCARRADAS_20250905_83647[[#This Row],[DESTINO]]&amp;queryCARRADAS_20250905_83647[[#This Row],[MATERIAL]]</f>
        <v>GRANORTEEXPOEMABICA CORRIDA</v>
      </c>
      <c r="O379" s="68" t="s">
        <v>164</v>
      </c>
    </row>
    <row r="380" spans="2:15" x14ac:dyDescent="0.25">
      <c r="B380" s="66">
        <v>45887</v>
      </c>
      <c r="C380" s="65">
        <v>1</v>
      </c>
      <c r="D380" s="63" t="s">
        <v>173</v>
      </c>
      <c r="E380" s="65" t="s">
        <v>174</v>
      </c>
      <c r="F380" s="65" t="s">
        <v>166</v>
      </c>
      <c r="G380" s="65" t="s">
        <v>164</v>
      </c>
      <c r="H380" s="63">
        <v>58</v>
      </c>
      <c r="I380" s="65" t="s">
        <v>172</v>
      </c>
      <c r="J380" s="63">
        <v>285</v>
      </c>
      <c r="K380" s="64">
        <v>611.61</v>
      </c>
      <c r="L380" s="63" t="s">
        <v>1480</v>
      </c>
      <c r="M380" t="s">
        <v>1117</v>
      </c>
      <c r="N380" s="65" t="str">
        <f>queryCARRADAS_20250905_83647[[#This Row],[ORIGEM]]&amp;queryCARRADAS_20250905_83647[[#This Row],[DESTINO]]&amp;queryCARRADAS_20250905_83647[[#This Row],[MATERIAL]]</f>
        <v>GRANORTEUA SAO LUISBICA CORRIDA</v>
      </c>
      <c r="O380" s="68" t="s">
        <v>164</v>
      </c>
    </row>
    <row r="381" spans="2:15" x14ac:dyDescent="0.25">
      <c r="B381" s="66">
        <v>45887</v>
      </c>
      <c r="C381" s="65">
        <v>1</v>
      </c>
      <c r="D381" s="63" t="s">
        <v>199</v>
      </c>
      <c r="E381" s="65" t="s">
        <v>215</v>
      </c>
      <c r="F381" s="65" t="s">
        <v>166</v>
      </c>
      <c r="G381" s="65" t="s">
        <v>164</v>
      </c>
      <c r="H381" s="63">
        <v>58</v>
      </c>
      <c r="I381" s="65" t="s">
        <v>165</v>
      </c>
      <c r="J381" s="63">
        <v>286</v>
      </c>
      <c r="K381" s="64">
        <v>613.76</v>
      </c>
      <c r="L381" s="63" t="s">
        <v>1481</v>
      </c>
      <c r="M381" t="s">
        <v>1482</v>
      </c>
      <c r="N381" s="65" t="str">
        <f>queryCARRADAS_20250905_83647[[#This Row],[ORIGEM]]&amp;queryCARRADAS_20250905_83647[[#This Row],[DESTINO]]&amp;queryCARRADAS_20250905_83647[[#This Row],[MATERIAL]]</f>
        <v>GRANORTEUA SAO LUISPÓ DE BRITA</v>
      </c>
      <c r="O381" s="68" t="s">
        <v>164</v>
      </c>
    </row>
    <row r="382" spans="2:15" x14ac:dyDescent="0.25">
      <c r="B382" s="66">
        <v>45887</v>
      </c>
      <c r="C382" s="65">
        <v>1</v>
      </c>
      <c r="D382" s="63" t="s">
        <v>183</v>
      </c>
      <c r="E382" s="65" t="s">
        <v>184</v>
      </c>
      <c r="F382" s="65" t="s">
        <v>166</v>
      </c>
      <c r="G382" s="65" t="s">
        <v>164</v>
      </c>
      <c r="H382" s="63">
        <v>58</v>
      </c>
      <c r="I382" s="65" t="s">
        <v>165</v>
      </c>
      <c r="J382" s="63">
        <v>2982</v>
      </c>
      <c r="K382" s="64">
        <v>639.94000000000005</v>
      </c>
      <c r="L382" s="63" t="s">
        <v>1483</v>
      </c>
      <c r="M382" t="s">
        <v>1117</v>
      </c>
      <c r="N382" s="65" t="str">
        <f>queryCARRADAS_20250905_83647[[#This Row],[ORIGEM]]&amp;queryCARRADAS_20250905_83647[[#This Row],[DESTINO]]&amp;queryCARRADAS_20250905_83647[[#This Row],[MATERIAL]]</f>
        <v>GRANORTEUA SAO LUISPÓ DE BRITA</v>
      </c>
      <c r="O382" s="68" t="s">
        <v>164</v>
      </c>
    </row>
    <row r="383" spans="2:15" x14ac:dyDescent="0.25">
      <c r="B383" s="66">
        <v>45887</v>
      </c>
      <c r="C383" s="65">
        <v>1</v>
      </c>
      <c r="D383" s="63" t="s">
        <v>199</v>
      </c>
      <c r="E383" s="65" t="s">
        <v>215</v>
      </c>
      <c r="F383" s="65" t="s">
        <v>163</v>
      </c>
      <c r="G383" s="65" t="s">
        <v>164</v>
      </c>
      <c r="H383" s="63">
        <v>52</v>
      </c>
      <c r="I383" s="65" t="s">
        <v>185</v>
      </c>
      <c r="J383" s="63">
        <v>2843</v>
      </c>
      <c r="K383" s="64">
        <v>546.99</v>
      </c>
      <c r="L383" s="63" t="s">
        <v>1484</v>
      </c>
      <c r="M383" t="s">
        <v>1485</v>
      </c>
      <c r="N383" s="65" t="str">
        <f>queryCARRADAS_20250905_83647[[#This Row],[ORIGEM]]&amp;queryCARRADAS_20250905_83647[[#This Row],[DESTINO]]&amp;queryCARRADAS_20250905_83647[[#This Row],[MATERIAL]]</f>
        <v>BRASIL MINERACAOUA SAO LUISRACHÃOZINHO</v>
      </c>
      <c r="O383" s="68" t="s">
        <v>164</v>
      </c>
    </row>
    <row r="384" spans="2:15" x14ac:dyDescent="0.25">
      <c r="B384" s="66">
        <v>45887</v>
      </c>
      <c r="C384" s="65">
        <v>1</v>
      </c>
      <c r="D384" s="63" t="s">
        <v>183</v>
      </c>
      <c r="E384" s="65" t="s">
        <v>184</v>
      </c>
      <c r="F384" s="65" t="s">
        <v>166</v>
      </c>
      <c r="G384" s="65" t="s">
        <v>164</v>
      </c>
      <c r="H384" s="63">
        <v>58</v>
      </c>
      <c r="I384" s="65" t="s">
        <v>172</v>
      </c>
      <c r="J384" s="63">
        <v>2534</v>
      </c>
      <c r="K384" s="64">
        <v>543.79999999999995</v>
      </c>
      <c r="L384" s="63" t="s">
        <v>1486</v>
      </c>
      <c r="M384" t="s">
        <v>1117</v>
      </c>
      <c r="N384" s="65" t="str">
        <f>queryCARRADAS_20250905_83647[[#This Row],[ORIGEM]]&amp;queryCARRADAS_20250905_83647[[#This Row],[DESTINO]]&amp;queryCARRADAS_20250905_83647[[#This Row],[MATERIAL]]</f>
        <v>GRANORTEUA SAO LUISBICA CORRIDA</v>
      </c>
      <c r="O384" s="68" t="s">
        <v>164</v>
      </c>
    </row>
    <row r="385" spans="2:15" x14ac:dyDescent="0.25">
      <c r="B385" s="66">
        <v>45887</v>
      </c>
      <c r="C385" s="65">
        <v>1</v>
      </c>
      <c r="D385" s="63" t="s">
        <v>199</v>
      </c>
      <c r="E385" s="65" t="s">
        <v>215</v>
      </c>
      <c r="F385" s="65" t="s">
        <v>163</v>
      </c>
      <c r="G385" s="65" t="s">
        <v>164</v>
      </c>
      <c r="H385" s="63">
        <v>52</v>
      </c>
      <c r="I385" s="65" t="s">
        <v>185</v>
      </c>
      <c r="J385" s="63">
        <v>288</v>
      </c>
      <c r="K385" s="64">
        <v>554.11</v>
      </c>
      <c r="L385" s="63" t="s">
        <v>1487</v>
      </c>
      <c r="M385" t="s">
        <v>1488</v>
      </c>
      <c r="N385" s="65" t="str">
        <f>queryCARRADAS_20250905_83647[[#This Row],[ORIGEM]]&amp;queryCARRADAS_20250905_83647[[#This Row],[DESTINO]]&amp;queryCARRADAS_20250905_83647[[#This Row],[MATERIAL]]</f>
        <v>BRASIL MINERACAOUA SAO LUISRACHÃOZINHO</v>
      </c>
      <c r="O385" s="68" t="s">
        <v>164</v>
      </c>
    </row>
    <row r="386" spans="2:15" x14ac:dyDescent="0.25">
      <c r="B386" s="66">
        <v>45887</v>
      </c>
      <c r="C386" s="65">
        <v>1</v>
      </c>
      <c r="D386" s="63" t="s">
        <v>193</v>
      </c>
      <c r="E386" s="65" t="s">
        <v>194</v>
      </c>
      <c r="F386" s="65" t="s">
        <v>166</v>
      </c>
      <c r="G386" s="65" t="s">
        <v>164</v>
      </c>
      <c r="H386" s="63">
        <v>58</v>
      </c>
      <c r="I386" s="65" t="s">
        <v>165</v>
      </c>
      <c r="J386" s="63">
        <v>2852</v>
      </c>
      <c r="K386" s="64">
        <v>612.04</v>
      </c>
      <c r="L386" s="63" t="s">
        <v>1489</v>
      </c>
      <c r="M386" t="s">
        <v>1117</v>
      </c>
      <c r="N386" s="65" t="str">
        <f>queryCARRADAS_20250905_83647[[#This Row],[ORIGEM]]&amp;queryCARRADAS_20250905_83647[[#This Row],[DESTINO]]&amp;queryCARRADAS_20250905_83647[[#This Row],[MATERIAL]]</f>
        <v>GRANORTEUA SAO LUISPÓ DE BRITA</v>
      </c>
      <c r="O386" s="68" t="s">
        <v>164</v>
      </c>
    </row>
    <row r="387" spans="2:15" x14ac:dyDescent="0.25">
      <c r="B387" s="66">
        <v>45887</v>
      </c>
      <c r="C387" s="65">
        <v>1</v>
      </c>
      <c r="D387" s="63" t="s">
        <v>193</v>
      </c>
      <c r="E387" s="65" t="s">
        <v>194</v>
      </c>
      <c r="F387" s="65" t="s">
        <v>166</v>
      </c>
      <c r="G387" s="65" t="s">
        <v>164</v>
      </c>
      <c r="H387" s="63">
        <v>58</v>
      </c>
      <c r="I387" s="65" t="s">
        <v>165</v>
      </c>
      <c r="J387" s="63">
        <v>2852</v>
      </c>
      <c r="K387" s="64">
        <v>612.04</v>
      </c>
      <c r="L387" s="63" t="s">
        <v>1490</v>
      </c>
      <c r="M387" t="s">
        <v>1117</v>
      </c>
      <c r="N387" s="65" t="str">
        <f>queryCARRADAS_20250905_83647[[#This Row],[ORIGEM]]&amp;queryCARRADAS_20250905_83647[[#This Row],[DESTINO]]&amp;queryCARRADAS_20250905_83647[[#This Row],[MATERIAL]]</f>
        <v>GRANORTEUA SAO LUISPÓ DE BRITA</v>
      </c>
      <c r="O387" s="68" t="s">
        <v>164</v>
      </c>
    </row>
    <row r="388" spans="2:15" x14ac:dyDescent="0.25">
      <c r="B388" s="66">
        <v>45887</v>
      </c>
      <c r="C388" s="65">
        <v>1</v>
      </c>
      <c r="D388" s="63" t="s">
        <v>270</v>
      </c>
      <c r="E388" s="65" t="s">
        <v>1146</v>
      </c>
      <c r="F388" s="65" t="s">
        <v>190</v>
      </c>
      <c r="G388" s="65" t="s">
        <v>212</v>
      </c>
      <c r="H388" s="63">
        <v>376</v>
      </c>
      <c r="I388" s="65" t="s">
        <v>165</v>
      </c>
      <c r="J388" s="63">
        <v>5062</v>
      </c>
      <c r="K388" s="64">
        <v>6090.6</v>
      </c>
      <c r="L388" s="63" t="s">
        <v>1491</v>
      </c>
      <c r="M388" t="s">
        <v>1117</v>
      </c>
      <c r="N388" s="65" t="str">
        <f>queryCARRADAS_20250905_83647[[#This Row],[ORIGEM]]&amp;queryCARRADAS_20250905_83647[[#This Row],[DESTINO]]&amp;queryCARRADAS_20250905_83647[[#This Row],[MATERIAL]]</f>
        <v>SERVENGUSINA PINHEIROPÓ DE BRITA</v>
      </c>
      <c r="O388" s="68" t="s">
        <v>164</v>
      </c>
    </row>
    <row r="389" spans="2:15" x14ac:dyDescent="0.25">
      <c r="B389" s="66">
        <v>45887</v>
      </c>
      <c r="C389" s="65">
        <v>1</v>
      </c>
      <c r="D389" s="63" t="s">
        <v>186</v>
      </c>
      <c r="E389" s="65" t="s">
        <v>187</v>
      </c>
      <c r="F389" s="65" t="s">
        <v>190</v>
      </c>
      <c r="G389" s="65" t="s">
        <v>212</v>
      </c>
      <c r="H389" s="63">
        <v>376</v>
      </c>
      <c r="I389" s="65" t="s">
        <v>165</v>
      </c>
      <c r="J389" s="63">
        <v>750</v>
      </c>
      <c r="K389" s="64">
        <v>9024</v>
      </c>
      <c r="L389" s="63" t="s">
        <v>1492</v>
      </c>
      <c r="M389" t="s">
        <v>1493</v>
      </c>
      <c r="N389" s="65" t="str">
        <f>queryCARRADAS_20250905_83647[[#This Row],[ORIGEM]]&amp;queryCARRADAS_20250905_83647[[#This Row],[DESTINO]]&amp;queryCARRADAS_20250905_83647[[#This Row],[MATERIAL]]</f>
        <v>SERVENGUSINA PINHEIROPÓ DE BRITA</v>
      </c>
      <c r="O389" s="68" t="s">
        <v>164</v>
      </c>
    </row>
    <row r="390" spans="2:15" x14ac:dyDescent="0.25">
      <c r="B390" s="66">
        <v>45887</v>
      </c>
      <c r="C390" s="65">
        <v>1</v>
      </c>
      <c r="D390" s="63" t="s">
        <v>1127</v>
      </c>
      <c r="E390" s="65" t="s">
        <v>178</v>
      </c>
      <c r="F390" s="65" t="s">
        <v>163</v>
      </c>
      <c r="G390" s="65" t="s">
        <v>164</v>
      </c>
      <c r="H390" s="63">
        <v>52</v>
      </c>
      <c r="I390" s="65" t="s">
        <v>185</v>
      </c>
      <c r="J390" s="63">
        <v>3044</v>
      </c>
      <c r="K390" s="64">
        <v>585.66999999999996</v>
      </c>
      <c r="L390" s="63" t="s">
        <v>1494</v>
      </c>
      <c r="M390" t="s">
        <v>1117</v>
      </c>
      <c r="N390" s="65" t="str">
        <f>queryCARRADAS_20250905_83647[[#This Row],[ORIGEM]]&amp;queryCARRADAS_20250905_83647[[#This Row],[DESTINO]]&amp;queryCARRADAS_20250905_83647[[#This Row],[MATERIAL]]</f>
        <v>BRASIL MINERACAOUA SAO LUISRACHÃOZINHO</v>
      </c>
      <c r="O390" s="68" t="s">
        <v>164</v>
      </c>
    </row>
    <row r="391" spans="2:15" x14ac:dyDescent="0.25">
      <c r="B391" s="66">
        <v>45887</v>
      </c>
      <c r="C391" s="65">
        <v>1</v>
      </c>
      <c r="D391" s="63" t="s">
        <v>1127</v>
      </c>
      <c r="E391" s="65" t="s">
        <v>178</v>
      </c>
      <c r="F391" s="65" t="s">
        <v>163</v>
      </c>
      <c r="G391" s="65" t="s">
        <v>164</v>
      </c>
      <c r="H391" s="63">
        <v>52</v>
      </c>
      <c r="I391" s="65" t="s">
        <v>185</v>
      </c>
      <c r="J391" s="63">
        <v>2712</v>
      </c>
      <c r="K391" s="64">
        <v>521.79</v>
      </c>
      <c r="L391" s="63" t="s">
        <v>1495</v>
      </c>
      <c r="M391" t="s">
        <v>1117</v>
      </c>
      <c r="N391" s="65" t="str">
        <f>queryCARRADAS_20250905_83647[[#This Row],[ORIGEM]]&amp;queryCARRADAS_20250905_83647[[#This Row],[DESTINO]]&amp;queryCARRADAS_20250905_83647[[#This Row],[MATERIAL]]</f>
        <v>BRASIL MINERACAOUA SAO LUISRACHÃOZINHO</v>
      </c>
      <c r="O391" s="68" t="s">
        <v>164</v>
      </c>
    </row>
    <row r="392" spans="2:15" x14ac:dyDescent="0.25">
      <c r="B392" s="66">
        <v>45887</v>
      </c>
      <c r="C392" s="65">
        <v>1</v>
      </c>
      <c r="D392" s="63" t="s">
        <v>179</v>
      </c>
      <c r="E392" s="65" t="s">
        <v>180</v>
      </c>
      <c r="F392" s="65" t="s">
        <v>166</v>
      </c>
      <c r="G392" s="65" t="s">
        <v>11</v>
      </c>
      <c r="H392" s="63">
        <v>67</v>
      </c>
      <c r="I392" s="65" t="s">
        <v>172</v>
      </c>
      <c r="J392" s="63">
        <v>272</v>
      </c>
      <c r="K392" s="64">
        <v>674.29</v>
      </c>
      <c r="L392" s="63" t="s">
        <v>1496</v>
      </c>
      <c r="M392" t="s">
        <v>1117</v>
      </c>
      <c r="N392" s="65" t="str">
        <f>queryCARRADAS_20250905_83647[[#This Row],[ORIGEM]]&amp;queryCARRADAS_20250905_83647[[#This Row],[DESTINO]]&amp;queryCARRADAS_20250905_83647[[#This Row],[MATERIAL]]</f>
        <v>GRANORTEMETROPOLITANABICA CORRIDA</v>
      </c>
      <c r="O392" s="68" t="s">
        <v>164</v>
      </c>
    </row>
    <row r="393" spans="2:15" x14ac:dyDescent="0.25">
      <c r="B393" s="66">
        <v>45887</v>
      </c>
      <c r="C393" s="65">
        <v>1</v>
      </c>
      <c r="D393" s="63" t="s">
        <v>179</v>
      </c>
      <c r="E393" s="65" t="s">
        <v>180</v>
      </c>
      <c r="F393" s="65" t="s">
        <v>166</v>
      </c>
      <c r="G393" s="65" t="s">
        <v>164</v>
      </c>
      <c r="H393" s="63">
        <v>58</v>
      </c>
      <c r="I393" s="65" t="s">
        <v>165</v>
      </c>
      <c r="J393" s="63">
        <v>270</v>
      </c>
      <c r="K393" s="64">
        <v>579.41999999999996</v>
      </c>
      <c r="L393" s="63" t="s">
        <v>1497</v>
      </c>
      <c r="M393" t="s">
        <v>1117</v>
      </c>
      <c r="N393" s="65" t="str">
        <f>queryCARRADAS_20250905_83647[[#This Row],[ORIGEM]]&amp;queryCARRADAS_20250905_83647[[#This Row],[DESTINO]]&amp;queryCARRADAS_20250905_83647[[#This Row],[MATERIAL]]</f>
        <v>GRANORTEUA SAO LUISPÓ DE BRITA</v>
      </c>
      <c r="O393" s="68" t="s">
        <v>164</v>
      </c>
    </row>
    <row r="394" spans="2:15" x14ac:dyDescent="0.25">
      <c r="B394" s="66">
        <v>45887</v>
      </c>
      <c r="C394" s="65">
        <v>1</v>
      </c>
      <c r="D394" s="63" t="s">
        <v>219</v>
      </c>
      <c r="E394" s="65" t="s">
        <v>220</v>
      </c>
      <c r="F394" s="65" t="s">
        <v>190</v>
      </c>
      <c r="G394" s="65" t="s">
        <v>198</v>
      </c>
      <c r="H394" s="63">
        <v>70</v>
      </c>
      <c r="I394" s="65" t="s">
        <v>165</v>
      </c>
      <c r="J394" s="63">
        <v>462</v>
      </c>
      <c r="K394" s="64">
        <v>1196.58</v>
      </c>
      <c r="L394" s="63" t="s">
        <v>1498</v>
      </c>
      <c r="M394" t="s">
        <v>1117</v>
      </c>
      <c r="N394" s="65" t="str">
        <f>queryCARRADAS_20250905_83647[[#This Row],[ORIGEM]]&amp;queryCARRADAS_20250905_83647[[#This Row],[DESTINO]]&amp;queryCARRADAS_20250905_83647[[#This Row],[MATERIAL]]</f>
        <v>SERVENGUSINA SAO LUISPÓ DE BRITA</v>
      </c>
      <c r="O394" s="68" t="s">
        <v>164</v>
      </c>
    </row>
    <row r="395" spans="2:15" x14ac:dyDescent="0.25">
      <c r="B395" s="66">
        <v>45888</v>
      </c>
      <c r="C395" s="65">
        <v>1</v>
      </c>
      <c r="D395" s="63" t="s">
        <v>173</v>
      </c>
      <c r="E395" s="65" t="s">
        <v>174</v>
      </c>
      <c r="F395" s="65" t="s">
        <v>166</v>
      </c>
      <c r="G395" s="65" t="s">
        <v>164</v>
      </c>
      <c r="H395" s="63">
        <v>58</v>
      </c>
      <c r="I395" s="65" t="s">
        <v>165</v>
      </c>
      <c r="J395" s="63">
        <v>285</v>
      </c>
      <c r="K395" s="64">
        <v>611.61</v>
      </c>
      <c r="L395" s="63" t="s">
        <v>1441</v>
      </c>
      <c r="M395" t="s">
        <v>1117</v>
      </c>
      <c r="N395" s="65" t="str">
        <f>queryCARRADAS_20250905_83647[[#This Row],[ORIGEM]]&amp;queryCARRADAS_20250905_83647[[#This Row],[DESTINO]]&amp;queryCARRADAS_20250905_83647[[#This Row],[MATERIAL]]</f>
        <v>GRANORTEUA SAO LUISPÓ DE BRITA</v>
      </c>
      <c r="O395" s="68" t="s">
        <v>164</v>
      </c>
    </row>
    <row r="396" spans="2:15" x14ac:dyDescent="0.25">
      <c r="B396" s="66">
        <v>45888</v>
      </c>
      <c r="C396" s="65">
        <v>1</v>
      </c>
      <c r="D396" s="63" t="s">
        <v>1442</v>
      </c>
      <c r="E396" s="65" t="s">
        <v>1443</v>
      </c>
      <c r="F396" s="65" t="s">
        <v>190</v>
      </c>
      <c r="G396" s="65" t="s">
        <v>875</v>
      </c>
      <c r="H396" s="63">
        <v>45</v>
      </c>
      <c r="I396" s="65" t="s">
        <v>172</v>
      </c>
      <c r="J396" s="63">
        <v>4589</v>
      </c>
      <c r="K396" s="64">
        <v>764.07</v>
      </c>
      <c r="L396" s="63" t="s">
        <v>1444</v>
      </c>
      <c r="M396" t="s">
        <v>1117</v>
      </c>
      <c r="N396" s="65" t="str">
        <f>queryCARRADAS_20250905_83647[[#This Row],[ORIGEM]]&amp;queryCARRADAS_20250905_83647[[#This Row],[DESTINO]]&amp;queryCARRADAS_20250905_83647[[#This Row],[MATERIAL]]</f>
        <v>SERVENGUSINA SANTA RITABICA CORRIDA</v>
      </c>
      <c r="O396" s="68" t="s">
        <v>164</v>
      </c>
    </row>
    <row r="397" spans="2:15" x14ac:dyDescent="0.25">
      <c r="B397" s="66">
        <v>45888</v>
      </c>
      <c r="C397" s="65">
        <v>1</v>
      </c>
      <c r="D397" s="63" t="s">
        <v>213</v>
      </c>
      <c r="E397" s="65" t="s">
        <v>214</v>
      </c>
      <c r="F397" s="65" t="s">
        <v>166</v>
      </c>
      <c r="G397" s="65" t="s">
        <v>164</v>
      </c>
      <c r="H397" s="63">
        <v>58</v>
      </c>
      <c r="I397" s="65" t="s">
        <v>165</v>
      </c>
      <c r="J397" s="63">
        <v>5078</v>
      </c>
      <c r="K397" s="64">
        <v>1089.74</v>
      </c>
      <c r="L397" s="63" t="s">
        <v>1445</v>
      </c>
      <c r="M397" t="s">
        <v>1117</v>
      </c>
      <c r="N397" s="65" t="str">
        <f>queryCARRADAS_20250905_83647[[#This Row],[ORIGEM]]&amp;queryCARRADAS_20250905_83647[[#This Row],[DESTINO]]&amp;queryCARRADAS_20250905_83647[[#This Row],[MATERIAL]]</f>
        <v>GRANORTEUA SAO LUISPÓ DE BRITA</v>
      </c>
      <c r="O397" s="68" t="s">
        <v>164</v>
      </c>
    </row>
    <row r="398" spans="2:15" x14ac:dyDescent="0.25">
      <c r="B398" s="66">
        <v>45888</v>
      </c>
      <c r="C398" s="65">
        <v>1</v>
      </c>
      <c r="D398" s="63" t="s">
        <v>203</v>
      </c>
      <c r="E398" s="65" t="s">
        <v>204</v>
      </c>
      <c r="F398" s="65" t="s">
        <v>166</v>
      </c>
      <c r="G398" s="65" t="s">
        <v>164</v>
      </c>
      <c r="H398" s="63">
        <v>58</v>
      </c>
      <c r="I398" s="65" t="s">
        <v>165</v>
      </c>
      <c r="J398" s="63">
        <v>4658</v>
      </c>
      <c r="K398" s="64">
        <v>999.61</v>
      </c>
      <c r="L398" s="63" t="s">
        <v>1446</v>
      </c>
      <c r="M398" t="s">
        <v>1117</v>
      </c>
      <c r="N398" s="65" t="str">
        <f>queryCARRADAS_20250905_83647[[#This Row],[ORIGEM]]&amp;queryCARRADAS_20250905_83647[[#This Row],[DESTINO]]&amp;queryCARRADAS_20250905_83647[[#This Row],[MATERIAL]]</f>
        <v>GRANORTEUA SAO LUISPÓ DE BRITA</v>
      </c>
      <c r="O398" s="68" t="s">
        <v>164</v>
      </c>
    </row>
    <row r="399" spans="2:15" x14ac:dyDescent="0.25">
      <c r="B399" s="66">
        <v>45888</v>
      </c>
      <c r="C399" s="65">
        <v>1</v>
      </c>
      <c r="D399" s="63" t="s">
        <v>188</v>
      </c>
      <c r="E399" s="65" t="s">
        <v>189</v>
      </c>
      <c r="F399" s="65" t="s">
        <v>166</v>
      </c>
      <c r="G399" s="65" t="s">
        <v>191</v>
      </c>
      <c r="H399" s="63">
        <v>243</v>
      </c>
      <c r="I399" s="65" t="s">
        <v>221</v>
      </c>
      <c r="J399" s="63">
        <v>5164</v>
      </c>
      <c r="K399" s="64">
        <v>4642.95</v>
      </c>
      <c r="L399" s="63" t="s">
        <v>1447</v>
      </c>
      <c r="M399" t="s">
        <v>1117</v>
      </c>
      <c r="N399" s="65" t="str">
        <f>queryCARRADAS_20250905_83647[[#This Row],[ORIGEM]]&amp;queryCARRADAS_20250905_83647[[#This Row],[DESTINO]]&amp;queryCARRADAS_20250905_83647[[#This Row],[MATERIAL]]</f>
        <v>GRANORTEOLINDA NOVA - MABGS</v>
      </c>
      <c r="O399" s="68" t="s">
        <v>164</v>
      </c>
    </row>
    <row r="400" spans="2:15" x14ac:dyDescent="0.25">
      <c r="B400" s="66">
        <v>45888</v>
      </c>
      <c r="C400" s="65">
        <v>1</v>
      </c>
      <c r="D400" s="63" t="s">
        <v>213</v>
      </c>
      <c r="E400" s="65" t="s">
        <v>214</v>
      </c>
      <c r="F400" s="65" t="s">
        <v>166</v>
      </c>
      <c r="G400" s="65" t="s">
        <v>223</v>
      </c>
      <c r="H400" s="63">
        <v>370</v>
      </c>
      <c r="I400" s="65" t="s">
        <v>165</v>
      </c>
      <c r="J400" s="63">
        <v>7894</v>
      </c>
      <c r="K400" s="64">
        <v>10806.89</v>
      </c>
      <c r="L400" s="63" t="s">
        <v>1448</v>
      </c>
      <c r="M400" t="s">
        <v>1117</v>
      </c>
      <c r="N400" s="65" t="str">
        <f>queryCARRADAS_20250905_83647[[#This Row],[ORIGEM]]&amp;queryCARRADAS_20250905_83647[[#This Row],[DESTINO]]&amp;queryCARRADAS_20250905_83647[[#This Row],[MATERIAL]]</f>
        <v>GRANORTEUA PINHEIRO - MAPÓ DE BRITA</v>
      </c>
      <c r="O400" s="68" t="s">
        <v>161</v>
      </c>
    </row>
    <row r="401" spans="2:15" x14ac:dyDescent="0.25">
      <c r="B401" s="66">
        <v>45888</v>
      </c>
      <c r="C401" s="65">
        <v>1</v>
      </c>
      <c r="D401" s="63" t="s">
        <v>170</v>
      </c>
      <c r="E401" s="65" t="s">
        <v>171</v>
      </c>
      <c r="F401" s="65" t="s">
        <v>166</v>
      </c>
      <c r="G401" s="65" t="s">
        <v>164</v>
      </c>
      <c r="H401" s="63">
        <v>58</v>
      </c>
      <c r="I401" s="65" t="s">
        <v>165</v>
      </c>
      <c r="J401" s="63">
        <v>2572</v>
      </c>
      <c r="K401" s="64">
        <v>551.95000000000005</v>
      </c>
      <c r="L401" s="63" t="s">
        <v>1449</v>
      </c>
      <c r="M401" t="s">
        <v>1117</v>
      </c>
      <c r="N401" s="65" t="str">
        <f>queryCARRADAS_20250905_83647[[#This Row],[ORIGEM]]&amp;queryCARRADAS_20250905_83647[[#This Row],[DESTINO]]&amp;queryCARRADAS_20250905_83647[[#This Row],[MATERIAL]]</f>
        <v>GRANORTEUA SAO LUISPÓ DE BRITA</v>
      </c>
      <c r="O401" s="68" t="s">
        <v>111</v>
      </c>
    </row>
    <row r="402" spans="2:15" x14ac:dyDescent="0.25">
      <c r="B402" s="66">
        <v>45888</v>
      </c>
      <c r="C402" s="65">
        <v>1</v>
      </c>
      <c r="D402" s="63" t="s">
        <v>205</v>
      </c>
      <c r="E402" s="65" t="s">
        <v>206</v>
      </c>
      <c r="F402" s="65" t="s">
        <v>276</v>
      </c>
      <c r="G402" s="65" t="s">
        <v>1415</v>
      </c>
      <c r="H402" s="63">
        <v>150</v>
      </c>
      <c r="I402" s="65" t="s">
        <v>279</v>
      </c>
      <c r="J402" s="63">
        <v>6618</v>
      </c>
      <c r="K402" s="64">
        <v>3176.64</v>
      </c>
      <c r="L402" s="63" t="s">
        <v>1450</v>
      </c>
      <c r="M402" t="s">
        <v>1117</v>
      </c>
      <c r="N402" s="65" t="str">
        <f>queryCARRADAS_20250905_83647[[#This Row],[ORIGEM]]&amp;queryCARRADAS_20250905_83647[[#This Row],[DESTINO]]&amp;queryCARRADAS_20250905_83647[[#This Row],[MATERIAL]]</f>
        <v>MINERADORA PORTO FRANCOSENADOR LA ROQUEMATACO</v>
      </c>
      <c r="O402" s="68" t="s">
        <v>164</v>
      </c>
    </row>
    <row r="403" spans="2:15" x14ac:dyDescent="0.25">
      <c r="B403" s="66">
        <v>45888</v>
      </c>
      <c r="C403" s="65">
        <v>1</v>
      </c>
      <c r="D403" s="63" t="s">
        <v>173</v>
      </c>
      <c r="E403" s="65" t="s">
        <v>174</v>
      </c>
      <c r="F403" s="65" t="s">
        <v>166</v>
      </c>
      <c r="G403" s="65" t="s">
        <v>218</v>
      </c>
      <c r="H403" s="63">
        <v>71</v>
      </c>
      <c r="I403" s="65" t="s">
        <v>172</v>
      </c>
      <c r="J403" s="63">
        <v>3586</v>
      </c>
      <c r="K403" s="64">
        <v>942.04</v>
      </c>
      <c r="L403" s="63" t="s">
        <v>1451</v>
      </c>
      <c r="M403" t="s">
        <v>1117</v>
      </c>
      <c r="N403" s="65" t="str">
        <f>queryCARRADAS_20250905_83647[[#This Row],[ORIGEM]]&amp;queryCARRADAS_20250905_83647[[#This Row],[DESTINO]]&amp;queryCARRADAS_20250905_83647[[#This Row],[MATERIAL]]</f>
        <v>GRANORTEEXPOEMABICA CORRIDA</v>
      </c>
      <c r="O403" s="68" t="s">
        <v>164</v>
      </c>
    </row>
    <row r="404" spans="2:15" x14ac:dyDescent="0.25">
      <c r="B404" s="66">
        <v>45888</v>
      </c>
      <c r="C404" s="65">
        <v>1</v>
      </c>
      <c r="D404" s="63" t="s">
        <v>179</v>
      </c>
      <c r="E404" s="65" t="s">
        <v>180</v>
      </c>
      <c r="F404" s="65" t="s">
        <v>166</v>
      </c>
      <c r="G404" s="65" t="s">
        <v>164</v>
      </c>
      <c r="H404" s="63">
        <v>58</v>
      </c>
      <c r="I404" s="65" t="s">
        <v>165</v>
      </c>
      <c r="J404" s="63">
        <v>263</v>
      </c>
      <c r="K404" s="64">
        <v>564.4</v>
      </c>
      <c r="L404" s="63" t="s">
        <v>1452</v>
      </c>
      <c r="M404" t="s">
        <v>1117</v>
      </c>
      <c r="N404" s="65" t="str">
        <f>queryCARRADAS_20250905_83647[[#This Row],[ORIGEM]]&amp;queryCARRADAS_20250905_83647[[#This Row],[DESTINO]]&amp;queryCARRADAS_20250905_83647[[#This Row],[MATERIAL]]</f>
        <v>GRANORTEUA SAO LUISPÓ DE BRITA</v>
      </c>
      <c r="O404" s="68" t="s">
        <v>164</v>
      </c>
    </row>
    <row r="405" spans="2:15" x14ac:dyDescent="0.25">
      <c r="B405" s="66">
        <v>45888</v>
      </c>
      <c r="C405" s="65">
        <v>1</v>
      </c>
      <c r="D405" s="63" t="s">
        <v>202</v>
      </c>
      <c r="E405" s="65" t="s">
        <v>1153</v>
      </c>
      <c r="F405" s="65" t="s">
        <v>190</v>
      </c>
      <c r="G405" s="65" t="s">
        <v>191</v>
      </c>
      <c r="H405" s="63">
        <v>217</v>
      </c>
      <c r="I405" s="65" t="s">
        <v>165</v>
      </c>
      <c r="J405" s="63">
        <v>5068</v>
      </c>
      <c r="K405" s="64">
        <v>4069.1</v>
      </c>
      <c r="L405" s="63" t="s">
        <v>1453</v>
      </c>
      <c r="M405" t="s">
        <v>1117</v>
      </c>
      <c r="N405" s="65" t="str">
        <f>queryCARRADAS_20250905_83647[[#This Row],[ORIGEM]]&amp;queryCARRADAS_20250905_83647[[#This Row],[DESTINO]]&amp;queryCARRADAS_20250905_83647[[#This Row],[MATERIAL]]</f>
        <v>SERVENGOLINDA NOVA - MAPÓ DE BRITA</v>
      </c>
      <c r="O405" s="68" t="s">
        <v>164</v>
      </c>
    </row>
    <row r="406" spans="2:15" x14ac:dyDescent="0.25">
      <c r="B406" s="66">
        <v>45888</v>
      </c>
      <c r="C406" s="65">
        <v>1</v>
      </c>
      <c r="D406" s="63" t="s">
        <v>199</v>
      </c>
      <c r="E406" s="65" t="s">
        <v>215</v>
      </c>
      <c r="F406" s="65" t="s">
        <v>163</v>
      </c>
      <c r="G406" s="65" t="s">
        <v>164</v>
      </c>
      <c r="H406" s="63">
        <v>52</v>
      </c>
      <c r="I406" s="65" t="s">
        <v>185</v>
      </c>
      <c r="J406" s="63">
        <v>2838</v>
      </c>
      <c r="K406" s="64">
        <v>546.03</v>
      </c>
      <c r="L406" s="63" t="s">
        <v>1454</v>
      </c>
      <c r="M406" t="s">
        <v>1455</v>
      </c>
      <c r="N406" s="65" t="str">
        <f>queryCARRADAS_20250905_83647[[#This Row],[ORIGEM]]&amp;queryCARRADAS_20250905_83647[[#This Row],[DESTINO]]&amp;queryCARRADAS_20250905_83647[[#This Row],[MATERIAL]]</f>
        <v>BRASIL MINERACAOUA SAO LUISRACHÃOZINHO</v>
      </c>
      <c r="O406" s="68" t="s">
        <v>164</v>
      </c>
    </row>
    <row r="407" spans="2:15" x14ac:dyDescent="0.25">
      <c r="B407" s="66">
        <v>45888</v>
      </c>
      <c r="C407" s="65">
        <v>1</v>
      </c>
      <c r="D407" s="63" t="s">
        <v>199</v>
      </c>
      <c r="E407" s="65" t="s">
        <v>215</v>
      </c>
      <c r="F407" s="65" t="s">
        <v>163</v>
      </c>
      <c r="G407" s="65" t="s">
        <v>164</v>
      </c>
      <c r="H407" s="63">
        <v>52</v>
      </c>
      <c r="I407" s="65" t="s">
        <v>169</v>
      </c>
      <c r="J407" s="63">
        <v>2876</v>
      </c>
      <c r="K407" s="64">
        <v>553.34</v>
      </c>
      <c r="L407" s="63" t="s">
        <v>1456</v>
      </c>
      <c r="M407" t="s">
        <v>1457</v>
      </c>
      <c r="N407" s="65" t="str">
        <f>queryCARRADAS_20250905_83647[[#This Row],[ORIGEM]]&amp;queryCARRADAS_20250905_83647[[#This Row],[DESTINO]]&amp;queryCARRADAS_20250905_83647[[#This Row],[MATERIAL]]</f>
        <v>BRASIL MINERACAOUA SAO LUISPULMÃOZINHO</v>
      </c>
      <c r="O407" s="68" t="s">
        <v>164</v>
      </c>
    </row>
    <row r="408" spans="2:15" x14ac:dyDescent="0.25">
      <c r="B408" s="66">
        <v>45888</v>
      </c>
      <c r="C408" s="65">
        <v>1</v>
      </c>
      <c r="D408" s="63" t="s">
        <v>183</v>
      </c>
      <c r="E408" s="65" t="s">
        <v>184</v>
      </c>
      <c r="F408" s="65" t="s">
        <v>166</v>
      </c>
      <c r="G408" s="65" t="s">
        <v>164</v>
      </c>
      <c r="H408" s="63">
        <v>58</v>
      </c>
      <c r="I408" s="65" t="s">
        <v>165</v>
      </c>
      <c r="J408" s="63">
        <v>2938</v>
      </c>
      <c r="K408" s="64">
        <v>630.49</v>
      </c>
      <c r="L408" s="63" t="s">
        <v>1458</v>
      </c>
      <c r="M408" t="s">
        <v>1117</v>
      </c>
      <c r="N408" s="65" t="str">
        <f>queryCARRADAS_20250905_83647[[#This Row],[ORIGEM]]&amp;queryCARRADAS_20250905_83647[[#This Row],[DESTINO]]&amp;queryCARRADAS_20250905_83647[[#This Row],[MATERIAL]]</f>
        <v>GRANORTEUA SAO LUISPÓ DE BRITA</v>
      </c>
      <c r="O408" s="68" t="s">
        <v>164</v>
      </c>
    </row>
    <row r="409" spans="2:15" x14ac:dyDescent="0.25">
      <c r="B409" s="66">
        <v>45888</v>
      </c>
      <c r="C409" s="65">
        <v>1</v>
      </c>
      <c r="D409" s="63" t="s">
        <v>183</v>
      </c>
      <c r="E409" s="65" t="s">
        <v>184</v>
      </c>
      <c r="F409" s="65" t="s">
        <v>166</v>
      </c>
      <c r="G409" s="65" t="s">
        <v>164</v>
      </c>
      <c r="H409" s="63">
        <v>58</v>
      </c>
      <c r="I409" s="65" t="s">
        <v>172</v>
      </c>
      <c r="J409" s="63">
        <v>251</v>
      </c>
      <c r="K409" s="64">
        <v>538.65</v>
      </c>
      <c r="L409" s="63" t="s">
        <v>1459</v>
      </c>
      <c r="M409" t="s">
        <v>1117</v>
      </c>
      <c r="N409" s="65" t="str">
        <f>queryCARRADAS_20250905_83647[[#This Row],[ORIGEM]]&amp;queryCARRADAS_20250905_83647[[#This Row],[DESTINO]]&amp;queryCARRADAS_20250905_83647[[#This Row],[MATERIAL]]</f>
        <v>GRANORTEUA SAO LUISBICA CORRIDA</v>
      </c>
      <c r="O409" s="68" t="s">
        <v>164</v>
      </c>
    </row>
    <row r="410" spans="2:15" x14ac:dyDescent="0.25">
      <c r="B410" s="66">
        <v>45888</v>
      </c>
      <c r="C410" s="65">
        <v>1</v>
      </c>
      <c r="D410" s="63" t="s">
        <v>202</v>
      </c>
      <c r="E410" s="65" t="s">
        <v>1153</v>
      </c>
      <c r="F410" s="65" t="s">
        <v>166</v>
      </c>
      <c r="G410" s="65" t="s">
        <v>191</v>
      </c>
      <c r="H410" s="63">
        <v>243</v>
      </c>
      <c r="I410" s="65" t="s">
        <v>165</v>
      </c>
      <c r="J410" s="63">
        <v>5144</v>
      </c>
      <c r="K410" s="64">
        <v>4624.97</v>
      </c>
      <c r="L410" s="63" t="s">
        <v>1460</v>
      </c>
      <c r="M410" t="s">
        <v>1117</v>
      </c>
      <c r="N410" s="65" t="str">
        <f>queryCARRADAS_20250905_83647[[#This Row],[ORIGEM]]&amp;queryCARRADAS_20250905_83647[[#This Row],[DESTINO]]&amp;queryCARRADAS_20250905_83647[[#This Row],[MATERIAL]]</f>
        <v>GRANORTEOLINDA NOVA - MAPÓ DE BRITA</v>
      </c>
      <c r="O410" s="68" t="s">
        <v>164</v>
      </c>
    </row>
    <row r="411" spans="2:15" x14ac:dyDescent="0.25">
      <c r="B411" s="66">
        <v>45888</v>
      </c>
      <c r="C411" s="65">
        <v>1</v>
      </c>
      <c r="D411" s="63" t="s">
        <v>179</v>
      </c>
      <c r="E411" s="65" t="s">
        <v>180</v>
      </c>
      <c r="F411" s="65" t="s">
        <v>166</v>
      </c>
      <c r="G411" s="65" t="s">
        <v>11</v>
      </c>
      <c r="H411" s="63">
        <v>67</v>
      </c>
      <c r="I411" s="65" t="s">
        <v>169</v>
      </c>
      <c r="J411" s="63">
        <v>280</v>
      </c>
      <c r="K411" s="64">
        <v>694.12</v>
      </c>
      <c r="L411" s="63" t="s">
        <v>1461</v>
      </c>
      <c r="M411" t="s">
        <v>1117</v>
      </c>
      <c r="N411" s="65" t="str">
        <f>queryCARRADAS_20250905_83647[[#This Row],[ORIGEM]]&amp;queryCARRADAS_20250905_83647[[#This Row],[DESTINO]]&amp;queryCARRADAS_20250905_83647[[#This Row],[MATERIAL]]</f>
        <v>GRANORTEMETROPOLITANAPULMÃOZINHO</v>
      </c>
      <c r="O411" s="68" t="s">
        <v>164</v>
      </c>
    </row>
    <row r="412" spans="2:15" x14ac:dyDescent="0.25">
      <c r="B412" s="66">
        <v>45888</v>
      </c>
      <c r="C412" s="65">
        <v>1</v>
      </c>
      <c r="D412" s="63" t="s">
        <v>179</v>
      </c>
      <c r="E412" s="65" t="s">
        <v>180</v>
      </c>
      <c r="F412" s="65" t="s">
        <v>163</v>
      </c>
      <c r="G412" s="65" t="s">
        <v>164</v>
      </c>
      <c r="H412" s="63">
        <v>52</v>
      </c>
      <c r="I412" s="65" t="s">
        <v>185</v>
      </c>
      <c r="J412" s="63">
        <v>256</v>
      </c>
      <c r="K412" s="64">
        <v>492.54</v>
      </c>
      <c r="L412" s="63" t="s">
        <v>1462</v>
      </c>
      <c r="M412" t="s">
        <v>1117</v>
      </c>
      <c r="N412" s="65" t="str">
        <f>queryCARRADAS_20250905_83647[[#This Row],[ORIGEM]]&amp;queryCARRADAS_20250905_83647[[#This Row],[DESTINO]]&amp;queryCARRADAS_20250905_83647[[#This Row],[MATERIAL]]</f>
        <v>BRASIL MINERACAOUA SAO LUISRACHÃOZINHO</v>
      </c>
      <c r="O412" s="68" t="s">
        <v>164</v>
      </c>
    </row>
    <row r="413" spans="2:15" x14ac:dyDescent="0.25">
      <c r="B413" s="66">
        <v>45888</v>
      </c>
      <c r="C413" s="65">
        <v>1</v>
      </c>
      <c r="D413" s="63" t="s">
        <v>270</v>
      </c>
      <c r="E413" s="65" t="s">
        <v>1146</v>
      </c>
      <c r="F413" s="65" t="s">
        <v>163</v>
      </c>
      <c r="G413" s="65" t="s">
        <v>164</v>
      </c>
      <c r="H413" s="63">
        <v>52</v>
      </c>
      <c r="I413" s="65" t="s">
        <v>175</v>
      </c>
      <c r="J413" s="63">
        <v>458</v>
      </c>
      <c r="K413" s="64">
        <v>881.19</v>
      </c>
      <c r="L413" s="63" t="s">
        <v>1463</v>
      </c>
      <c r="M413" t="s">
        <v>1117</v>
      </c>
      <c r="N413" s="65" t="str">
        <f>queryCARRADAS_20250905_83647[[#This Row],[ORIGEM]]&amp;queryCARRADAS_20250905_83647[[#This Row],[DESTINO]]&amp;queryCARRADAS_20250905_83647[[#This Row],[MATERIAL]]</f>
        <v>BRASIL MINERACAOUA SAO LUISBRITA 0</v>
      </c>
      <c r="O413" s="68" t="s">
        <v>164</v>
      </c>
    </row>
    <row r="414" spans="2:15" x14ac:dyDescent="0.25">
      <c r="B414" s="66">
        <v>45888</v>
      </c>
      <c r="C414" s="65">
        <v>1</v>
      </c>
      <c r="D414" s="63" t="s">
        <v>219</v>
      </c>
      <c r="E414" s="65" t="s">
        <v>220</v>
      </c>
      <c r="F414" s="65" t="s">
        <v>166</v>
      </c>
      <c r="G414" s="65" t="s">
        <v>164</v>
      </c>
      <c r="H414" s="63">
        <v>58</v>
      </c>
      <c r="I414" s="65" t="s">
        <v>165</v>
      </c>
      <c r="J414" s="63">
        <v>458</v>
      </c>
      <c r="K414" s="64">
        <v>982.87</v>
      </c>
      <c r="L414" s="63" t="s">
        <v>1464</v>
      </c>
      <c r="M414" t="s">
        <v>1117</v>
      </c>
      <c r="N414" s="65" t="str">
        <f>queryCARRADAS_20250905_83647[[#This Row],[ORIGEM]]&amp;queryCARRADAS_20250905_83647[[#This Row],[DESTINO]]&amp;queryCARRADAS_20250905_83647[[#This Row],[MATERIAL]]</f>
        <v>GRANORTEUA SAO LUISPÓ DE BRITA</v>
      </c>
      <c r="O414" s="68" t="s">
        <v>164</v>
      </c>
    </row>
    <row r="415" spans="2:15" x14ac:dyDescent="0.25">
      <c r="B415" s="66">
        <v>45888</v>
      </c>
      <c r="C415" s="65">
        <v>1</v>
      </c>
      <c r="D415" s="63" t="s">
        <v>219</v>
      </c>
      <c r="E415" s="65" t="s">
        <v>220</v>
      </c>
      <c r="F415" s="65" t="s">
        <v>190</v>
      </c>
      <c r="G415" s="65" t="s">
        <v>198</v>
      </c>
      <c r="H415" s="63">
        <v>70</v>
      </c>
      <c r="I415" s="65" t="s">
        <v>165</v>
      </c>
      <c r="J415" s="63">
        <v>620</v>
      </c>
      <c r="K415" s="64">
        <v>1605.8</v>
      </c>
      <c r="L415" s="63" t="s">
        <v>1465</v>
      </c>
      <c r="M415" t="s">
        <v>1117</v>
      </c>
      <c r="N415" s="65" t="str">
        <f>queryCARRADAS_20250905_83647[[#This Row],[ORIGEM]]&amp;queryCARRADAS_20250905_83647[[#This Row],[DESTINO]]&amp;queryCARRADAS_20250905_83647[[#This Row],[MATERIAL]]</f>
        <v>SERVENGUSINA SAO LUISPÓ DE BRITA</v>
      </c>
      <c r="O415" s="68" t="s">
        <v>164</v>
      </c>
    </row>
    <row r="416" spans="2:15" x14ac:dyDescent="0.25">
      <c r="B416" s="66">
        <v>45888</v>
      </c>
      <c r="C416" s="65">
        <v>1</v>
      </c>
      <c r="D416" s="63" t="s">
        <v>275</v>
      </c>
      <c r="E416" s="65" t="s">
        <v>217</v>
      </c>
      <c r="F416" s="65" t="s">
        <v>190</v>
      </c>
      <c r="G416" s="65" t="s">
        <v>212</v>
      </c>
      <c r="H416" s="63">
        <v>376</v>
      </c>
      <c r="I416" s="65" t="s">
        <v>165</v>
      </c>
      <c r="J416" s="63">
        <v>750</v>
      </c>
      <c r="K416" s="64">
        <v>9024</v>
      </c>
      <c r="L416" s="63" t="s">
        <v>1466</v>
      </c>
      <c r="M416" t="s">
        <v>1117</v>
      </c>
      <c r="N416" s="65" t="str">
        <f>queryCARRADAS_20250905_83647[[#This Row],[ORIGEM]]&amp;queryCARRADAS_20250905_83647[[#This Row],[DESTINO]]&amp;queryCARRADAS_20250905_83647[[#This Row],[MATERIAL]]</f>
        <v>SERVENGUSINA PINHEIROPÓ DE BRITA</v>
      </c>
      <c r="O416" s="68" t="s">
        <v>164</v>
      </c>
    </row>
    <row r="417" spans="2:15" x14ac:dyDescent="0.25">
      <c r="B417" s="66">
        <v>45889</v>
      </c>
      <c r="C417" s="65">
        <v>1</v>
      </c>
      <c r="D417" s="63" t="s">
        <v>181</v>
      </c>
      <c r="E417" s="65" t="s">
        <v>182</v>
      </c>
      <c r="F417" s="65" t="s">
        <v>166</v>
      </c>
      <c r="G417" s="65" t="s">
        <v>364</v>
      </c>
      <c r="H417" s="63">
        <v>80</v>
      </c>
      <c r="I417" s="65" t="s">
        <v>216</v>
      </c>
      <c r="J417" s="63">
        <v>2816</v>
      </c>
      <c r="K417" s="64">
        <v>833.54</v>
      </c>
      <c r="L417" s="63" t="s">
        <v>1400</v>
      </c>
      <c r="M417" t="s">
        <v>1117</v>
      </c>
      <c r="N417" s="65" t="str">
        <f>queryCARRADAS_20250905_83647[[#This Row],[ORIGEM]]&amp;queryCARRADAS_20250905_83647[[#This Row],[DESTINO]]&amp;queryCARRADAS_20250905_83647[[#This Row],[MATERIAL]]</f>
        <v>GRANORTEARACAGY - SAO LUISBRITA 3</v>
      </c>
      <c r="O417" s="68" t="s">
        <v>164</v>
      </c>
    </row>
    <row r="418" spans="2:15" x14ac:dyDescent="0.25">
      <c r="B418" s="66">
        <v>45889</v>
      </c>
      <c r="C418" s="65">
        <v>1</v>
      </c>
      <c r="D418" s="63" t="s">
        <v>181</v>
      </c>
      <c r="E418" s="65" t="s">
        <v>182</v>
      </c>
      <c r="F418" s="65" t="s">
        <v>166</v>
      </c>
      <c r="G418" s="65" t="s">
        <v>364</v>
      </c>
      <c r="H418" s="63">
        <v>80</v>
      </c>
      <c r="I418" s="65" t="s">
        <v>216</v>
      </c>
      <c r="J418" s="63">
        <v>284</v>
      </c>
      <c r="K418" s="64">
        <v>840.64</v>
      </c>
      <c r="L418" s="63" t="s">
        <v>1401</v>
      </c>
      <c r="M418" t="s">
        <v>1117</v>
      </c>
      <c r="N418" s="65" t="str">
        <f>queryCARRADAS_20250905_83647[[#This Row],[ORIGEM]]&amp;queryCARRADAS_20250905_83647[[#This Row],[DESTINO]]&amp;queryCARRADAS_20250905_83647[[#This Row],[MATERIAL]]</f>
        <v>GRANORTEARACAGY - SAO LUISBRITA 3</v>
      </c>
      <c r="O418" s="68" t="s">
        <v>164</v>
      </c>
    </row>
    <row r="419" spans="2:15" x14ac:dyDescent="0.25">
      <c r="B419" s="66">
        <v>45889</v>
      </c>
      <c r="C419" s="65">
        <v>1</v>
      </c>
      <c r="D419" s="63" t="s">
        <v>181</v>
      </c>
      <c r="E419" s="65" t="s">
        <v>182</v>
      </c>
      <c r="F419" s="65" t="s">
        <v>166</v>
      </c>
      <c r="G419" s="65" t="s">
        <v>364</v>
      </c>
      <c r="H419" s="63">
        <v>80</v>
      </c>
      <c r="I419" s="65" t="s">
        <v>216</v>
      </c>
      <c r="J419" s="63">
        <v>281</v>
      </c>
      <c r="K419" s="64">
        <v>831.76</v>
      </c>
      <c r="L419" s="63" t="s">
        <v>1402</v>
      </c>
      <c r="M419" t="s">
        <v>1117</v>
      </c>
      <c r="N419" s="65" t="str">
        <f>queryCARRADAS_20250905_83647[[#This Row],[ORIGEM]]&amp;queryCARRADAS_20250905_83647[[#This Row],[DESTINO]]&amp;queryCARRADAS_20250905_83647[[#This Row],[MATERIAL]]</f>
        <v>GRANORTEARACAGY - SAO LUISBRITA 3</v>
      </c>
      <c r="O419" s="68" t="s">
        <v>164</v>
      </c>
    </row>
    <row r="420" spans="2:15" x14ac:dyDescent="0.25">
      <c r="B420" s="66">
        <v>45889</v>
      </c>
      <c r="C420" s="65">
        <v>1</v>
      </c>
      <c r="D420" s="63" t="s">
        <v>188</v>
      </c>
      <c r="E420" s="65" t="s">
        <v>189</v>
      </c>
      <c r="F420" s="65" t="s">
        <v>166</v>
      </c>
      <c r="G420" s="65" t="s">
        <v>191</v>
      </c>
      <c r="H420" s="63">
        <v>243</v>
      </c>
      <c r="I420" s="65" t="s">
        <v>221</v>
      </c>
      <c r="J420" s="63">
        <v>5084</v>
      </c>
      <c r="K420" s="64">
        <v>4571.0200000000004</v>
      </c>
      <c r="L420" s="63" t="s">
        <v>1403</v>
      </c>
      <c r="M420" t="s">
        <v>1117</v>
      </c>
      <c r="N420" s="65" t="str">
        <f>queryCARRADAS_20250905_83647[[#This Row],[ORIGEM]]&amp;queryCARRADAS_20250905_83647[[#This Row],[DESTINO]]&amp;queryCARRADAS_20250905_83647[[#This Row],[MATERIAL]]</f>
        <v>GRANORTEOLINDA NOVA - MABGS</v>
      </c>
      <c r="O420" s="68" t="s">
        <v>164</v>
      </c>
    </row>
    <row r="421" spans="2:15" x14ac:dyDescent="0.25">
      <c r="B421" s="66">
        <v>45889</v>
      </c>
      <c r="C421" s="65">
        <v>1</v>
      </c>
      <c r="D421" s="63" t="s">
        <v>167</v>
      </c>
      <c r="E421" s="65" t="s">
        <v>168</v>
      </c>
      <c r="F421" s="65" t="s">
        <v>166</v>
      </c>
      <c r="G421" s="65" t="s">
        <v>218</v>
      </c>
      <c r="H421" s="63">
        <v>71</v>
      </c>
      <c r="I421" s="65" t="s">
        <v>172</v>
      </c>
      <c r="J421" s="63">
        <v>2682</v>
      </c>
      <c r="K421" s="64">
        <v>704.56</v>
      </c>
      <c r="L421" s="63" t="s">
        <v>1404</v>
      </c>
      <c r="M421" t="s">
        <v>1117</v>
      </c>
      <c r="N421" s="65" t="str">
        <f>queryCARRADAS_20250905_83647[[#This Row],[ORIGEM]]&amp;queryCARRADAS_20250905_83647[[#This Row],[DESTINO]]&amp;queryCARRADAS_20250905_83647[[#This Row],[MATERIAL]]</f>
        <v>GRANORTEEXPOEMABICA CORRIDA</v>
      </c>
      <c r="O421" s="68" t="s">
        <v>164</v>
      </c>
    </row>
    <row r="422" spans="2:15" x14ac:dyDescent="0.25">
      <c r="B422" s="66">
        <v>45889</v>
      </c>
      <c r="C422" s="65">
        <v>1</v>
      </c>
      <c r="D422" s="63" t="s">
        <v>167</v>
      </c>
      <c r="E422" s="65" t="s">
        <v>168</v>
      </c>
      <c r="F422" s="65" t="s">
        <v>166</v>
      </c>
      <c r="G422" s="65" t="s">
        <v>218</v>
      </c>
      <c r="H422" s="63">
        <v>71</v>
      </c>
      <c r="I422" s="65" t="s">
        <v>172</v>
      </c>
      <c r="J422" s="63">
        <v>2608</v>
      </c>
      <c r="K422" s="64">
        <v>685.12</v>
      </c>
      <c r="L422" s="63" t="s">
        <v>1405</v>
      </c>
      <c r="M422" t="s">
        <v>1117</v>
      </c>
      <c r="N422" s="65" t="str">
        <f>queryCARRADAS_20250905_83647[[#This Row],[ORIGEM]]&amp;queryCARRADAS_20250905_83647[[#This Row],[DESTINO]]&amp;queryCARRADAS_20250905_83647[[#This Row],[MATERIAL]]</f>
        <v>GRANORTEEXPOEMABICA CORRIDA</v>
      </c>
      <c r="O422" s="68" t="s">
        <v>164</v>
      </c>
    </row>
    <row r="423" spans="2:15" x14ac:dyDescent="0.25">
      <c r="B423" s="66">
        <v>45889</v>
      </c>
      <c r="C423" s="65">
        <v>1</v>
      </c>
      <c r="D423" s="63" t="s">
        <v>167</v>
      </c>
      <c r="E423" s="65" t="s">
        <v>168</v>
      </c>
      <c r="F423" s="65" t="s">
        <v>166</v>
      </c>
      <c r="G423" s="65" t="s">
        <v>218</v>
      </c>
      <c r="H423" s="63">
        <v>71</v>
      </c>
      <c r="I423" s="65" t="s">
        <v>172</v>
      </c>
      <c r="J423" s="63">
        <v>277</v>
      </c>
      <c r="K423" s="64">
        <v>727.68</v>
      </c>
      <c r="L423" s="63" t="s">
        <v>1406</v>
      </c>
      <c r="M423" t="s">
        <v>1117</v>
      </c>
      <c r="N423" s="65" t="str">
        <f>queryCARRADAS_20250905_83647[[#This Row],[ORIGEM]]&amp;queryCARRADAS_20250905_83647[[#This Row],[DESTINO]]&amp;queryCARRADAS_20250905_83647[[#This Row],[MATERIAL]]</f>
        <v>GRANORTEEXPOEMABICA CORRIDA</v>
      </c>
      <c r="O423" s="68" t="s">
        <v>164</v>
      </c>
    </row>
    <row r="424" spans="2:15" x14ac:dyDescent="0.25">
      <c r="B424" s="66">
        <v>45889</v>
      </c>
      <c r="C424" s="65">
        <v>1</v>
      </c>
      <c r="D424" s="63" t="s">
        <v>170</v>
      </c>
      <c r="E424" s="65" t="s">
        <v>171</v>
      </c>
      <c r="F424" s="65" t="s">
        <v>166</v>
      </c>
      <c r="G424" s="65" t="s">
        <v>164</v>
      </c>
      <c r="H424" s="63">
        <v>58</v>
      </c>
      <c r="I424" s="65" t="s">
        <v>172</v>
      </c>
      <c r="J424" s="63">
        <v>2706</v>
      </c>
      <c r="K424" s="64">
        <v>580.71</v>
      </c>
      <c r="L424" s="63" t="s">
        <v>1407</v>
      </c>
      <c r="M424" t="s">
        <v>1117</v>
      </c>
      <c r="N424" s="65" t="str">
        <f>queryCARRADAS_20250905_83647[[#This Row],[ORIGEM]]&amp;queryCARRADAS_20250905_83647[[#This Row],[DESTINO]]&amp;queryCARRADAS_20250905_83647[[#This Row],[MATERIAL]]</f>
        <v>GRANORTEUA SAO LUISBICA CORRIDA</v>
      </c>
      <c r="O424" s="68" t="s">
        <v>164</v>
      </c>
    </row>
    <row r="425" spans="2:15" x14ac:dyDescent="0.25">
      <c r="B425" s="66">
        <v>45889</v>
      </c>
      <c r="C425" s="65">
        <v>1</v>
      </c>
      <c r="D425" s="63" t="s">
        <v>213</v>
      </c>
      <c r="E425" s="65" t="s">
        <v>214</v>
      </c>
      <c r="F425" s="65" t="s">
        <v>166</v>
      </c>
      <c r="G425" s="65" t="s">
        <v>191</v>
      </c>
      <c r="H425" s="63">
        <v>243</v>
      </c>
      <c r="I425" s="65" t="s">
        <v>172</v>
      </c>
      <c r="J425" s="63">
        <v>488</v>
      </c>
      <c r="K425" s="64">
        <v>4387.6099999999997</v>
      </c>
      <c r="L425" s="63" t="s">
        <v>1408</v>
      </c>
      <c r="M425" t="s">
        <v>1117</v>
      </c>
      <c r="N425" s="65" t="str">
        <f>queryCARRADAS_20250905_83647[[#This Row],[ORIGEM]]&amp;queryCARRADAS_20250905_83647[[#This Row],[DESTINO]]&amp;queryCARRADAS_20250905_83647[[#This Row],[MATERIAL]]</f>
        <v>GRANORTEOLINDA NOVA - MABICA CORRIDA</v>
      </c>
      <c r="O425" s="68" t="s">
        <v>164</v>
      </c>
    </row>
    <row r="426" spans="2:15" x14ac:dyDescent="0.25">
      <c r="B426" s="66">
        <v>45889</v>
      </c>
      <c r="C426" s="65">
        <v>1</v>
      </c>
      <c r="D426" s="63" t="s">
        <v>179</v>
      </c>
      <c r="E426" s="65" t="s">
        <v>180</v>
      </c>
      <c r="F426" s="65" t="s">
        <v>163</v>
      </c>
      <c r="G426" s="65" t="s">
        <v>164</v>
      </c>
      <c r="H426" s="63">
        <v>52</v>
      </c>
      <c r="I426" s="65" t="s">
        <v>185</v>
      </c>
      <c r="J426" s="63">
        <v>256</v>
      </c>
      <c r="K426" s="64">
        <v>492.54</v>
      </c>
      <c r="L426" s="63" t="s">
        <v>1409</v>
      </c>
      <c r="M426" t="s">
        <v>1117</v>
      </c>
      <c r="N426" s="65" t="str">
        <f>queryCARRADAS_20250905_83647[[#This Row],[ORIGEM]]&amp;queryCARRADAS_20250905_83647[[#This Row],[DESTINO]]&amp;queryCARRADAS_20250905_83647[[#This Row],[MATERIAL]]</f>
        <v>BRASIL MINERACAOUA SAO LUISRACHÃOZINHO</v>
      </c>
      <c r="O426" s="68" t="s">
        <v>164</v>
      </c>
    </row>
    <row r="427" spans="2:15" x14ac:dyDescent="0.25">
      <c r="B427" s="66">
        <v>45889</v>
      </c>
      <c r="C427" s="65">
        <v>1</v>
      </c>
      <c r="D427" s="63" t="s">
        <v>181</v>
      </c>
      <c r="E427" s="65" t="s">
        <v>182</v>
      </c>
      <c r="F427" s="65" t="s">
        <v>166</v>
      </c>
      <c r="G427" s="65" t="s">
        <v>364</v>
      </c>
      <c r="H427" s="63">
        <v>80</v>
      </c>
      <c r="I427" s="65" t="s">
        <v>216</v>
      </c>
      <c r="J427" s="63">
        <v>259</v>
      </c>
      <c r="K427" s="64">
        <v>766.64</v>
      </c>
      <c r="L427" s="63" t="s">
        <v>1410</v>
      </c>
      <c r="M427" t="s">
        <v>1117</v>
      </c>
      <c r="N427" s="65" t="str">
        <f>queryCARRADAS_20250905_83647[[#This Row],[ORIGEM]]&amp;queryCARRADAS_20250905_83647[[#This Row],[DESTINO]]&amp;queryCARRADAS_20250905_83647[[#This Row],[MATERIAL]]</f>
        <v>GRANORTEARACAGY - SAO LUISBRITA 3</v>
      </c>
      <c r="O427" s="68" t="s">
        <v>164</v>
      </c>
    </row>
    <row r="428" spans="2:15" x14ac:dyDescent="0.25">
      <c r="B428" s="66">
        <v>45889</v>
      </c>
      <c r="C428" s="65">
        <v>1</v>
      </c>
      <c r="D428" s="63" t="s">
        <v>173</v>
      </c>
      <c r="E428" s="65" t="s">
        <v>174</v>
      </c>
      <c r="F428" s="65" t="s">
        <v>166</v>
      </c>
      <c r="G428" s="65" t="s">
        <v>218</v>
      </c>
      <c r="H428" s="63">
        <v>71</v>
      </c>
      <c r="I428" s="65" t="s">
        <v>172</v>
      </c>
      <c r="J428" s="63">
        <v>3504</v>
      </c>
      <c r="K428" s="64">
        <v>920.5</v>
      </c>
      <c r="L428" s="63" t="s">
        <v>1411</v>
      </c>
      <c r="M428" t="s">
        <v>1117</v>
      </c>
      <c r="N428" s="65" t="str">
        <f>queryCARRADAS_20250905_83647[[#This Row],[ORIGEM]]&amp;queryCARRADAS_20250905_83647[[#This Row],[DESTINO]]&amp;queryCARRADAS_20250905_83647[[#This Row],[MATERIAL]]</f>
        <v>GRANORTEEXPOEMABICA CORRIDA</v>
      </c>
      <c r="O428" s="68" t="s">
        <v>161</v>
      </c>
    </row>
    <row r="429" spans="2:15" x14ac:dyDescent="0.25">
      <c r="B429" s="66">
        <v>45889</v>
      </c>
      <c r="C429" s="65">
        <v>1</v>
      </c>
      <c r="D429" s="63" t="s">
        <v>173</v>
      </c>
      <c r="E429" s="65" t="s">
        <v>174</v>
      </c>
      <c r="F429" s="65" t="s">
        <v>166</v>
      </c>
      <c r="G429" s="65" t="s">
        <v>218</v>
      </c>
      <c r="H429" s="63">
        <v>71</v>
      </c>
      <c r="I429" s="65" t="s">
        <v>172</v>
      </c>
      <c r="J429" s="63">
        <v>3036</v>
      </c>
      <c r="K429" s="64">
        <v>797.56</v>
      </c>
      <c r="L429" s="63" t="s">
        <v>1412</v>
      </c>
      <c r="M429" t="s">
        <v>1117</v>
      </c>
      <c r="N429" s="65" t="str">
        <f>queryCARRADAS_20250905_83647[[#This Row],[ORIGEM]]&amp;queryCARRADAS_20250905_83647[[#This Row],[DESTINO]]&amp;queryCARRADAS_20250905_83647[[#This Row],[MATERIAL]]</f>
        <v>GRANORTEEXPOEMABICA CORRIDA</v>
      </c>
      <c r="O429" s="68" t="s">
        <v>164</v>
      </c>
    </row>
    <row r="430" spans="2:15" x14ac:dyDescent="0.25">
      <c r="B430" s="66">
        <v>45889</v>
      </c>
      <c r="C430" s="65">
        <v>1</v>
      </c>
      <c r="D430" s="63" t="s">
        <v>162</v>
      </c>
      <c r="E430" s="65" t="s">
        <v>1134</v>
      </c>
      <c r="F430" s="65" t="s">
        <v>190</v>
      </c>
      <c r="G430" s="65" t="s">
        <v>875</v>
      </c>
      <c r="H430" s="63">
        <v>45</v>
      </c>
      <c r="I430" s="65" t="s">
        <v>172</v>
      </c>
      <c r="J430" s="63">
        <v>5247</v>
      </c>
      <c r="K430" s="64">
        <v>873.63</v>
      </c>
      <c r="L430" s="63" t="s">
        <v>1413</v>
      </c>
      <c r="M430" t="s">
        <v>1117</v>
      </c>
      <c r="N430" s="65" t="str">
        <f>queryCARRADAS_20250905_83647[[#This Row],[ORIGEM]]&amp;queryCARRADAS_20250905_83647[[#This Row],[DESTINO]]&amp;queryCARRADAS_20250905_83647[[#This Row],[MATERIAL]]</f>
        <v>SERVENGUSINA SANTA RITABICA CORRIDA</v>
      </c>
      <c r="O430" s="68" t="s">
        <v>164</v>
      </c>
    </row>
    <row r="431" spans="2:15" x14ac:dyDescent="0.25">
      <c r="B431" s="66">
        <v>45889</v>
      </c>
      <c r="C431" s="65">
        <v>1</v>
      </c>
      <c r="D431" s="63" t="s">
        <v>170</v>
      </c>
      <c r="E431" s="65" t="s">
        <v>171</v>
      </c>
      <c r="F431" s="65" t="s">
        <v>166</v>
      </c>
      <c r="G431" s="65" t="s">
        <v>164</v>
      </c>
      <c r="H431" s="63">
        <v>58</v>
      </c>
      <c r="I431" s="65" t="s">
        <v>172</v>
      </c>
      <c r="J431" s="63">
        <v>2518</v>
      </c>
      <c r="K431" s="64">
        <v>540.36</v>
      </c>
      <c r="L431" s="63" t="s">
        <v>1414</v>
      </c>
      <c r="M431" t="s">
        <v>1117</v>
      </c>
      <c r="N431" s="65" t="str">
        <f>queryCARRADAS_20250905_83647[[#This Row],[ORIGEM]]&amp;queryCARRADAS_20250905_83647[[#This Row],[DESTINO]]&amp;queryCARRADAS_20250905_83647[[#This Row],[MATERIAL]]</f>
        <v>GRANORTEUA SAO LUISBICA CORRIDA</v>
      </c>
      <c r="O431" s="68" t="s">
        <v>164</v>
      </c>
    </row>
    <row r="432" spans="2:15" x14ac:dyDescent="0.25">
      <c r="B432" s="66">
        <v>45889</v>
      </c>
      <c r="C432" s="65">
        <v>1</v>
      </c>
      <c r="D432" s="63" t="s">
        <v>205</v>
      </c>
      <c r="E432" s="65" t="s">
        <v>206</v>
      </c>
      <c r="F432" s="65" t="s">
        <v>276</v>
      </c>
      <c r="G432" s="65" t="s">
        <v>1415</v>
      </c>
      <c r="H432" s="63">
        <v>150</v>
      </c>
      <c r="I432" s="65" t="s">
        <v>279</v>
      </c>
      <c r="J432" s="63">
        <v>635</v>
      </c>
      <c r="K432" s="64">
        <v>3048</v>
      </c>
      <c r="L432" s="63" t="s">
        <v>1416</v>
      </c>
      <c r="M432" t="s">
        <v>1117</v>
      </c>
      <c r="N432" s="65" t="str">
        <f>queryCARRADAS_20250905_83647[[#This Row],[ORIGEM]]&amp;queryCARRADAS_20250905_83647[[#This Row],[DESTINO]]&amp;queryCARRADAS_20250905_83647[[#This Row],[MATERIAL]]</f>
        <v>MINERADORA PORTO FRANCOSENADOR LA ROQUEMATACO</v>
      </c>
      <c r="O432" s="68" t="s">
        <v>164</v>
      </c>
    </row>
    <row r="433" spans="2:15" x14ac:dyDescent="0.25">
      <c r="B433" s="66">
        <v>45889</v>
      </c>
      <c r="C433" s="65">
        <v>1</v>
      </c>
      <c r="D433" s="63" t="s">
        <v>173</v>
      </c>
      <c r="E433" s="65" t="s">
        <v>174</v>
      </c>
      <c r="F433" s="65" t="s">
        <v>166</v>
      </c>
      <c r="G433" s="65" t="s">
        <v>218</v>
      </c>
      <c r="H433" s="63">
        <v>71</v>
      </c>
      <c r="I433" s="65" t="s">
        <v>172</v>
      </c>
      <c r="J433" s="63">
        <v>310</v>
      </c>
      <c r="K433" s="64">
        <v>814.37</v>
      </c>
      <c r="L433" s="63" t="s">
        <v>1417</v>
      </c>
      <c r="M433" t="s">
        <v>1117</v>
      </c>
      <c r="N433" s="65" t="str">
        <f>queryCARRADAS_20250905_83647[[#This Row],[ORIGEM]]&amp;queryCARRADAS_20250905_83647[[#This Row],[DESTINO]]&amp;queryCARRADAS_20250905_83647[[#This Row],[MATERIAL]]</f>
        <v>GRANORTEEXPOEMABICA CORRIDA</v>
      </c>
      <c r="O433" s="68" t="s">
        <v>164</v>
      </c>
    </row>
    <row r="434" spans="2:15" x14ac:dyDescent="0.25">
      <c r="B434" s="66">
        <v>45889</v>
      </c>
      <c r="C434" s="65">
        <v>1</v>
      </c>
      <c r="D434" s="63" t="s">
        <v>170</v>
      </c>
      <c r="E434" s="65" t="s">
        <v>171</v>
      </c>
      <c r="F434" s="65" t="s">
        <v>166</v>
      </c>
      <c r="G434" s="65" t="s">
        <v>164</v>
      </c>
      <c r="H434" s="63">
        <v>58</v>
      </c>
      <c r="I434" s="65" t="s">
        <v>172</v>
      </c>
      <c r="J434" s="63">
        <v>2562</v>
      </c>
      <c r="K434" s="64">
        <v>549.80999999999995</v>
      </c>
      <c r="L434" s="63" t="s">
        <v>1418</v>
      </c>
      <c r="M434" t="s">
        <v>1117</v>
      </c>
      <c r="N434" s="65" t="str">
        <f>queryCARRADAS_20250905_83647[[#This Row],[ORIGEM]]&amp;queryCARRADAS_20250905_83647[[#This Row],[DESTINO]]&amp;queryCARRADAS_20250905_83647[[#This Row],[MATERIAL]]</f>
        <v>GRANORTEUA SAO LUISBICA CORRIDA</v>
      </c>
      <c r="O434" s="68" t="s">
        <v>154</v>
      </c>
    </row>
    <row r="435" spans="2:15" x14ac:dyDescent="0.25">
      <c r="B435" s="66">
        <v>45889</v>
      </c>
      <c r="C435" s="65">
        <v>1</v>
      </c>
      <c r="D435" s="63" t="s">
        <v>1127</v>
      </c>
      <c r="E435" s="65" t="s">
        <v>178</v>
      </c>
      <c r="F435" s="65" t="s">
        <v>163</v>
      </c>
      <c r="G435" s="65" t="s">
        <v>164</v>
      </c>
      <c r="H435" s="63">
        <v>52</v>
      </c>
      <c r="I435" s="65" t="s">
        <v>185</v>
      </c>
      <c r="J435" s="63">
        <v>3458</v>
      </c>
      <c r="K435" s="64">
        <v>665.32</v>
      </c>
      <c r="L435" s="63" t="s">
        <v>1419</v>
      </c>
      <c r="M435" t="s">
        <v>1117</v>
      </c>
      <c r="N435" s="65" t="str">
        <f>queryCARRADAS_20250905_83647[[#This Row],[ORIGEM]]&amp;queryCARRADAS_20250905_83647[[#This Row],[DESTINO]]&amp;queryCARRADAS_20250905_83647[[#This Row],[MATERIAL]]</f>
        <v>BRASIL MINERACAOUA SAO LUISRACHÃOZINHO</v>
      </c>
      <c r="O435" s="68" t="s">
        <v>164</v>
      </c>
    </row>
    <row r="436" spans="2:15" x14ac:dyDescent="0.25">
      <c r="B436" s="66">
        <v>45889</v>
      </c>
      <c r="C436" s="65">
        <v>1</v>
      </c>
      <c r="D436" s="63" t="s">
        <v>1127</v>
      </c>
      <c r="E436" s="65" t="s">
        <v>178</v>
      </c>
      <c r="F436" s="65" t="s">
        <v>163</v>
      </c>
      <c r="G436" s="65" t="s">
        <v>164</v>
      </c>
      <c r="H436" s="63">
        <v>52</v>
      </c>
      <c r="I436" s="65" t="s">
        <v>185</v>
      </c>
      <c r="J436" s="63">
        <v>352</v>
      </c>
      <c r="K436" s="64">
        <v>677.25</v>
      </c>
      <c r="L436" s="63" t="s">
        <v>1420</v>
      </c>
      <c r="M436" t="s">
        <v>1117</v>
      </c>
      <c r="N436" s="65" t="str">
        <f>queryCARRADAS_20250905_83647[[#This Row],[ORIGEM]]&amp;queryCARRADAS_20250905_83647[[#This Row],[DESTINO]]&amp;queryCARRADAS_20250905_83647[[#This Row],[MATERIAL]]</f>
        <v>BRASIL MINERACAOUA SAO LUISRACHÃOZINHO</v>
      </c>
      <c r="O436" s="68" t="s">
        <v>161</v>
      </c>
    </row>
    <row r="437" spans="2:15" x14ac:dyDescent="0.25">
      <c r="B437" s="66">
        <v>45889</v>
      </c>
      <c r="C437" s="65">
        <v>1</v>
      </c>
      <c r="D437" s="63" t="s">
        <v>1127</v>
      </c>
      <c r="E437" s="65" t="s">
        <v>178</v>
      </c>
      <c r="F437" s="65" t="s">
        <v>163</v>
      </c>
      <c r="G437" s="65" t="s">
        <v>164</v>
      </c>
      <c r="H437" s="63">
        <v>52</v>
      </c>
      <c r="I437" s="65" t="s">
        <v>185</v>
      </c>
      <c r="J437" s="63">
        <v>3058</v>
      </c>
      <c r="K437" s="64">
        <v>588.36</v>
      </c>
      <c r="L437" s="63" t="s">
        <v>1421</v>
      </c>
      <c r="M437" t="s">
        <v>1117</v>
      </c>
      <c r="N437" s="65" t="str">
        <f>queryCARRADAS_20250905_83647[[#This Row],[ORIGEM]]&amp;queryCARRADAS_20250905_83647[[#This Row],[DESTINO]]&amp;queryCARRADAS_20250905_83647[[#This Row],[MATERIAL]]</f>
        <v>BRASIL MINERACAOUA SAO LUISRACHÃOZINHO</v>
      </c>
      <c r="O437" s="68" t="s">
        <v>164</v>
      </c>
    </row>
    <row r="438" spans="2:15" x14ac:dyDescent="0.25">
      <c r="B438" s="66">
        <v>45889</v>
      </c>
      <c r="C438" s="65">
        <v>1</v>
      </c>
      <c r="D438" s="63" t="s">
        <v>162</v>
      </c>
      <c r="E438" s="65" t="s">
        <v>1134</v>
      </c>
      <c r="F438" s="65" t="s">
        <v>163</v>
      </c>
      <c r="G438" s="65" t="s">
        <v>164</v>
      </c>
      <c r="H438" s="63">
        <v>52</v>
      </c>
      <c r="I438" s="65" t="s">
        <v>185</v>
      </c>
      <c r="J438" s="63">
        <v>2548</v>
      </c>
      <c r="K438" s="64">
        <v>490.24</v>
      </c>
      <c r="L438" s="63" t="s">
        <v>1422</v>
      </c>
      <c r="M438" t="s">
        <v>1117</v>
      </c>
      <c r="N438" s="65" t="str">
        <f>queryCARRADAS_20250905_83647[[#This Row],[ORIGEM]]&amp;queryCARRADAS_20250905_83647[[#This Row],[DESTINO]]&amp;queryCARRADAS_20250905_83647[[#This Row],[MATERIAL]]</f>
        <v>BRASIL MINERACAOUA SAO LUISRACHÃOZINHO</v>
      </c>
      <c r="O438" s="68" t="s">
        <v>164</v>
      </c>
    </row>
    <row r="439" spans="2:15" x14ac:dyDescent="0.25">
      <c r="B439" s="66">
        <v>45889</v>
      </c>
      <c r="C439" s="65">
        <v>1</v>
      </c>
      <c r="D439" s="63" t="s">
        <v>162</v>
      </c>
      <c r="E439" s="65" t="s">
        <v>1134</v>
      </c>
      <c r="F439" s="65" t="s">
        <v>163</v>
      </c>
      <c r="G439" s="65" t="s">
        <v>164</v>
      </c>
      <c r="H439" s="63">
        <v>52</v>
      </c>
      <c r="I439" s="65" t="s">
        <v>185</v>
      </c>
      <c r="J439" s="63">
        <v>2563</v>
      </c>
      <c r="K439" s="64">
        <v>493.12</v>
      </c>
      <c r="L439" s="63" t="s">
        <v>1423</v>
      </c>
      <c r="M439" t="s">
        <v>1117</v>
      </c>
      <c r="N439" s="65" t="str">
        <f>queryCARRADAS_20250905_83647[[#This Row],[ORIGEM]]&amp;queryCARRADAS_20250905_83647[[#This Row],[DESTINO]]&amp;queryCARRADAS_20250905_83647[[#This Row],[MATERIAL]]</f>
        <v>BRASIL MINERACAOUA SAO LUISRACHÃOZINHO</v>
      </c>
      <c r="O439" s="68" t="s">
        <v>164</v>
      </c>
    </row>
    <row r="440" spans="2:15" x14ac:dyDescent="0.25">
      <c r="B440" s="66">
        <v>45889</v>
      </c>
      <c r="C440" s="65">
        <v>1</v>
      </c>
      <c r="D440" s="63" t="s">
        <v>208</v>
      </c>
      <c r="E440" s="65" t="s">
        <v>209</v>
      </c>
      <c r="F440" s="65" t="s">
        <v>163</v>
      </c>
      <c r="G440" s="65" t="s">
        <v>164</v>
      </c>
      <c r="H440" s="63">
        <v>52</v>
      </c>
      <c r="I440" s="65" t="s">
        <v>175</v>
      </c>
      <c r="J440" s="63">
        <v>460</v>
      </c>
      <c r="K440" s="64">
        <v>885.04</v>
      </c>
      <c r="L440" s="63" t="s">
        <v>1424</v>
      </c>
      <c r="M440" t="s">
        <v>1117</v>
      </c>
      <c r="N440" s="65" t="str">
        <f>queryCARRADAS_20250905_83647[[#This Row],[ORIGEM]]&amp;queryCARRADAS_20250905_83647[[#This Row],[DESTINO]]&amp;queryCARRADAS_20250905_83647[[#This Row],[MATERIAL]]</f>
        <v>BRASIL MINERACAOUA SAO LUISBRITA 0</v>
      </c>
      <c r="O440" s="68" t="s">
        <v>111</v>
      </c>
    </row>
    <row r="441" spans="2:15" x14ac:dyDescent="0.25">
      <c r="B441" s="66">
        <v>45889</v>
      </c>
      <c r="C441" s="65">
        <v>1</v>
      </c>
      <c r="D441" s="63" t="s">
        <v>173</v>
      </c>
      <c r="E441" s="65" t="s">
        <v>174</v>
      </c>
      <c r="F441" s="65" t="s">
        <v>166</v>
      </c>
      <c r="G441" s="65" t="s">
        <v>218</v>
      </c>
      <c r="H441" s="63">
        <v>71</v>
      </c>
      <c r="I441" s="65" t="s">
        <v>172</v>
      </c>
      <c r="J441" s="63">
        <v>2974</v>
      </c>
      <c r="K441" s="64">
        <v>781.27</v>
      </c>
      <c r="L441" s="63" t="s">
        <v>1425</v>
      </c>
      <c r="M441" t="s">
        <v>1117</v>
      </c>
      <c r="N441" s="65" t="str">
        <f>queryCARRADAS_20250905_83647[[#This Row],[ORIGEM]]&amp;queryCARRADAS_20250905_83647[[#This Row],[DESTINO]]&amp;queryCARRADAS_20250905_83647[[#This Row],[MATERIAL]]</f>
        <v>GRANORTEEXPOEMABICA CORRIDA</v>
      </c>
      <c r="O441" s="68" t="s">
        <v>164</v>
      </c>
    </row>
    <row r="442" spans="2:15" x14ac:dyDescent="0.25">
      <c r="B442" s="66">
        <v>45889</v>
      </c>
      <c r="C442" s="65">
        <v>1</v>
      </c>
      <c r="D442" s="63" t="s">
        <v>162</v>
      </c>
      <c r="E442" s="65" t="s">
        <v>1134</v>
      </c>
      <c r="F442" s="65" t="s">
        <v>163</v>
      </c>
      <c r="G442" s="65" t="s">
        <v>164</v>
      </c>
      <c r="H442" s="63">
        <v>52</v>
      </c>
      <c r="I442" s="65" t="s">
        <v>185</v>
      </c>
      <c r="J442" s="63">
        <v>2615</v>
      </c>
      <c r="K442" s="64">
        <v>503.13</v>
      </c>
      <c r="L442" s="63" t="s">
        <v>1426</v>
      </c>
      <c r="M442" t="s">
        <v>1117</v>
      </c>
      <c r="N442" s="65" t="str">
        <f>queryCARRADAS_20250905_83647[[#This Row],[ORIGEM]]&amp;queryCARRADAS_20250905_83647[[#This Row],[DESTINO]]&amp;queryCARRADAS_20250905_83647[[#This Row],[MATERIAL]]</f>
        <v>BRASIL MINERACAOUA SAO LUISRACHÃOZINHO</v>
      </c>
      <c r="O442" s="68" t="s">
        <v>164</v>
      </c>
    </row>
    <row r="443" spans="2:15" x14ac:dyDescent="0.25">
      <c r="B443" s="66">
        <v>45889</v>
      </c>
      <c r="C443" s="65">
        <v>1</v>
      </c>
      <c r="D443" s="63" t="s">
        <v>176</v>
      </c>
      <c r="E443" s="65" t="s">
        <v>177</v>
      </c>
      <c r="F443" s="65" t="s">
        <v>163</v>
      </c>
      <c r="G443" s="65" t="s">
        <v>164</v>
      </c>
      <c r="H443" s="63">
        <v>52</v>
      </c>
      <c r="I443" s="65" t="s">
        <v>165</v>
      </c>
      <c r="J443" s="63">
        <v>4574</v>
      </c>
      <c r="K443" s="64">
        <v>880.04</v>
      </c>
      <c r="L443" s="63" t="s">
        <v>1427</v>
      </c>
      <c r="M443" t="s">
        <v>1117</v>
      </c>
      <c r="N443" s="65" t="str">
        <f>queryCARRADAS_20250905_83647[[#This Row],[ORIGEM]]&amp;queryCARRADAS_20250905_83647[[#This Row],[DESTINO]]&amp;queryCARRADAS_20250905_83647[[#This Row],[MATERIAL]]</f>
        <v>BRASIL MINERACAOUA SAO LUISPÓ DE BRITA</v>
      </c>
      <c r="O443" s="68" t="s">
        <v>111</v>
      </c>
    </row>
    <row r="444" spans="2:15" x14ac:dyDescent="0.25">
      <c r="B444" s="66">
        <v>45889</v>
      </c>
      <c r="C444" s="65">
        <v>1</v>
      </c>
      <c r="D444" s="63" t="s">
        <v>183</v>
      </c>
      <c r="E444" s="65" t="s">
        <v>184</v>
      </c>
      <c r="F444" s="65" t="s">
        <v>166</v>
      </c>
      <c r="G444" s="65" t="s">
        <v>164</v>
      </c>
      <c r="H444" s="63">
        <v>58</v>
      </c>
      <c r="I444" s="65" t="s">
        <v>172</v>
      </c>
      <c r="J444" s="63">
        <v>2772</v>
      </c>
      <c r="K444" s="64">
        <v>594.87</v>
      </c>
      <c r="L444" s="63" t="s">
        <v>1428</v>
      </c>
      <c r="M444" t="s">
        <v>1117</v>
      </c>
      <c r="N444" s="65" t="str">
        <f>queryCARRADAS_20250905_83647[[#This Row],[ORIGEM]]&amp;queryCARRADAS_20250905_83647[[#This Row],[DESTINO]]&amp;queryCARRADAS_20250905_83647[[#This Row],[MATERIAL]]</f>
        <v>GRANORTEUA SAO LUISBICA CORRIDA</v>
      </c>
      <c r="O444" s="68" t="s">
        <v>154</v>
      </c>
    </row>
    <row r="445" spans="2:15" x14ac:dyDescent="0.25">
      <c r="B445" s="66">
        <v>45889</v>
      </c>
      <c r="C445" s="65">
        <v>1</v>
      </c>
      <c r="D445" s="63" t="s">
        <v>183</v>
      </c>
      <c r="E445" s="65" t="s">
        <v>184</v>
      </c>
      <c r="F445" s="65" t="s">
        <v>163</v>
      </c>
      <c r="G445" s="65" t="s">
        <v>164</v>
      </c>
      <c r="H445" s="63">
        <v>52</v>
      </c>
      <c r="I445" s="65" t="s">
        <v>165</v>
      </c>
      <c r="J445" s="63">
        <v>3009</v>
      </c>
      <c r="K445" s="64">
        <v>578.92999999999995</v>
      </c>
      <c r="L445" s="63" t="s">
        <v>1429</v>
      </c>
      <c r="M445" t="s">
        <v>1117</v>
      </c>
      <c r="N445" s="65" t="str">
        <f>queryCARRADAS_20250905_83647[[#This Row],[ORIGEM]]&amp;queryCARRADAS_20250905_83647[[#This Row],[DESTINO]]&amp;queryCARRADAS_20250905_83647[[#This Row],[MATERIAL]]</f>
        <v>BRASIL MINERACAOUA SAO LUISPÓ DE BRITA</v>
      </c>
      <c r="O445" s="68" t="s">
        <v>164</v>
      </c>
    </row>
    <row r="446" spans="2:15" x14ac:dyDescent="0.25">
      <c r="B446" s="66">
        <v>45889</v>
      </c>
      <c r="C446" s="65">
        <v>1</v>
      </c>
      <c r="D446" s="63" t="s">
        <v>183</v>
      </c>
      <c r="E446" s="65" t="s">
        <v>184</v>
      </c>
      <c r="F446" s="65" t="s">
        <v>166</v>
      </c>
      <c r="G446" s="65" t="s">
        <v>164</v>
      </c>
      <c r="H446" s="63">
        <v>58</v>
      </c>
      <c r="I446" s="65" t="s">
        <v>172</v>
      </c>
      <c r="J446" s="63">
        <v>2758</v>
      </c>
      <c r="K446" s="64">
        <v>591.87</v>
      </c>
      <c r="L446" s="63" t="s">
        <v>1430</v>
      </c>
      <c r="M446" t="s">
        <v>1117</v>
      </c>
      <c r="N446" s="65" t="str">
        <f>queryCARRADAS_20250905_83647[[#This Row],[ORIGEM]]&amp;queryCARRADAS_20250905_83647[[#This Row],[DESTINO]]&amp;queryCARRADAS_20250905_83647[[#This Row],[MATERIAL]]</f>
        <v>GRANORTEUA SAO LUISBICA CORRIDA</v>
      </c>
      <c r="O446" s="68" t="s">
        <v>164</v>
      </c>
    </row>
    <row r="447" spans="2:15" x14ac:dyDescent="0.25">
      <c r="B447" s="66">
        <v>45889</v>
      </c>
      <c r="C447" s="65">
        <v>1</v>
      </c>
      <c r="D447" s="63" t="s">
        <v>193</v>
      </c>
      <c r="E447" s="65" t="s">
        <v>194</v>
      </c>
      <c r="F447" s="65" t="s">
        <v>163</v>
      </c>
      <c r="G447" s="65" t="s">
        <v>164</v>
      </c>
      <c r="H447" s="63">
        <v>52</v>
      </c>
      <c r="I447" s="65" t="s">
        <v>185</v>
      </c>
      <c r="J447" s="63">
        <v>3027</v>
      </c>
      <c r="K447" s="64">
        <v>582.39</v>
      </c>
      <c r="L447" s="63" t="s">
        <v>1431</v>
      </c>
      <c r="M447" t="s">
        <v>1117</v>
      </c>
      <c r="N447" s="65" t="str">
        <f>queryCARRADAS_20250905_83647[[#This Row],[ORIGEM]]&amp;queryCARRADAS_20250905_83647[[#This Row],[DESTINO]]&amp;queryCARRADAS_20250905_83647[[#This Row],[MATERIAL]]</f>
        <v>BRASIL MINERACAOUA SAO LUISRACHÃOZINHO</v>
      </c>
      <c r="O447" s="68" t="s">
        <v>164</v>
      </c>
    </row>
    <row r="448" spans="2:15" x14ac:dyDescent="0.25">
      <c r="B448" s="66">
        <v>45889</v>
      </c>
      <c r="C448" s="65">
        <v>1</v>
      </c>
      <c r="D448" s="63" t="s">
        <v>193</v>
      </c>
      <c r="E448" s="65" t="s">
        <v>194</v>
      </c>
      <c r="F448" s="65" t="s">
        <v>163</v>
      </c>
      <c r="G448" s="65" t="s">
        <v>164</v>
      </c>
      <c r="H448" s="63">
        <v>52</v>
      </c>
      <c r="I448" s="65" t="s">
        <v>165</v>
      </c>
      <c r="J448" s="63">
        <v>2874</v>
      </c>
      <c r="K448" s="64">
        <v>552.96</v>
      </c>
      <c r="L448" s="63" t="s">
        <v>1432</v>
      </c>
      <c r="M448" t="s">
        <v>1117</v>
      </c>
      <c r="N448" s="65" t="str">
        <f>queryCARRADAS_20250905_83647[[#This Row],[ORIGEM]]&amp;queryCARRADAS_20250905_83647[[#This Row],[DESTINO]]&amp;queryCARRADAS_20250905_83647[[#This Row],[MATERIAL]]</f>
        <v>BRASIL MINERACAOUA SAO LUISPÓ DE BRITA</v>
      </c>
      <c r="O448" s="68" t="s">
        <v>164</v>
      </c>
    </row>
    <row r="449" spans="2:15" x14ac:dyDescent="0.25">
      <c r="B449" s="66">
        <v>45889</v>
      </c>
      <c r="C449" s="65">
        <v>1</v>
      </c>
      <c r="D449" s="63" t="s">
        <v>193</v>
      </c>
      <c r="E449" s="65" t="s">
        <v>194</v>
      </c>
      <c r="F449" s="65" t="s">
        <v>163</v>
      </c>
      <c r="G449" s="65" t="s">
        <v>164</v>
      </c>
      <c r="H449" s="63">
        <v>52</v>
      </c>
      <c r="I449" s="65" t="s">
        <v>185</v>
      </c>
      <c r="J449" s="63">
        <v>2811</v>
      </c>
      <c r="K449" s="64">
        <v>540.84</v>
      </c>
      <c r="L449" s="63" t="s">
        <v>1433</v>
      </c>
      <c r="M449" t="s">
        <v>1117</v>
      </c>
      <c r="N449" s="65" t="str">
        <f>queryCARRADAS_20250905_83647[[#This Row],[ORIGEM]]&amp;queryCARRADAS_20250905_83647[[#This Row],[DESTINO]]&amp;queryCARRADAS_20250905_83647[[#This Row],[MATERIAL]]</f>
        <v>BRASIL MINERACAOUA SAO LUISRACHÃOZINHO</v>
      </c>
      <c r="O449" s="68" t="s">
        <v>164</v>
      </c>
    </row>
    <row r="450" spans="2:15" x14ac:dyDescent="0.25">
      <c r="B450" s="66">
        <v>45889</v>
      </c>
      <c r="C450" s="65">
        <v>1</v>
      </c>
      <c r="D450" s="63" t="s">
        <v>193</v>
      </c>
      <c r="E450" s="65" t="s">
        <v>194</v>
      </c>
      <c r="F450" s="65" t="s">
        <v>163</v>
      </c>
      <c r="G450" s="65" t="s">
        <v>164</v>
      </c>
      <c r="H450" s="63">
        <v>52</v>
      </c>
      <c r="I450" s="65" t="s">
        <v>165</v>
      </c>
      <c r="J450" s="63">
        <v>2852</v>
      </c>
      <c r="K450" s="64">
        <v>548.72</v>
      </c>
      <c r="L450" s="63" t="s">
        <v>1434</v>
      </c>
      <c r="M450" t="s">
        <v>1117</v>
      </c>
      <c r="N450" s="65" t="str">
        <f>queryCARRADAS_20250905_83647[[#This Row],[ORIGEM]]&amp;queryCARRADAS_20250905_83647[[#This Row],[DESTINO]]&amp;queryCARRADAS_20250905_83647[[#This Row],[MATERIAL]]</f>
        <v>BRASIL MINERACAOUA SAO LUISPÓ DE BRITA</v>
      </c>
      <c r="O450" s="68" t="s">
        <v>164</v>
      </c>
    </row>
    <row r="451" spans="2:15" x14ac:dyDescent="0.25">
      <c r="B451" s="66">
        <v>45889</v>
      </c>
      <c r="C451" s="65">
        <v>1</v>
      </c>
      <c r="D451" s="63" t="s">
        <v>188</v>
      </c>
      <c r="E451" s="65" t="s">
        <v>189</v>
      </c>
      <c r="F451" s="65" t="s">
        <v>166</v>
      </c>
      <c r="G451" s="65" t="s">
        <v>191</v>
      </c>
      <c r="H451" s="63">
        <v>243</v>
      </c>
      <c r="I451" s="65" t="s">
        <v>221</v>
      </c>
      <c r="J451" s="63">
        <v>4908</v>
      </c>
      <c r="K451" s="64">
        <v>4412.78</v>
      </c>
      <c r="L451" s="63" t="s">
        <v>1435</v>
      </c>
      <c r="M451" t="s">
        <v>1117</v>
      </c>
      <c r="N451" s="65" t="str">
        <f>queryCARRADAS_20250905_83647[[#This Row],[ORIGEM]]&amp;queryCARRADAS_20250905_83647[[#This Row],[DESTINO]]&amp;queryCARRADAS_20250905_83647[[#This Row],[MATERIAL]]</f>
        <v>GRANORTEOLINDA NOVA - MABGS</v>
      </c>
      <c r="O451" s="68" t="s">
        <v>164</v>
      </c>
    </row>
    <row r="452" spans="2:15" x14ac:dyDescent="0.25">
      <c r="B452" s="66">
        <v>45889</v>
      </c>
      <c r="C452" s="65">
        <v>1</v>
      </c>
      <c r="D452" s="63" t="s">
        <v>219</v>
      </c>
      <c r="E452" s="65" t="s">
        <v>220</v>
      </c>
      <c r="F452" s="65" t="s">
        <v>190</v>
      </c>
      <c r="G452" s="65" t="s">
        <v>212</v>
      </c>
      <c r="H452" s="63">
        <v>376</v>
      </c>
      <c r="I452" s="65" t="s">
        <v>165</v>
      </c>
      <c r="J452" s="63">
        <v>387</v>
      </c>
      <c r="K452" s="64">
        <v>4656.38</v>
      </c>
      <c r="L452" s="63" t="s">
        <v>1436</v>
      </c>
      <c r="M452" t="s">
        <v>1117</v>
      </c>
      <c r="N452" s="65" t="str">
        <f>queryCARRADAS_20250905_83647[[#This Row],[ORIGEM]]&amp;queryCARRADAS_20250905_83647[[#This Row],[DESTINO]]&amp;queryCARRADAS_20250905_83647[[#This Row],[MATERIAL]]</f>
        <v>SERVENGUSINA PINHEIROPÓ DE BRITA</v>
      </c>
      <c r="O452" s="68" t="s">
        <v>164</v>
      </c>
    </row>
    <row r="453" spans="2:15" x14ac:dyDescent="0.25">
      <c r="B453" s="66">
        <v>45889</v>
      </c>
      <c r="C453" s="65">
        <v>1</v>
      </c>
      <c r="D453" s="63" t="s">
        <v>179</v>
      </c>
      <c r="E453" s="65" t="s">
        <v>180</v>
      </c>
      <c r="F453" s="65" t="s">
        <v>163</v>
      </c>
      <c r="G453" s="65" t="s">
        <v>164</v>
      </c>
      <c r="H453" s="63">
        <v>52</v>
      </c>
      <c r="I453" s="65" t="s">
        <v>185</v>
      </c>
      <c r="J453" s="63">
        <v>262</v>
      </c>
      <c r="K453" s="64">
        <v>504.09</v>
      </c>
      <c r="L453" s="63" t="s">
        <v>1437</v>
      </c>
      <c r="M453" t="s">
        <v>1117</v>
      </c>
      <c r="N453" s="65" t="str">
        <f>queryCARRADAS_20250905_83647[[#This Row],[ORIGEM]]&amp;queryCARRADAS_20250905_83647[[#This Row],[DESTINO]]&amp;queryCARRADAS_20250905_83647[[#This Row],[MATERIAL]]</f>
        <v>BRASIL MINERACAOUA SAO LUISRACHÃOZINHO</v>
      </c>
      <c r="O453" s="68" t="s">
        <v>111</v>
      </c>
    </row>
    <row r="454" spans="2:15" x14ac:dyDescent="0.25">
      <c r="B454" s="66">
        <v>45889</v>
      </c>
      <c r="C454" s="65">
        <v>1</v>
      </c>
      <c r="D454" s="63" t="s">
        <v>179</v>
      </c>
      <c r="E454" s="65" t="s">
        <v>180</v>
      </c>
      <c r="F454" s="65" t="s">
        <v>163</v>
      </c>
      <c r="G454" s="65" t="s">
        <v>164</v>
      </c>
      <c r="H454" s="63">
        <v>52</v>
      </c>
      <c r="I454" s="65" t="s">
        <v>185</v>
      </c>
      <c r="J454" s="63">
        <v>266</v>
      </c>
      <c r="K454" s="64">
        <v>511.78</v>
      </c>
      <c r="L454" s="63" t="s">
        <v>1438</v>
      </c>
      <c r="M454" t="s">
        <v>1117</v>
      </c>
      <c r="N454" s="65" t="str">
        <f>queryCARRADAS_20250905_83647[[#This Row],[ORIGEM]]&amp;queryCARRADAS_20250905_83647[[#This Row],[DESTINO]]&amp;queryCARRADAS_20250905_83647[[#This Row],[MATERIAL]]</f>
        <v>BRASIL MINERACAOUA SAO LUISRACHÃOZINHO</v>
      </c>
      <c r="O454" s="68" t="s">
        <v>164</v>
      </c>
    </row>
    <row r="455" spans="2:15" x14ac:dyDescent="0.25">
      <c r="B455" s="66">
        <v>45889</v>
      </c>
      <c r="C455" s="65">
        <v>1</v>
      </c>
      <c r="D455" s="63" t="s">
        <v>219</v>
      </c>
      <c r="E455" s="65" t="s">
        <v>220</v>
      </c>
      <c r="F455" s="65" t="s">
        <v>166</v>
      </c>
      <c r="G455" s="65" t="s">
        <v>191</v>
      </c>
      <c r="H455" s="63">
        <v>243</v>
      </c>
      <c r="I455" s="65" t="s">
        <v>165</v>
      </c>
      <c r="J455" s="63">
        <v>690</v>
      </c>
      <c r="K455" s="64">
        <v>5365.44</v>
      </c>
      <c r="L455" s="63" t="s">
        <v>1439</v>
      </c>
      <c r="M455" t="s">
        <v>1440</v>
      </c>
      <c r="N455" s="65" t="str">
        <f>queryCARRADAS_20250905_83647[[#This Row],[ORIGEM]]&amp;queryCARRADAS_20250905_83647[[#This Row],[DESTINO]]&amp;queryCARRADAS_20250905_83647[[#This Row],[MATERIAL]]</f>
        <v>GRANORTEOLINDA NOVA - MAPÓ DE BRITA</v>
      </c>
      <c r="O455" s="68" t="s">
        <v>164</v>
      </c>
    </row>
    <row r="456" spans="2:15" x14ac:dyDescent="0.25">
      <c r="B456" s="66">
        <v>45890</v>
      </c>
      <c r="C456" s="65">
        <v>1</v>
      </c>
      <c r="D456" s="63" t="s">
        <v>181</v>
      </c>
      <c r="E456" s="65" t="s">
        <v>182</v>
      </c>
      <c r="F456" s="65" t="s">
        <v>166</v>
      </c>
      <c r="G456" s="65" t="s">
        <v>218</v>
      </c>
      <c r="H456" s="63">
        <v>71</v>
      </c>
      <c r="I456" s="65" t="s">
        <v>172</v>
      </c>
      <c r="J456" s="63">
        <v>2672</v>
      </c>
      <c r="K456" s="64">
        <v>701.93</v>
      </c>
      <c r="L456" s="63" t="s">
        <v>1370</v>
      </c>
      <c r="M456" t="s">
        <v>1117</v>
      </c>
      <c r="N456" s="65" t="str">
        <f>queryCARRADAS_20250905_83647[[#This Row],[ORIGEM]]&amp;queryCARRADAS_20250905_83647[[#This Row],[DESTINO]]&amp;queryCARRADAS_20250905_83647[[#This Row],[MATERIAL]]</f>
        <v>GRANORTEEXPOEMABICA CORRIDA</v>
      </c>
      <c r="O456" s="68" t="s">
        <v>164</v>
      </c>
    </row>
    <row r="457" spans="2:15" x14ac:dyDescent="0.25">
      <c r="B457" s="66">
        <v>45890</v>
      </c>
      <c r="C457" s="65">
        <v>1</v>
      </c>
      <c r="D457" s="63" t="s">
        <v>167</v>
      </c>
      <c r="E457" s="65" t="s">
        <v>168</v>
      </c>
      <c r="F457" s="65" t="s">
        <v>166</v>
      </c>
      <c r="G457" s="65" t="s">
        <v>218</v>
      </c>
      <c r="H457" s="63">
        <v>71</v>
      </c>
      <c r="I457" s="65" t="s">
        <v>172</v>
      </c>
      <c r="J457" s="63">
        <v>2748</v>
      </c>
      <c r="K457" s="64">
        <v>721.9</v>
      </c>
      <c r="L457" s="63" t="s">
        <v>1371</v>
      </c>
      <c r="M457" t="s">
        <v>1117</v>
      </c>
      <c r="N457" s="65" t="str">
        <f>queryCARRADAS_20250905_83647[[#This Row],[ORIGEM]]&amp;queryCARRADAS_20250905_83647[[#This Row],[DESTINO]]&amp;queryCARRADAS_20250905_83647[[#This Row],[MATERIAL]]</f>
        <v>GRANORTEEXPOEMABICA CORRIDA</v>
      </c>
      <c r="O457" s="68" t="s">
        <v>164</v>
      </c>
    </row>
    <row r="458" spans="2:15" x14ac:dyDescent="0.25">
      <c r="B458" s="66">
        <v>45890</v>
      </c>
      <c r="C458" s="65">
        <v>1</v>
      </c>
      <c r="D458" s="63" t="s">
        <v>167</v>
      </c>
      <c r="E458" s="65" t="s">
        <v>168</v>
      </c>
      <c r="F458" s="65" t="s">
        <v>166</v>
      </c>
      <c r="G458" s="65" t="s">
        <v>218</v>
      </c>
      <c r="H458" s="63">
        <v>71</v>
      </c>
      <c r="I458" s="65" t="s">
        <v>172</v>
      </c>
      <c r="J458" s="63">
        <v>2726</v>
      </c>
      <c r="K458" s="64">
        <v>716.12</v>
      </c>
      <c r="L458" s="63" t="s">
        <v>1372</v>
      </c>
      <c r="M458" t="s">
        <v>1117</v>
      </c>
      <c r="N458" s="65" t="str">
        <f>queryCARRADAS_20250905_83647[[#This Row],[ORIGEM]]&amp;queryCARRADAS_20250905_83647[[#This Row],[DESTINO]]&amp;queryCARRADAS_20250905_83647[[#This Row],[MATERIAL]]</f>
        <v>GRANORTEEXPOEMABICA CORRIDA</v>
      </c>
      <c r="O458" s="68" t="s">
        <v>164</v>
      </c>
    </row>
    <row r="459" spans="2:15" x14ac:dyDescent="0.25">
      <c r="B459" s="66">
        <v>45890</v>
      </c>
      <c r="C459" s="65">
        <v>1</v>
      </c>
      <c r="D459" s="63" t="s">
        <v>170</v>
      </c>
      <c r="E459" s="65" t="s">
        <v>171</v>
      </c>
      <c r="F459" s="65" t="s">
        <v>166</v>
      </c>
      <c r="G459" s="65" t="s">
        <v>164</v>
      </c>
      <c r="H459" s="63">
        <v>58</v>
      </c>
      <c r="I459" s="65" t="s">
        <v>165</v>
      </c>
      <c r="J459" s="63">
        <v>2586</v>
      </c>
      <c r="K459" s="64">
        <v>554.96</v>
      </c>
      <c r="L459" s="63" t="s">
        <v>1373</v>
      </c>
      <c r="M459" t="s">
        <v>1117</v>
      </c>
      <c r="N459" s="65" t="str">
        <f>queryCARRADAS_20250905_83647[[#This Row],[ORIGEM]]&amp;queryCARRADAS_20250905_83647[[#This Row],[DESTINO]]&amp;queryCARRADAS_20250905_83647[[#This Row],[MATERIAL]]</f>
        <v>GRANORTEUA SAO LUISPÓ DE BRITA</v>
      </c>
      <c r="O459" s="68" t="s">
        <v>164</v>
      </c>
    </row>
    <row r="460" spans="2:15" x14ac:dyDescent="0.25">
      <c r="B460" s="66">
        <v>45890</v>
      </c>
      <c r="C460" s="65">
        <v>1</v>
      </c>
      <c r="D460" s="63" t="s">
        <v>181</v>
      </c>
      <c r="E460" s="65" t="s">
        <v>182</v>
      </c>
      <c r="F460" s="65" t="s">
        <v>166</v>
      </c>
      <c r="G460" s="65" t="s">
        <v>218</v>
      </c>
      <c r="H460" s="63">
        <v>71</v>
      </c>
      <c r="I460" s="65" t="s">
        <v>172</v>
      </c>
      <c r="J460" s="63">
        <v>266</v>
      </c>
      <c r="K460" s="64">
        <v>698.78</v>
      </c>
      <c r="L460" s="63" t="s">
        <v>1374</v>
      </c>
      <c r="M460" t="s">
        <v>1117</v>
      </c>
      <c r="N460" s="65" t="str">
        <f>queryCARRADAS_20250905_83647[[#This Row],[ORIGEM]]&amp;queryCARRADAS_20250905_83647[[#This Row],[DESTINO]]&amp;queryCARRADAS_20250905_83647[[#This Row],[MATERIAL]]</f>
        <v>GRANORTEEXPOEMABICA CORRIDA</v>
      </c>
      <c r="O460" s="68" t="s">
        <v>164</v>
      </c>
    </row>
    <row r="461" spans="2:15" x14ac:dyDescent="0.25">
      <c r="B461" s="66">
        <v>45890</v>
      </c>
      <c r="C461" s="65">
        <v>1</v>
      </c>
      <c r="D461" s="63" t="s">
        <v>213</v>
      </c>
      <c r="E461" s="65" t="s">
        <v>214</v>
      </c>
      <c r="F461" s="65" t="s">
        <v>166</v>
      </c>
      <c r="G461" s="65" t="s">
        <v>191</v>
      </c>
      <c r="H461" s="63">
        <v>243</v>
      </c>
      <c r="I461" s="65" t="s">
        <v>165</v>
      </c>
      <c r="J461" s="63">
        <v>498</v>
      </c>
      <c r="K461" s="64">
        <v>4477.5200000000004</v>
      </c>
      <c r="L461" s="63" t="s">
        <v>1375</v>
      </c>
      <c r="M461" t="s">
        <v>1117</v>
      </c>
      <c r="N461" s="65" t="str">
        <f>queryCARRADAS_20250905_83647[[#This Row],[ORIGEM]]&amp;queryCARRADAS_20250905_83647[[#This Row],[DESTINO]]&amp;queryCARRADAS_20250905_83647[[#This Row],[MATERIAL]]</f>
        <v>GRANORTEOLINDA NOVA - MAPÓ DE BRITA</v>
      </c>
      <c r="O461" s="68" t="s">
        <v>164</v>
      </c>
    </row>
    <row r="462" spans="2:15" x14ac:dyDescent="0.25">
      <c r="B462" s="66">
        <v>45890</v>
      </c>
      <c r="C462" s="65">
        <v>1</v>
      </c>
      <c r="D462" s="63" t="s">
        <v>173</v>
      </c>
      <c r="E462" s="65" t="s">
        <v>174</v>
      </c>
      <c r="F462" s="65" t="s">
        <v>166</v>
      </c>
      <c r="G462" s="65" t="s">
        <v>218</v>
      </c>
      <c r="H462" s="63">
        <v>71</v>
      </c>
      <c r="I462" s="65" t="s">
        <v>172</v>
      </c>
      <c r="J462" s="63">
        <v>3544</v>
      </c>
      <c r="K462" s="64">
        <v>931.01</v>
      </c>
      <c r="L462" s="63" t="s">
        <v>1376</v>
      </c>
      <c r="M462" t="s">
        <v>1117</v>
      </c>
      <c r="N462" s="65" t="str">
        <f>queryCARRADAS_20250905_83647[[#This Row],[ORIGEM]]&amp;queryCARRADAS_20250905_83647[[#This Row],[DESTINO]]&amp;queryCARRADAS_20250905_83647[[#This Row],[MATERIAL]]</f>
        <v>GRANORTEEXPOEMABICA CORRIDA</v>
      </c>
      <c r="O462" s="68" t="s">
        <v>164</v>
      </c>
    </row>
    <row r="463" spans="2:15" x14ac:dyDescent="0.25">
      <c r="B463" s="66">
        <v>45890</v>
      </c>
      <c r="C463" s="65">
        <v>1</v>
      </c>
      <c r="D463" s="63" t="s">
        <v>162</v>
      </c>
      <c r="E463" s="65" t="s">
        <v>1134</v>
      </c>
      <c r="F463" s="65" t="s">
        <v>163</v>
      </c>
      <c r="G463" s="65" t="s">
        <v>164</v>
      </c>
      <c r="H463" s="63">
        <v>52</v>
      </c>
      <c r="I463" s="65" t="s">
        <v>185</v>
      </c>
      <c r="J463" s="63">
        <v>2458</v>
      </c>
      <c r="K463" s="64">
        <v>472.92</v>
      </c>
      <c r="L463" s="63" t="s">
        <v>1377</v>
      </c>
      <c r="M463" t="s">
        <v>1117</v>
      </c>
      <c r="N463" s="65" t="str">
        <f>queryCARRADAS_20250905_83647[[#This Row],[ORIGEM]]&amp;queryCARRADAS_20250905_83647[[#This Row],[DESTINO]]&amp;queryCARRADAS_20250905_83647[[#This Row],[MATERIAL]]</f>
        <v>BRASIL MINERACAOUA SAO LUISRACHÃOZINHO</v>
      </c>
      <c r="O463" s="68" t="s">
        <v>164</v>
      </c>
    </row>
    <row r="464" spans="2:15" x14ac:dyDescent="0.25">
      <c r="B464" s="66">
        <v>45890</v>
      </c>
      <c r="C464" s="65">
        <v>1</v>
      </c>
      <c r="D464" s="63" t="s">
        <v>170</v>
      </c>
      <c r="E464" s="65" t="s">
        <v>171</v>
      </c>
      <c r="F464" s="65" t="s">
        <v>166</v>
      </c>
      <c r="G464" s="65" t="s">
        <v>164</v>
      </c>
      <c r="H464" s="63">
        <v>58</v>
      </c>
      <c r="I464" s="65" t="s">
        <v>172</v>
      </c>
      <c r="J464" s="63">
        <v>2586</v>
      </c>
      <c r="K464" s="64">
        <v>554.96</v>
      </c>
      <c r="L464" s="63" t="s">
        <v>1378</v>
      </c>
      <c r="M464" t="s">
        <v>1117</v>
      </c>
      <c r="N464" s="65" t="str">
        <f>queryCARRADAS_20250905_83647[[#This Row],[ORIGEM]]&amp;queryCARRADAS_20250905_83647[[#This Row],[DESTINO]]&amp;queryCARRADAS_20250905_83647[[#This Row],[MATERIAL]]</f>
        <v>GRANORTEUA SAO LUISBICA CORRIDA</v>
      </c>
      <c r="O464" s="68" t="s">
        <v>164</v>
      </c>
    </row>
    <row r="465" spans="2:15" x14ac:dyDescent="0.25">
      <c r="B465" s="66">
        <v>45890</v>
      </c>
      <c r="C465" s="65">
        <v>1</v>
      </c>
      <c r="D465" s="63" t="s">
        <v>1127</v>
      </c>
      <c r="E465" s="65" t="s">
        <v>178</v>
      </c>
      <c r="F465" s="65" t="s">
        <v>163</v>
      </c>
      <c r="G465" s="65" t="s">
        <v>164</v>
      </c>
      <c r="H465" s="63">
        <v>52</v>
      </c>
      <c r="I465" s="65" t="s">
        <v>185</v>
      </c>
      <c r="J465" s="63">
        <v>3086</v>
      </c>
      <c r="K465" s="64">
        <v>593.75</v>
      </c>
      <c r="L465" s="63" t="s">
        <v>1379</v>
      </c>
      <c r="M465" t="s">
        <v>1117</v>
      </c>
      <c r="N465" s="65" t="str">
        <f>queryCARRADAS_20250905_83647[[#This Row],[ORIGEM]]&amp;queryCARRADAS_20250905_83647[[#This Row],[DESTINO]]&amp;queryCARRADAS_20250905_83647[[#This Row],[MATERIAL]]</f>
        <v>BRASIL MINERACAOUA SAO LUISRACHÃOZINHO</v>
      </c>
      <c r="O465" s="68" t="s">
        <v>164</v>
      </c>
    </row>
    <row r="466" spans="2:15" x14ac:dyDescent="0.25">
      <c r="B466" s="66">
        <v>45890</v>
      </c>
      <c r="C466" s="65">
        <v>1</v>
      </c>
      <c r="D466" s="63" t="s">
        <v>1127</v>
      </c>
      <c r="E466" s="65" t="s">
        <v>178</v>
      </c>
      <c r="F466" s="65" t="s">
        <v>163</v>
      </c>
      <c r="G466" s="65" t="s">
        <v>164</v>
      </c>
      <c r="H466" s="63">
        <v>52</v>
      </c>
      <c r="I466" s="65" t="s">
        <v>185</v>
      </c>
      <c r="J466" s="63">
        <v>3005</v>
      </c>
      <c r="K466" s="64">
        <v>578.16</v>
      </c>
      <c r="L466" s="63" t="s">
        <v>1380</v>
      </c>
      <c r="M466" t="s">
        <v>1117</v>
      </c>
      <c r="N466" s="65" t="str">
        <f>queryCARRADAS_20250905_83647[[#This Row],[ORIGEM]]&amp;queryCARRADAS_20250905_83647[[#This Row],[DESTINO]]&amp;queryCARRADAS_20250905_83647[[#This Row],[MATERIAL]]</f>
        <v>BRASIL MINERACAOUA SAO LUISRACHÃOZINHO</v>
      </c>
      <c r="O466" s="68" t="s">
        <v>164</v>
      </c>
    </row>
    <row r="467" spans="2:15" x14ac:dyDescent="0.25">
      <c r="B467" s="66">
        <v>45890</v>
      </c>
      <c r="C467" s="65">
        <v>1</v>
      </c>
      <c r="D467" s="63" t="s">
        <v>162</v>
      </c>
      <c r="E467" s="65" t="s">
        <v>1134</v>
      </c>
      <c r="F467" s="65" t="s">
        <v>163</v>
      </c>
      <c r="G467" s="65" t="s">
        <v>164</v>
      </c>
      <c r="H467" s="63">
        <v>52</v>
      </c>
      <c r="I467" s="65" t="s">
        <v>185</v>
      </c>
      <c r="J467" s="63">
        <v>250</v>
      </c>
      <c r="K467" s="64">
        <v>481</v>
      </c>
      <c r="L467" s="63" t="s">
        <v>1381</v>
      </c>
      <c r="M467" t="s">
        <v>1117</v>
      </c>
      <c r="N467" s="65" t="str">
        <f>queryCARRADAS_20250905_83647[[#This Row],[ORIGEM]]&amp;queryCARRADAS_20250905_83647[[#This Row],[DESTINO]]&amp;queryCARRADAS_20250905_83647[[#This Row],[MATERIAL]]</f>
        <v>BRASIL MINERACAOUA SAO LUISRACHÃOZINHO</v>
      </c>
      <c r="O467" s="68" t="s">
        <v>154</v>
      </c>
    </row>
    <row r="468" spans="2:15" x14ac:dyDescent="0.25">
      <c r="B468" s="66">
        <v>45890</v>
      </c>
      <c r="C468" s="65">
        <v>1</v>
      </c>
      <c r="D468" s="63" t="s">
        <v>173</v>
      </c>
      <c r="E468" s="65" t="s">
        <v>174</v>
      </c>
      <c r="F468" s="65" t="s">
        <v>166</v>
      </c>
      <c r="G468" s="65" t="s">
        <v>218</v>
      </c>
      <c r="H468" s="63">
        <v>71</v>
      </c>
      <c r="I468" s="65" t="s">
        <v>172</v>
      </c>
      <c r="J468" s="63">
        <v>3524</v>
      </c>
      <c r="K468" s="64">
        <v>925.75</v>
      </c>
      <c r="L468" s="63" t="s">
        <v>1382</v>
      </c>
      <c r="M468" t="s">
        <v>1117</v>
      </c>
      <c r="N468" s="65" t="str">
        <f>queryCARRADAS_20250905_83647[[#This Row],[ORIGEM]]&amp;queryCARRADAS_20250905_83647[[#This Row],[DESTINO]]&amp;queryCARRADAS_20250905_83647[[#This Row],[MATERIAL]]</f>
        <v>GRANORTEEXPOEMABICA CORRIDA</v>
      </c>
      <c r="O468" s="68" t="s">
        <v>164</v>
      </c>
    </row>
    <row r="469" spans="2:15" x14ac:dyDescent="0.25">
      <c r="B469" s="66">
        <v>45890</v>
      </c>
      <c r="C469" s="65">
        <v>1</v>
      </c>
      <c r="D469" s="63" t="s">
        <v>170</v>
      </c>
      <c r="E469" s="65" t="s">
        <v>171</v>
      </c>
      <c r="F469" s="65" t="s">
        <v>166</v>
      </c>
      <c r="G469" s="65" t="s">
        <v>164</v>
      </c>
      <c r="H469" s="63">
        <v>58</v>
      </c>
      <c r="I469" s="65" t="s">
        <v>172</v>
      </c>
      <c r="J469" s="63">
        <v>2576</v>
      </c>
      <c r="K469" s="64">
        <v>552.80999999999995</v>
      </c>
      <c r="L469" s="63" t="s">
        <v>1383</v>
      </c>
      <c r="M469" t="s">
        <v>1117</v>
      </c>
      <c r="N469" s="65" t="str">
        <f>queryCARRADAS_20250905_83647[[#This Row],[ORIGEM]]&amp;queryCARRADAS_20250905_83647[[#This Row],[DESTINO]]&amp;queryCARRADAS_20250905_83647[[#This Row],[MATERIAL]]</f>
        <v>GRANORTEUA SAO LUISBICA CORRIDA</v>
      </c>
      <c r="O469" s="68" t="s">
        <v>164</v>
      </c>
    </row>
    <row r="470" spans="2:15" x14ac:dyDescent="0.25">
      <c r="B470" s="66">
        <v>45890</v>
      </c>
      <c r="C470" s="65">
        <v>1</v>
      </c>
      <c r="D470" s="63" t="s">
        <v>1127</v>
      </c>
      <c r="E470" s="65" t="s">
        <v>178</v>
      </c>
      <c r="F470" s="65" t="s">
        <v>163</v>
      </c>
      <c r="G470" s="65" t="s">
        <v>164</v>
      </c>
      <c r="H470" s="63">
        <v>52</v>
      </c>
      <c r="I470" s="65" t="s">
        <v>185</v>
      </c>
      <c r="J470" s="63">
        <v>3085</v>
      </c>
      <c r="K470" s="64">
        <v>593.54999999999995</v>
      </c>
      <c r="L470" s="63" t="s">
        <v>1384</v>
      </c>
      <c r="M470" t="s">
        <v>1117</v>
      </c>
      <c r="N470" s="65" t="str">
        <f>queryCARRADAS_20250905_83647[[#This Row],[ORIGEM]]&amp;queryCARRADAS_20250905_83647[[#This Row],[DESTINO]]&amp;queryCARRADAS_20250905_83647[[#This Row],[MATERIAL]]</f>
        <v>BRASIL MINERACAOUA SAO LUISRACHÃOZINHO</v>
      </c>
      <c r="O470" s="68" t="s">
        <v>164</v>
      </c>
    </row>
    <row r="471" spans="2:15" x14ac:dyDescent="0.25">
      <c r="B471" s="66">
        <v>45890</v>
      </c>
      <c r="C471" s="65">
        <v>1</v>
      </c>
      <c r="D471" s="63" t="s">
        <v>162</v>
      </c>
      <c r="E471" s="65" t="s">
        <v>1134</v>
      </c>
      <c r="F471" s="65" t="s">
        <v>163</v>
      </c>
      <c r="G471" s="65" t="s">
        <v>164</v>
      </c>
      <c r="H471" s="63">
        <v>52</v>
      </c>
      <c r="I471" s="65" t="s">
        <v>185</v>
      </c>
      <c r="J471" s="63">
        <v>2517</v>
      </c>
      <c r="K471" s="64">
        <v>484.27</v>
      </c>
      <c r="L471" s="63" t="s">
        <v>1385</v>
      </c>
      <c r="M471" t="s">
        <v>1117</v>
      </c>
      <c r="N471" s="65" t="str">
        <f>queryCARRADAS_20250905_83647[[#This Row],[ORIGEM]]&amp;queryCARRADAS_20250905_83647[[#This Row],[DESTINO]]&amp;queryCARRADAS_20250905_83647[[#This Row],[MATERIAL]]</f>
        <v>BRASIL MINERACAOUA SAO LUISRACHÃOZINHO</v>
      </c>
      <c r="O471" s="68" t="s">
        <v>164</v>
      </c>
    </row>
    <row r="472" spans="2:15" x14ac:dyDescent="0.25">
      <c r="B472" s="66">
        <v>45890</v>
      </c>
      <c r="C472" s="65">
        <v>1</v>
      </c>
      <c r="D472" s="63" t="s">
        <v>183</v>
      </c>
      <c r="E472" s="65" t="s">
        <v>184</v>
      </c>
      <c r="F472" s="65" t="s">
        <v>166</v>
      </c>
      <c r="G472" s="65" t="s">
        <v>164</v>
      </c>
      <c r="H472" s="63">
        <v>58</v>
      </c>
      <c r="I472" s="65" t="s">
        <v>172</v>
      </c>
      <c r="J472" s="63">
        <v>2666</v>
      </c>
      <c r="K472" s="64">
        <v>572.12</v>
      </c>
      <c r="L472" s="63" t="s">
        <v>1386</v>
      </c>
      <c r="M472" t="s">
        <v>1117</v>
      </c>
      <c r="N472" s="65" t="str">
        <f>queryCARRADAS_20250905_83647[[#This Row],[ORIGEM]]&amp;queryCARRADAS_20250905_83647[[#This Row],[DESTINO]]&amp;queryCARRADAS_20250905_83647[[#This Row],[MATERIAL]]</f>
        <v>GRANORTEUA SAO LUISBICA CORRIDA</v>
      </c>
      <c r="O472" s="68" t="s">
        <v>164</v>
      </c>
    </row>
    <row r="473" spans="2:15" x14ac:dyDescent="0.25">
      <c r="B473" s="66">
        <v>45890</v>
      </c>
      <c r="C473" s="65">
        <v>1</v>
      </c>
      <c r="D473" s="63" t="s">
        <v>183</v>
      </c>
      <c r="E473" s="65" t="s">
        <v>184</v>
      </c>
      <c r="F473" s="65" t="s">
        <v>163</v>
      </c>
      <c r="G473" s="65" t="s">
        <v>164</v>
      </c>
      <c r="H473" s="63">
        <v>52</v>
      </c>
      <c r="I473" s="65" t="s">
        <v>165</v>
      </c>
      <c r="J473" s="63">
        <v>3034</v>
      </c>
      <c r="K473" s="64">
        <v>583.74</v>
      </c>
      <c r="L473" s="63" t="s">
        <v>1387</v>
      </c>
      <c r="M473" t="s">
        <v>1117</v>
      </c>
      <c r="N473" s="65" t="str">
        <f>queryCARRADAS_20250905_83647[[#This Row],[ORIGEM]]&amp;queryCARRADAS_20250905_83647[[#This Row],[DESTINO]]&amp;queryCARRADAS_20250905_83647[[#This Row],[MATERIAL]]</f>
        <v>BRASIL MINERACAOUA SAO LUISPÓ DE BRITA</v>
      </c>
      <c r="O473" s="68" t="s">
        <v>164</v>
      </c>
    </row>
    <row r="474" spans="2:15" x14ac:dyDescent="0.25">
      <c r="B474" s="66">
        <v>45890</v>
      </c>
      <c r="C474" s="65">
        <v>1</v>
      </c>
      <c r="D474" s="63" t="s">
        <v>183</v>
      </c>
      <c r="E474" s="65" t="s">
        <v>184</v>
      </c>
      <c r="F474" s="65" t="s">
        <v>163</v>
      </c>
      <c r="G474" s="65" t="s">
        <v>164</v>
      </c>
      <c r="H474" s="63">
        <v>52</v>
      </c>
      <c r="I474" s="65" t="s">
        <v>165</v>
      </c>
      <c r="J474" s="63">
        <v>3006</v>
      </c>
      <c r="K474" s="64">
        <v>578.35</v>
      </c>
      <c r="L474" s="63" t="s">
        <v>1388</v>
      </c>
      <c r="M474" t="s">
        <v>1117</v>
      </c>
      <c r="N474" s="65" t="str">
        <f>queryCARRADAS_20250905_83647[[#This Row],[ORIGEM]]&amp;queryCARRADAS_20250905_83647[[#This Row],[DESTINO]]&amp;queryCARRADAS_20250905_83647[[#This Row],[MATERIAL]]</f>
        <v>BRASIL MINERACAOUA SAO LUISPÓ DE BRITA</v>
      </c>
      <c r="O474" s="68" t="s">
        <v>164</v>
      </c>
    </row>
    <row r="475" spans="2:15" x14ac:dyDescent="0.25">
      <c r="B475" s="66">
        <v>45890</v>
      </c>
      <c r="C475" s="65">
        <v>1</v>
      </c>
      <c r="D475" s="63" t="s">
        <v>173</v>
      </c>
      <c r="E475" s="65" t="s">
        <v>174</v>
      </c>
      <c r="F475" s="65" t="s">
        <v>166</v>
      </c>
      <c r="G475" s="65" t="s">
        <v>218</v>
      </c>
      <c r="H475" s="63">
        <v>71</v>
      </c>
      <c r="I475" s="65" t="s">
        <v>172</v>
      </c>
      <c r="J475" s="63">
        <v>3482</v>
      </c>
      <c r="K475" s="64">
        <v>914.72</v>
      </c>
      <c r="L475" s="63" t="s">
        <v>1389</v>
      </c>
      <c r="M475" t="s">
        <v>1117</v>
      </c>
      <c r="N475" s="65" t="str">
        <f>queryCARRADAS_20250905_83647[[#This Row],[ORIGEM]]&amp;queryCARRADAS_20250905_83647[[#This Row],[DESTINO]]&amp;queryCARRADAS_20250905_83647[[#This Row],[MATERIAL]]</f>
        <v>GRANORTEEXPOEMABICA CORRIDA</v>
      </c>
      <c r="O475" s="68" t="s">
        <v>164</v>
      </c>
    </row>
    <row r="476" spans="2:15" x14ac:dyDescent="0.25">
      <c r="B476" s="66">
        <v>45890</v>
      </c>
      <c r="C476" s="65">
        <v>1</v>
      </c>
      <c r="D476" s="63" t="s">
        <v>188</v>
      </c>
      <c r="E476" s="65" t="s">
        <v>189</v>
      </c>
      <c r="F476" s="65" t="s">
        <v>166</v>
      </c>
      <c r="G476" s="65" t="s">
        <v>191</v>
      </c>
      <c r="H476" s="63">
        <v>243</v>
      </c>
      <c r="I476" s="65" t="s">
        <v>221</v>
      </c>
      <c r="J476" s="63">
        <v>4982</v>
      </c>
      <c r="K476" s="64">
        <v>4479.32</v>
      </c>
      <c r="L476" s="63" t="s">
        <v>1390</v>
      </c>
      <c r="M476" t="s">
        <v>1117</v>
      </c>
      <c r="N476" s="65" t="str">
        <f>queryCARRADAS_20250905_83647[[#This Row],[ORIGEM]]&amp;queryCARRADAS_20250905_83647[[#This Row],[DESTINO]]&amp;queryCARRADAS_20250905_83647[[#This Row],[MATERIAL]]</f>
        <v>GRANORTEOLINDA NOVA - MABGS</v>
      </c>
      <c r="O476" s="68" t="s">
        <v>164</v>
      </c>
    </row>
    <row r="477" spans="2:15" x14ac:dyDescent="0.25">
      <c r="B477" s="66">
        <v>45890</v>
      </c>
      <c r="C477" s="65">
        <v>1</v>
      </c>
      <c r="D477" s="63" t="s">
        <v>193</v>
      </c>
      <c r="E477" s="65" t="s">
        <v>194</v>
      </c>
      <c r="F477" s="65" t="s">
        <v>163</v>
      </c>
      <c r="G477" s="65" t="s">
        <v>164</v>
      </c>
      <c r="H477" s="63">
        <v>52</v>
      </c>
      <c r="I477" s="65" t="s">
        <v>165</v>
      </c>
      <c r="J477" s="63">
        <v>2884</v>
      </c>
      <c r="K477" s="64">
        <v>554.88</v>
      </c>
      <c r="L477" s="63" t="s">
        <v>1391</v>
      </c>
      <c r="M477" t="s">
        <v>1117</v>
      </c>
      <c r="N477" s="65" t="str">
        <f>queryCARRADAS_20250905_83647[[#This Row],[ORIGEM]]&amp;queryCARRADAS_20250905_83647[[#This Row],[DESTINO]]&amp;queryCARRADAS_20250905_83647[[#This Row],[MATERIAL]]</f>
        <v>BRASIL MINERACAOUA SAO LUISPÓ DE BRITA</v>
      </c>
      <c r="O477" s="68" t="s">
        <v>164</v>
      </c>
    </row>
    <row r="478" spans="2:15" x14ac:dyDescent="0.25">
      <c r="B478" s="66">
        <v>45890</v>
      </c>
      <c r="C478" s="65">
        <v>1</v>
      </c>
      <c r="D478" s="63" t="s">
        <v>193</v>
      </c>
      <c r="E478" s="65" t="s">
        <v>194</v>
      </c>
      <c r="F478" s="65" t="s">
        <v>163</v>
      </c>
      <c r="G478" s="65" t="s">
        <v>164</v>
      </c>
      <c r="H478" s="63">
        <v>52</v>
      </c>
      <c r="I478" s="65" t="s">
        <v>165</v>
      </c>
      <c r="J478" s="63">
        <v>2615</v>
      </c>
      <c r="K478" s="64">
        <v>503.13</v>
      </c>
      <c r="L478" s="63" t="s">
        <v>1392</v>
      </c>
      <c r="M478" t="s">
        <v>1117</v>
      </c>
      <c r="N478" s="65" t="str">
        <f>queryCARRADAS_20250905_83647[[#This Row],[ORIGEM]]&amp;queryCARRADAS_20250905_83647[[#This Row],[DESTINO]]&amp;queryCARRADAS_20250905_83647[[#This Row],[MATERIAL]]</f>
        <v>BRASIL MINERACAOUA SAO LUISPÓ DE BRITA</v>
      </c>
      <c r="O478" s="68" t="s">
        <v>164</v>
      </c>
    </row>
    <row r="479" spans="2:15" x14ac:dyDescent="0.25">
      <c r="B479" s="66">
        <v>45890</v>
      </c>
      <c r="C479" s="65">
        <v>1</v>
      </c>
      <c r="D479" s="63" t="s">
        <v>193</v>
      </c>
      <c r="E479" s="65" t="s">
        <v>194</v>
      </c>
      <c r="F479" s="65" t="s">
        <v>163</v>
      </c>
      <c r="G479" s="65" t="s">
        <v>164</v>
      </c>
      <c r="H479" s="63">
        <v>52</v>
      </c>
      <c r="I479" s="65" t="s">
        <v>185</v>
      </c>
      <c r="J479" s="63">
        <v>2841</v>
      </c>
      <c r="K479" s="64">
        <v>546.61</v>
      </c>
      <c r="L479" s="63" t="s">
        <v>1393</v>
      </c>
      <c r="M479" t="s">
        <v>1117</v>
      </c>
      <c r="N479" s="65" t="str">
        <f>queryCARRADAS_20250905_83647[[#This Row],[ORIGEM]]&amp;queryCARRADAS_20250905_83647[[#This Row],[DESTINO]]&amp;queryCARRADAS_20250905_83647[[#This Row],[MATERIAL]]</f>
        <v>BRASIL MINERACAOUA SAO LUISRACHÃOZINHO</v>
      </c>
      <c r="O479" s="68" t="s">
        <v>164</v>
      </c>
    </row>
    <row r="480" spans="2:15" x14ac:dyDescent="0.25">
      <c r="B480" s="66">
        <v>45890</v>
      </c>
      <c r="C480" s="65">
        <v>1</v>
      </c>
      <c r="D480" s="63" t="s">
        <v>193</v>
      </c>
      <c r="E480" s="65" t="s">
        <v>194</v>
      </c>
      <c r="F480" s="65" t="s">
        <v>163</v>
      </c>
      <c r="G480" s="65" t="s">
        <v>164</v>
      </c>
      <c r="H480" s="63">
        <v>52</v>
      </c>
      <c r="I480" s="65" t="s">
        <v>185</v>
      </c>
      <c r="J480" s="63">
        <v>3033</v>
      </c>
      <c r="K480" s="64">
        <v>583.54999999999995</v>
      </c>
      <c r="L480" s="63" t="s">
        <v>1394</v>
      </c>
      <c r="M480" t="s">
        <v>1117</v>
      </c>
      <c r="N480" s="65" t="str">
        <f>queryCARRADAS_20250905_83647[[#This Row],[ORIGEM]]&amp;queryCARRADAS_20250905_83647[[#This Row],[DESTINO]]&amp;queryCARRADAS_20250905_83647[[#This Row],[MATERIAL]]</f>
        <v>BRASIL MINERACAOUA SAO LUISRACHÃOZINHO</v>
      </c>
      <c r="O480" s="68" t="s">
        <v>164</v>
      </c>
    </row>
    <row r="481" spans="2:15" x14ac:dyDescent="0.25">
      <c r="B481" s="66">
        <v>45890</v>
      </c>
      <c r="C481" s="65">
        <v>1</v>
      </c>
      <c r="D481" s="63" t="s">
        <v>203</v>
      </c>
      <c r="E481" s="65" t="s">
        <v>204</v>
      </c>
      <c r="F481" s="65" t="s">
        <v>163</v>
      </c>
      <c r="G481" s="65" t="s">
        <v>164</v>
      </c>
      <c r="H481" s="63">
        <v>52</v>
      </c>
      <c r="I481" s="65" t="s">
        <v>175</v>
      </c>
      <c r="J481" s="63">
        <v>5106</v>
      </c>
      <c r="K481" s="64">
        <v>982.39</v>
      </c>
      <c r="L481" s="63" t="s">
        <v>1395</v>
      </c>
      <c r="M481" t="s">
        <v>1117</v>
      </c>
      <c r="N481" s="65" t="str">
        <f>queryCARRADAS_20250905_83647[[#This Row],[ORIGEM]]&amp;queryCARRADAS_20250905_83647[[#This Row],[DESTINO]]&amp;queryCARRADAS_20250905_83647[[#This Row],[MATERIAL]]</f>
        <v>BRASIL MINERACAOUA SAO LUISBRITA 0</v>
      </c>
      <c r="O481" s="68" t="s">
        <v>164</v>
      </c>
    </row>
    <row r="482" spans="2:15" x14ac:dyDescent="0.25">
      <c r="B482" s="66">
        <v>45890</v>
      </c>
      <c r="C482" s="65">
        <v>1</v>
      </c>
      <c r="D482" s="63" t="s">
        <v>167</v>
      </c>
      <c r="E482" s="65" t="s">
        <v>168</v>
      </c>
      <c r="F482" s="65" t="s">
        <v>166</v>
      </c>
      <c r="G482" s="65" t="s">
        <v>218</v>
      </c>
      <c r="H482" s="63">
        <v>71</v>
      </c>
      <c r="I482" s="65" t="s">
        <v>172</v>
      </c>
      <c r="J482" s="63">
        <v>2668</v>
      </c>
      <c r="K482" s="64">
        <v>700.88</v>
      </c>
      <c r="L482" s="63" t="s">
        <v>1396</v>
      </c>
      <c r="M482" t="s">
        <v>1117</v>
      </c>
      <c r="N482" s="65" t="str">
        <f>queryCARRADAS_20250905_83647[[#This Row],[ORIGEM]]&amp;queryCARRADAS_20250905_83647[[#This Row],[DESTINO]]&amp;queryCARRADAS_20250905_83647[[#This Row],[MATERIAL]]</f>
        <v>GRANORTEEXPOEMABICA CORRIDA</v>
      </c>
      <c r="O482" s="68" t="s">
        <v>161</v>
      </c>
    </row>
    <row r="483" spans="2:15" x14ac:dyDescent="0.25">
      <c r="B483" s="66">
        <v>45890</v>
      </c>
      <c r="C483" s="65">
        <v>1</v>
      </c>
      <c r="D483" s="63" t="s">
        <v>219</v>
      </c>
      <c r="E483" s="65" t="s">
        <v>220</v>
      </c>
      <c r="F483" s="65" t="s">
        <v>190</v>
      </c>
      <c r="G483" s="65" t="s">
        <v>212</v>
      </c>
      <c r="H483" s="63">
        <v>376</v>
      </c>
      <c r="I483" s="65" t="s">
        <v>165</v>
      </c>
      <c r="J483" s="63">
        <v>370</v>
      </c>
      <c r="K483" s="64">
        <v>4451.84</v>
      </c>
      <c r="L483" s="63" t="s">
        <v>1397</v>
      </c>
      <c r="M483" t="s">
        <v>1117</v>
      </c>
      <c r="N483" s="65" t="str">
        <f>queryCARRADAS_20250905_83647[[#This Row],[ORIGEM]]&amp;queryCARRADAS_20250905_83647[[#This Row],[DESTINO]]&amp;queryCARRADAS_20250905_83647[[#This Row],[MATERIAL]]</f>
        <v>SERVENGUSINA PINHEIROPÓ DE BRITA</v>
      </c>
      <c r="O483" s="68" t="s">
        <v>164</v>
      </c>
    </row>
    <row r="484" spans="2:15" x14ac:dyDescent="0.25">
      <c r="B484" s="66">
        <v>45890</v>
      </c>
      <c r="C484" s="65">
        <v>1</v>
      </c>
      <c r="D484" s="63" t="s">
        <v>179</v>
      </c>
      <c r="E484" s="65" t="s">
        <v>180</v>
      </c>
      <c r="F484" s="65" t="s">
        <v>163</v>
      </c>
      <c r="G484" s="65" t="s">
        <v>164</v>
      </c>
      <c r="H484" s="63">
        <v>52</v>
      </c>
      <c r="I484" s="65" t="s">
        <v>185</v>
      </c>
      <c r="J484" s="63">
        <v>260</v>
      </c>
      <c r="K484" s="64">
        <v>500.24</v>
      </c>
      <c r="L484" s="63" t="s">
        <v>1398</v>
      </c>
      <c r="M484" t="s">
        <v>1117</v>
      </c>
      <c r="N484" s="65" t="str">
        <f>queryCARRADAS_20250905_83647[[#This Row],[ORIGEM]]&amp;queryCARRADAS_20250905_83647[[#This Row],[DESTINO]]&amp;queryCARRADAS_20250905_83647[[#This Row],[MATERIAL]]</f>
        <v>BRASIL MINERACAOUA SAO LUISRACHÃOZINHO</v>
      </c>
      <c r="O484" s="68" t="s">
        <v>164</v>
      </c>
    </row>
    <row r="485" spans="2:15" x14ac:dyDescent="0.25">
      <c r="B485" s="66">
        <v>45890</v>
      </c>
      <c r="C485" s="65">
        <v>1</v>
      </c>
      <c r="D485" s="63" t="s">
        <v>179</v>
      </c>
      <c r="E485" s="65" t="s">
        <v>180</v>
      </c>
      <c r="F485" s="65" t="s">
        <v>163</v>
      </c>
      <c r="G485" s="65" t="s">
        <v>164</v>
      </c>
      <c r="H485" s="63">
        <v>52</v>
      </c>
      <c r="I485" s="65" t="s">
        <v>185</v>
      </c>
      <c r="J485" s="63">
        <v>252</v>
      </c>
      <c r="K485" s="64">
        <v>484.85</v>
      </c>
      <c r="L485" s="63" t="s">
        <v>1399</v>
      </c>
      <c r="M485" t="s">
        <v>1117</v>
      </c>
      <c r="N485" s="65" t="str">
        <f>queryCARRADAS_20250905_83647[[#This Row],[ORIGEM]]&amp;queryCARRADAS_20250905_83647[[#This Row],[DESTINO]]&amp;queryCARRADAS_20250905_83647[[#This Row],[MATERIAL]]</f>
        <v>BRASIL MINERACAOUA SAO LUISRACHÃOZINHO</v>
      </c>
      <c r="O485" s="68" t="s">
        <v>161</v>
      </c>
    </row>
    <row r="486" spans="2:15" x14ac:dyDescent="0.25">
      <c r="B486" s="66">
        <v>45891</v>
      </c>
      <c r="C486" s="65">
        <v>1</v>
      </c>
      <c r="D486" s="63" t="s">
        <v>181</v>
      </c>
      <c r="E486" s="65" t="s">
        <v>182</v>
      </c>
      <c r="F486" s="65" t="s">
        <v>166</v>
      </c>
      <c r="G486" s="65" t="s">
        <v>218</v>
      </c>
      <c r="H486" s="63">
        <v>71</v>
      </c>
      <c r="I486" s="65" t="s">
        <v>172</v>
      </c>
      <c r="J486" s="63">
        <v>2806</v>
      </c>
      <c r="K486" s="64">
        <v>737.14</v>
      </c>
      <c r="L486" s="63" t="s">
        <v>1337</v>
      </c>
      <c r="M486" t="s">
        <v>1117</v>
      </c>
      <c r="N486" s="65" t="str">
        <f>queryCARRADAS_20250905_83647[[#This Row],[ORIGEM]]&amp;queryCARRADAS_20250905_83647[[#This Row],[DESTINO]]&amp;queryCARRADAS_20250905_83647[[#This Row],[MATERIAL]]</f>
        <v>GRANORTEEXPOEMABICA CORRIDA</v>
      </c>
      <c r="O486" s="68" t="s">
        <v>164</v>
      </c>
    </row>
    <row r="487" spans="2:15" x14ac:dyDescent="0.25">
      <c r="B487" s="66">
        <v>45891</v>
      </c>
      <c r="C487" s="65">
        <v>1</v>
      </c>
      <c r="D487" s="63" t="s">
        <v>202</v>
      </c>
      <c r="E487" s="65" t="s">
        <v>1153</v>
      </c>
      <c r="F487" s="65" t="s">
        <v>190</v>
      </c>
      <c r="G487" s="65" t="s">
        <v>191</v>
      </c>
      <c r="H487" s="63">
        <v>217</v>
      </c>
      <c r="I487" s="65" t="s">
        <v>165</v>
      </c>
      <c r="J487" s="63">
        <v>4884</v>
      </c>
      <c r="K487" s="64">
        <v>3921.36</v>
      </c>
      <c r="L487" s="63" t="s">
        <v>1338</v>
      </c>
      <c r="M487" t="s">
        <v>1117</v>
      </c>
      <c r="N487" s="65" t="str">
        <f>queryCARRADAS_20250905_83647[[#This Row],[ORIGEM]]&amp;queryCARRADAS_20250905_83647[[#This Row],[DESTINO]]&amp;queryCARRADAS_20250905_83647[[#This Row],[MATERIAL]]</f>
        <v>SERVENGOLINDA NOVA - MAPÓ DE BRITA</v>
      </c>
      <c r="O487" s="68" t="s">
        <v>164</v>
      </c>
    </row>
    <row r="488" spans="2:15" x14ac:dyDescent="0.25">
      <c r="B488" s="66">
        <v>45891</v>
      </c>
      <c r="C488" s="65">
        <v>1</v>
      </c>
      <c r="D488" s="63" t="s">
        <v>170</v>
      </c>
      <c r="E488" s="65" t="s">
        <v>171</v>
      </c>
      <c r="F488" s="65" t="s">
        <v>166</v>
      </c>
      <c r="G488" s="65" t="s">
        <v>164</v>
      </c>
      <c r="H488" s="63">
        <v>58</v>
      </c>
      <c r="I488" s="65" t="s">
        <v>172</v>
      </c>
      <c r="J488" s="63">
        <v>2606</v>
      </c>
      <c r="K488" s="64">
        <v>559.25</v>
      </c>
      <c r="L488" s="63" t="s">
        <v>1339</v>
      </c>
      <c r="M488" t="s">
        <v>1117</v>
      </c>
      <c r="N488" s="65" t="str">
        <f>queryCARRADAS_20250905_83647[[#This Row],[ORIGEM]]&amp;queryCARRADAS_20250905_83647[[#This Row],[DESTINO]]&amp;queryCARRADAS_20250905_83647[[#This Row],[MATERIAL]]</f>
        <v>GRANORTEUA SAO LUISBICA CORRIDA</v>
      </c>
      <c r="O488" s="68" t="s">
        <v>154</v>
      </c>
    </row>
    <row r="489" spans="2:15" x14ac:dyDescent="0.25">
      <c r="B489" s="66">
        <v>45891</v>
      </c>
      <c r="C489" s="65">
        <v>1</v>
      </c>
      <c r="D489" s="63" t="s">
        <v>167</v>
      </c>
      <c r="E489" s="65" t="s">
        <v>168</v>
      </c>
      <c r="F489" s="65" t="s">
        <v>166</v>
      </c>
      <c r="G489" s="65" t="s">
        <v>218</v>
      </c>
      <c r="H489" s="63">
        <v>71</v>
      </c>
      <c r="I489" s="65" t="s">
        <v>172</v>
      </c>
      <c r="J489" s="63">
        <v>2686</v>
      </c>
      <c r="K489" s="64">
        <v>705.61</v>
      </c>
      <c r="L489" s="63" t="s">
        <v>1340</v>
      </c>
      <c r="M489" t="s">
        <v>1117</v>
      </c>
      <c r="N489" s="65" t="str">
        <f>queryCARRADAS_20250905_83647[[#This Row],[ORIGEM]]&amp;queryCARRADAS_20250905_83647[[#This Row],[DESTINO]]&amp;queryCARRADAS_20250905_83647[[#This Row],[MATERIAL]]</f>
        <v>GRANORTEEXPOEMABICA CORRIDA</v>
      </c>
      <c r="O489" s="68" t="s">
        <v>164</v>
      </c>
    </row>
    <row r="490" spans="2:15" x14ac:dyDescent="0.25">
      <c r="B490" s="66">
        <v>45891</v>
      </c>
      <c r="C490" s="65">
        <v>1</v>
      </c>
      <c r="D490" s="63" t="s">
        <v>167</v>
      </c>
      <c r="E490" s="65" t="s">
        <v>168</v>
      </c>
      <c r="F490" s="65" t="s">
        <v>163</v>
      </c>
      <c r="G490" s="65" t="s">
        <v>164</v>
      </c>
      <c r="H490" s="63">
        <v>52</v>
      </c>
      <c r="I490" s="65" t="s">
        <v>185</v>
      </c>
      <c r="J490" s="63">
        <v>2678</v>
      </c>
      <c r="K490" s="64">
        <v>515.25</v>
      </c>
      <c r="L490" s="63" t="s">
        <v>1341</v>
      </c>
      <c r="M490" t="s">
        <v>1117</v>
      </c>
      <c r="N490" s="65" t="str">
        <f>queryCARRADAS_20250905_83647[[#This Row],[ORIGEM]]&amp;queryCARRADAS_20250905_83647[[#This Row],[DESTINO]]&amp;queryCARRADAS_20250905_83647[[#This Row],[MATERIAL]]</f>
        <v>BRASIL MINERACAOUA SAO LUISRACHÃOZINHO</v>
      </c>
      <c r="O490" s="68" t="s">
        <v>164</v>
      </c>
    </row>
    <row r="491" spans="2:15" x14ac:dyDescent="0.25">
      <c r="B491" s="66">
        <v>45891</v>
      </c>
      <c r="C491" s="65">
        <v>1</v>
      </c>
      <c r="D491" s="63" t="s">
        <v>213</v>
      </c>
      <c r="E491" s="65" t="s">
        <v>214</v>
      </c>
      <c r="F491" s="65" t="s">
        <v>166</v>
      </c>
      <c r="G491" s="65" t="s">
        <v>191</v>
      </c>
      <c r="H491" s="63">
        <v>243</v>
      </c>
      <c r="I491" s="65" t="s">
        <v>172</v>
      </c>
      <c r="J491" s="63">
        <v>4766</v>
      </c>
      <c r="K491" s="64">
        <v>4285.1099999999997</v>
      </c>
      <c r="L491" s="63" t="s">
        <v>1342</v>
      </c>
      <c r="M491" t="s">
        <v>1117</v>
      </c>
      <c r="N491" s="65" t="str">
        <f>queryCARRADAS_20250905_83647[[#This Row],[ORIGEM]]&amp;queryCARRADAS_20250905_83647[[#This Row],[DESTINO]]&amp;queryCARRADAS_20250905_83647[[#This Row],[MATERIAL]]</f>
        <v>GRANORTEOLINDA NOVA - MABICA CORRIDA</v>
      </c>
      <c r="O491" s="68" t="s">
        <v>164</v>
      </c>
    </row>
    <row r="492" spans="2:15" x14ac:dyDescent="0.25">
      <c r="B492" s="66">
        <v>45891</v>
      </c>
      <c r="C492" s="65">
        <v>1</v>
      </c>
      <c r="D492" s="63" t="s">
        <v>170</v>
      </c>
      <c r="E492" s="65" t="s">
        <v>171</v>
      </c>
      <c r="F492" s="65" t="s">
        <v>166</v>
      </c>
      <c r="G492" s="65" t="s">
        <v>164</v>
      </c>
      <c r="H492" s="63">
        <v>58</v>
      </c>
      <c r="I492" s="65" t="s">
        <v>165</v>
      </c>
      <c r="J492" s="63">
        <v>2602</v>
      </c>
      <c r="K492" s="64">
        <v>558.39</v>
      </c>
      <c r="L492" s="63" t="s">
        <v>1343</v>
      </c>
      <c r="M492" t="s">
        <v>1117</v>
      </c>
      <c r="N492" s="65" t="str">
        <f>queryCARRADAS_20250905_83647[[#This Row],[ORIGEM]]&amp;queryCARRADAS_20250905_83647[[#This Row],[DESTINO]]&amp;queryCARRADAS_20250905_83647[[#This Row],[MATERIAL]]</f>
        <v>GRANORTEUA SAO LUISPÓ DE BRITA</v>
      </c>
      <c r="O492" s="68" t="s">
        <v>164</v>
      </c>
    </row>
    <row r="493" spans="2:15" x14ac:dyDescent="0.25">
      <c r="B493" s="66">
        <v>45891</v>
      </c>
      <c r="C493" s="65">
        <v>1</v>
      </c>
      <c r="D493" s="63" t="s">
        <v>181</v>
      </c>
      <c r="E493" s="65" t="s">
        <v>182</v>
      </c>
      <c r="F493" s="65" t="s">
        <v>166</v>
      </c>
      <c r="G493" s="65" t="s">
        <v>218</v>
      </c>
      <c r="H493" s="63">
        <v>71</v>
      </c>
      <c r="I493" s="65" t="s">
        <v>172</v>
      </c>
      <c r="J493" s="63">
        <v>2532</v>
      </c>
      <c r="K493" s="64">
        <v>665.16</v>
      </c>
      <c r="L493" s="63" t="s">
        <v>1344</v>
      </c>
      <c r="M493" t="s">
        <v>1117</v>
      </c>
      <c r="N493" s="65" t="str">
        <f>queryCARRADAS_20250905_83647[[#This Row],[ORIGEM]]&amp;queryCARRADAS_20250905_83647[[#This Row],[DESTINO]]&amp;queryCARRADAS_20250905_83647[[#This Row],[MATERIAL]]</f>
        <v>GRANORTEEXPOEMABICA CORRIDA</v>
      </c>
      <c r="O493" s="68" t="s">
        <v>164</v>
      </c>
    </row>
    <row r="494" spans="2:15" x14ac:dyDescent="0.25">
      <c r="B494" s="66">
        <v>45891</v>
      </c>
      <c r="C494" s="65">
        <v>1</v>
      </c>
      <c r="D494" s="63" t="s">
        <v>173</v>
      </c>
      <c r="E494" s="65" t="s">
        <v>174</v>
      </c>
      <c r="F494" s="65" t="s">
        <v>166</v>
      </c>
      <c r="G494" s="65" t="s">
        <v>218</v>
      </c>
      <c r="H494" s="63">
        <v>71</v>
      </c>
      <c r="I494" s="65" t="s">
        <v>172</v>
      </c>
      <c r="J494" s="63">
        <v>3672</v>
      </c>
      <c r="K494" s="64">
        <v>964.63</v>
      </c>
      <c r="L494" s="63" t="s">
        <v>1345</v>
      </c>
      <c r="M494" t="s">
        <v>1117</v>
      </c>
      <c r="N494" s="65" t="str">
        <f>queryCARRADAS_20250905_83647[[#This Row],[ORIGEM]]&amp;queryCARRADAS_20250905_83647[[#This Row],[DESTINO]]&amp;queryCARRADAS_20250905_83647[[#This Row],[MATERIAL]]</f>
        <v>GRANORTEEXPOEMABICA CORRIDA</v>
      </c>
      <c r="O494" s="68" t="s">
        <v>164</v>
      </c>
    </row>
    <row r="495" spans="2:15" x14ac:dyDescent="0.25">
      <c r="B495" s="66">
        <v>45891</v>
      </c>
      <c r="C495" s="65">
        <v>1</v>
      </c>
      <c r="D495" s="63" t="s">
        <v>167</v>
      </c>
      <c r="E495" s="65" t="s">
        <v>168</v>
      </c>
      <c r="F495" s="65" t="s">
        <v>166</v>
      </c>
      <c r="G495" s="65" t="s">
        <v>218</v>
      </c>
      <c r="H495" s="63">
        <v>71</v>
      </c>
      <c r="I495" s="65" t="s">
        <v>172</v>
      </c>
      <c r="J495" s="63">
        <v>2516</v>
      </c>
      <c r="K495" s="64">
        <v>660.95</v>
      </c>
      <c r="L495" s="63" t="s">
        <v>1346</v>
      </c>
      <c r="M495" t="s">
        <v>1117</v>
      </c>
      <c r="N495" s="65" t="str">
        <f>queryCARRADAS_20250905_83647[[#This Row],[ORIGEM]]&amp;queryCARRADAS_20250905_83647[[#This Row],[DESTINO]]&amp;queryCARRADAS_20250905_83647[[#This Row],[MATERIAL]]</f>
        <v>GRANORTEEXPOEMABICA CORRIDA</v>
      </c>
      <c r="O495" s="68" t="s">
        <v>164</v>
      </c>
    </row>
    <row r="496" spans="2:15" x14ac:dyDescent="0.25">
      <c r="B496" s="66">
        <v>45891</v>
      </c>
      <c r="C496" s="65">
        <v>1</v>
      </c>
      <c r="D496" s="63" t="s">
        <v>173</v>
      </c>
      <c r="E496" s="65" t="s">
        <v>174</v>
      </c>
      <c r="F496" s="65" t="s">
        <v>166</v>
      </c>
      <c r="G496" s="65" t="s">
        <v>218</v>
      </c>
      <c r="H496" s="63">
        <v>71</v>
      </c>
      <c r="I496" s="65" t="s">
        <v>172</v>
      </c>
      <c r="J496" s="63">
        <v>3498</v>
      </c>
      <c r="K496" s="64">
        <v>918.92</v>
      </c>
      <c r="L496" s="63" t="s">
        <v>1347</v>
      </c>
      <c r="M496" t="s">
        <v>1117</v>
      </c>
      <c r="N496" s="65" t="str">
        <f>queryCARRADAS_20250905_83647[[#This Row],[ORIGEM]]&amp;queryCARRADAS_20250905_83647[[#This Row],[DESTINO]]&amp;queryCARRADAS_20250905_83647[[#This Row],[MATERIAL]]</f>
        <v>GRANORTEEXPOEMABICA CORRIDA</v>
      </c>
      <c r="O496" s="68" t="s">
        <v>164</v>
      </c>
    </row>
    <row r="497" spans="2:15" x14ac:dyDescent="0.25">
      <c r="B497" s="66">
        <v>45891</v>
      </c>
      <c r="C497" s="65">
        <v>1</v>
      </c>
      <c r="D497" s="63" t="s">
        <v>173</v>
      </c>
      <c r="E497" s="65" t="s">
        <v>174</v>
      </c>
      <c r="F497" s="65" t="s">
        <v>163</v>
      </c>
      <c r="G497" s="65" t="s">
        <v>164</v>
      </c>
      <c r="H497" s="63">
        <v>52</v>
      </c>
      <c r="I497" s="65" t="s">
        <v>165</v>
      </c>
      <c r="J497" s="63">
        <v>2832</v>
      </c>
      <c r="K497" s="64">
        <v>544.88</v>
      </c>
      <c r="L497" s="63" t="s">
        <v>1348</v>
      </c>
      <c r="M497" t="s">
        <v>1117</v>
      </c>
      <c r="N497" s="65" t="str">
        <f>queryCARRADAS_20250905_83647[[#This Row],[ORIGEM]]&amp;queryCARRADAS_20250905_83647[[#This Row],[DESTINO]]&amp;queryCARRADAS_20250905_83647[[#This Row],[MATERIAL]]</f>
        <v>BRASIL MINERACAOUA SAO LUISPÓ DE BRITA</v>
      </c>
      <c r="O497" s="68" t="s">
        <v>164</v>
      </c>
    </row>
    <row r="498" spans="2:15" x14ac:dyDescent="0.25">
      <c r="B498" s="66">
        <v>45891</v>
      </c>
      <c r="C498" s="65">
        <v>1</v>
      </c>
      <c r="D498" s="63" t="s">
        <v>210</v>
      </c>
      <c r="E498" s="65" t="s">
        <v>211</v>
      </c>
      <c r="F498" s="65" t="s">
        <v>163</v>
      </c>
      <c r="G498" s="65" t="s">
        <v>164</v>
      </c>
      <c r="H498" s="63">
        <v>52</v>
      </c>
      <c r="I498" s="65" t="s">
        <v>165</v>
      </c>
      <c r="J498" s="63">
        <v>4736</v>
      </c>
      <c r="K498" s="64">
        <v>911.21</v>
      </c>
      <c r="L498" s="63" t="s">
        <v>1349</v>
      </c>
      <c r="M498" t="s">
        <v>1117</v>
      </c>
      <c r="N498" s="65" t="str">
        <f>queryCARRADAS_20250905_83647[[#This Row],[ORIGEM]]&amp;queryCARRADAS_20250905_83647[[#This Row],[DESTINO]]&amp;queryCARRADAS_20250905_83647[[#This Row],[MATERIAL]]</f>
        <v>BRASIL MINERACAOUA SAO LUISPÓ DE BRITA</v>
      </c>
      <c r="O498" s="68" t="s">
        <v>161</v>
      </c>
    </row>
    <row r="499" spans="2:15" x14ac:dyDescent="0.25">
      <c r="B499" s="66">
        <v>45891</v>
      </c>
      <c r="C499" s="65">
        <v>1</v>
      </c>
      <c r="D499" s="63" t="s">
        <v>170</v>
      </c>
      <c r="E499" s="65" t="s">
        <v>171</v>
      </c>
      <c r="F499" s="65" t="s">
        <v>166</v>
      </c>
      <c r="G499" s="65" t="s">
        <v>164</v>
      </c>
      <c r="H499" s="63">
        <v>58</v>
      </c>
      <c r="I499" s="65" t="s">
        <v>172</v>
      </c>
      <c r="J499" s="63">
        <v>247</v>
      </c>
      <c r="K499" s="64">
        <v>530.05999999999995</v>
      </c>
      <c r="L499" s="63" t="s">
        <v>1350</v>
      </c>
      <c r="M499" t="s">
        <v>1117</v>
      </c>
      <c r="N499" s="65" t="str">
        <f>queryCARRADAS_20250905_83647[[#This Row],[ORIGEM]]&amp;queryCARRADAS_20250905_83647[[#This Row],[DESTINO]]&amp;queryCARRADAS_20250905_83647[[#This Row],[MATERIAL]]</f>
        <v>GRANORTEUA SAO LUISBICA CORRIDA</v>
      </c>
      <c r="O499" s="68" t="s">
        <v>164</v>
      </c>
    </row>
    <row r="500" spans="2:15" x14ac:dyDescent="0.25">
      <c r="B500" s="66">
        <v>45891</v>
      </c>
      <c r="C500" s="65">
        <v>1</v>
      </c>
      <c r="D500" s="63" t="s">
        <v>188</v>
      </c>
      <c r="E500" s="65" t="s">
        <v>189</v>
      </c>
      <c r="F500" s="65" t="s">
        <v>166</v>
      </c>
      <c r="G500" s="65" t="s">
        <v>191</v>
      </c>
      <c r="H500" s="63">
        <v>243</v>
      </c>
      <c r="I500" s="65" t="s">
        <v>165</v>
      </c>
      <c r="J500" s="63">
        <v>5092</v>
      </c>
      <c r="K500" s="64">
        <v>4578.22</v>
      </c>
      <c r="L500" s="63" t="s">
        <v>1351</v>
      </c>
      <c r="M500" t="s">
        <v>1117</v>
      </c>
      <c r="N500" s="65" t="str">
        <f>queryCARRADAS_20250905_83647[[#This Row],[ORIGEM]]&amp;queryCARRADAS_20250905_83647[[#This Row],[DESTINO]]&amp;queryCARRADAS_20250905_83647[[#This Row],[MATERIAL]]</f>
        <v>GRANORTEOLINDA NOVA - MAPÓ DE BRITA</v>
      </c>
      <c r="O500" s="68" t="s">
        <v>164</v>
      </c>
    </row>
    <row r="501" spans="2:15" x14ac:dyDescent="0.25">
      <c r="B501" s="66">
        <v>45891</v>
      </c>
      <c r="C501" s="65">
        <v>1</v>
      </c>
      <c r="D501" s="63" t="s">
        <v>181</v>
      </c>
      <c r="E501" s="65" t="s">
        <v>182</v>
      </c>
      <c r="F501" s="65" t="s">
        <v>166</v>
      </c>
      <c r="G501" s="65" t="s">
        <v>218</v>
      </c>
      <c r="H501" s="63">
        <v>71</v>
      </c>
      <c r="I501" s="65" t="s">
        <v>172</v>
      </c>
      <c r="J501" s="63">
        <v>260</v>
      </c>
      <c r="K501" s="64">
        <v>683.02</v>
      </c>
      <c r="L501" s="63" t="s">
        <v>1352</v>
      </c>
      <c r="M501" t="s">
        <v>1117</v>
      </c>
      <c r="N501" s="65" t="str">
        <f>queryCARRADAS_20250905_83647[[#This Row],[ORIGEM]]&amp;queryCARRADAS_20250905_83647[[#This Row],[DESTINO]]&amp;queryCARRADAS_20250905_83647[[#This Row],[MATERIAL]]</f>
        <v>GRANORTEEXPOEMABICA CORRIDA</v>
      </c>
      <c r="O501" s="68" t="s">
        <v>164</v>
      </c>
    </row>
    <row r="502" spans="2:15" x14ac:dyDescent="0.25">
      <c r="B502" s="66">
        <v>45891</v>
      </c>
      <c r="C502" s="65">
        <v>1</v>
      </c>
      <c r="D502" s="63" t="s">
        <v>203</v>
      </c>
      <c r="E502" s="65" t="s">
        <v>204</v>
      </c>
      <c r="F502" s="65" t="s">
        <v>163</v>
      </c>
      <c r="G502" s="65" t="s">
        <v>164</v>
      </c>
      <c r="H502" s="63">
        <v>52</v>
      </c>
      <c r="I502" s="65" t="s">
        <v>165</v>
      </c>
      <c r="J502" s="63">
        <v>5026</v>
      </c>
      <c r="K502" s="64">
        <v>967</v>
      </c>
      <c r="L502" s="63" t="s">
        <v>1353</v>
      </c>
      <c r="M502" t="s">
        <v>1117</v>
      </c>
      <c r="N502" s="65" t="str">
        <f>queryCARRADAS_20250905_83647[[#This Row],[ORIGEM]]&amp;queryCARRADAS_20250905_83647[[#This Row],[DESTINO]]&amp;queryCARRADAS_20250905_83647[[#This Row],[MATERIAL]]</f>
        <v>BRASIL MINERACAOUA SAO LUISPÓ DE BRITA</v>
      </c>
      <c r="O502" s="68" t="s">
        <v>164</v>
      </c>
    </row>
    <row r="503" spans="2:15" x14ac:dyDescent="0.25">
      <c r="B503" s="66">
        <v>45891</v>
      </c>
      <c r="C503" s="65">
        <v>1</v>
      </c>
      <c r="D503" s="63" t="s">
        <v>1127</v>
      </c>
      <c r="E503" s="65" t="s">
        <v>178</v>
      </c>
      <c r="F503" s="65" t="s">
        <v>163</v>
      </c>
      <c r="G503" s="65" t="s">
        <v>164</v>
      </c>
      <c r="H503" s="63">
        <v>52</v>
      </c>
      <c r="I503" s="65" t="s">
        <v>185</v>
      </c>
      <c r="J503" s="63">
        <v>3116</v>
      </c>
      <c r="K503" s="64">
        <v>599.52</v>
      </c>
      <c r="L503" s="63" t="s">
        <v>1354</v>
      </c>
      <c r="M503" t="s">
        <v>1117</v>
      </c>
      <c r="N503" s="65" t="str">
        <f>queryCARRADAS_20250905_83647[[#This Row],[ORIGEM]]&amp;queryCARRADAS_20250905_83647[[#This Row],[DESTINO]]&amp;queryCARRADAS_20250905_83647[[#This Row],[MATERIAL]]</f>
        <v>BRASIL MINERACAOUA SAO LUISRACHÃOZINHO</v>
      </c>
      <c r="O503" s="68" t="s">
        <v>164</v>
      </c>
    </row>
    <row r="504" spans="2:15" x14ac:dyDescent="0.25">
      <c r="B504" s="66">
        <v>45891</v>
      </c>
      <c r="C504" s="65">
        <v>1</v>
      </c>
      <c r="D504" s="63" t="s">
        <v>1127</v>
      </c>
      <c r="E504" s="65" t="s">
        <v>178</v>
      </c>
      <c r="F504" s="65" t="s">
        <v>163</v>
      </c>
      <c r="G504" s="65" t="s">
        <v>164</v>
      </c>
      <c r="H504" s="63">
        <v>52</v>
      </c>
      <c r="I504" s="65" t="s">
        <v>185</v>
      </c>
      <c r="J504" s="63">
        <v>3037</v>
      </c>
      <c r="K504" s="64">
        <v>584.32000000000005</v>
      </c>
      <c r="L504" s="63" t="s">
        <v>1355</v>
      </c>
      <c r="M504" t="s">
        <v>1117</v>
      </c>
      <c r="N504" s="65" t="str">
        <f>queryCARRADAS_20250905_83647[[#This Row],[ORIGEM]]&amp;queryCARRADAS_20250905_83647[[#This Row],[DESTINO]]&amp;queryCARRADAS_20250905_83647[[#This Row],[MATERIAL]]</f>
        <v>BRASIL MINERACAOUA SAO LUISRACHÃOZINHO</v>
      </c>
      <c r="O504" s="68" t="s">
        <v>164</v>
      </c>
    </row>
    <row r="505" spans="2:15" x14ac:dyDescent="0.25">
      <c r="B505" s="66">
        <v>45891</v>
      </c>
      <c r="C505" s="65">
        <v>1</v>
      </c>
      <c r="D505" s="63" t="s">
        <v>1127</v>
      </c>
      <c r="E505" s="65" t="s">
        <v>178</v>
      </c>
      <c r="F505" s="65" t="s">
        <v>163</v>
      </c>
      <c r="G505" s="65" t="s">
        <v>164</v>
      </c>
      <c r="H505" s="63">
        <v>52</v>
      </c>
      <c r="I505" s="65" t="s">
        <v>185</v>
      </c>
      <c r="J505" s="63">
        <v>2725</v>
      </c>
      <c r="K505" s="64">
        <v>524.29</v>
      </c>
      <c r="L505" s="63" t="s">
        <v>1356</v>
      </c>
      <c r="M505" t="s">
        <v>1117</v>
      </c>
      <c r="N505" s="65" t="str">
        <f>queryCARRADAS_20250905_83647[[#This Row],[ORIGEM]]&amp;queryCARRADAS_20250905_83647[[#This Row],[DESTINO]]&amp;queryCARRADAS_20250905_83647[[#This Row],[MATERIAL]]</f>
        <v>BRASIL MINERACAOUA SAO LUISRACHÃOZINHO</v>
      </c>
      <c r="O505" s="68" t="s">
        <v>164</v>
      </c>
    </row>
    <row r="506" spans="2:15" x14ac:dyDescent="0.25">
      <c r="B506" s="66">
        <v>45891</v>
      </c>
      <c r="C506" s="65">
        <v>1</v>
      </c>
      <c r="D506" s="63" t="s">
        <v>183</v>
      </c>
      <c r="E506" s="65" t="s">
        <v>184</v>
      </c>
      <c r="F506" s="65" t="s">
        <v>163</v>
      </c>
      <c r="G506" s="65" t="s">
        <v>164</v>
      </c>
      <c r="H506" s="63">
        <v>52</v>
      </c>
      <c r="I506" s="65" t="s">
        <v>185</v>
      </c>
      <c r="J506" s="63">
        <v>3167</v>
      </c>
      <c r="K506" s="64">
        <v>609.33000000000004</v>
      </c>
      <c r="L506" s="63" t="s">
        <v>1357</v>
      </c>
      <c r="M506" t="s">
        <v>1117</v>
      </c>
      <c r="N506" s="65" t="str">
        <f>queryCARRADAS_20250905_83647[[#This Row],[ORIGEM]]&amp;queryCARRADAS_20250905_83647[[#This Row],[DESTINO]]&amp;queryCARRADAS_20250905_83647[[#This Row],[MATERIAL]]</f>
        <v>BRASIL MINERACAOUA SAO LUISRACHÃOZINHO</v>
      </c>
      <c r="O506" s="68" t="s">
        <v>164</v>
      </c>
    </row>
    <row r="507" spans="2:15" x14ac:dyDescent="0.25">
      <c r="B507" s="66">
        <v>45891</v>
      </c>
      <c r="C507" s="65">
        <v>1</v>
      </c>
      <c r="D507" s="63" t="s">
        <v>183</v>
      </c>
      <c r="E507" s="65" t="s">
        <v>184</v>
      </c>
      <c r="F507" s="65" t="s">
        <v>166</v>
      </c>
      <c r="G507" s="65" t="s">
        <v>164</v>
      </c>
      <c r="H507" s="63">
        <v>58</v>
      </c>
      <c r="I507" s="65" t="s">
        <v>172</v>
      </c>
      <c r="J507" s="63">
        <v>298</v>
      </c>
      <c r="K507" s="64">
        <v>639.51</v>
      </c>
      <c r="L507" s="63" t="s">
        <v>1358</v>
      </c>
      <c r="M507" t="s">
        <v>1117</v>
      </c>
      <c r="N507" s="65" t="str">
        <f>queryCARRADAS_20250905_83647[[#This Row],[ORIGEM]]&amp;queryCARRADAS_20250905_83647[[#This Row],[DESTINO]]&amp;queryCARRADAS_20250905_83647[[#This Row],[MATERIAL]]</f>
        <v>GRANORTEUA SAO LUISBICA CORRIDA</v>
      </c>
      <c r="O507" s="68" t="s">
        <v>164</v>
      </c>
    </row>
    <row r="508" spans="2:15" x14ac:dyDescent="0.25">
      <c r="B508" s="66">
        <v>45891</v>
      </c>
      <c r="C508" s="65">
        <v>1</v>
      </c>
      <c r="D508" s="63" t="s">
        <v>183</v>
      </c>
      <c r="E508" s="65" t="s">
        <v>184</v>
      </c>
      <c r="F508" s="65" t="s">
        <v>163</v>
      </c>
      <c r="G508" s="65" t="s">
        <v>164</v>
      </c>
      <c r="H508" s="63">
        <v>52</v>
      </c>
      <c r="I508" s="65" t="s">
        <v>165</v>
      </c>
      <c r="J508" s="63">
        <v>3128</v>
      </c>
      <c r="K508" s="64">
        <v>601.83000000000004</v>
      </c>
      <c r="L508" s="63" t="s">
        <v>1359</v>
      </c>
      <c r="M508" t="s">
        <v>1117</v>
      </c>
      <c r="N508" s="65" t="str">
        <f>queryCARRADAS_20250905_83647[[#This Row],[ORIGEM]]&amp;queryCARRADAS_20250905_83647[[#This Row],[DESTINO]]&amp;queryCARRADAS_20250905_83647[[#This Row],[MATERIAL]]</f>
        <v>BRASIL MINERACAOUA SAO LUISPÓ DE BRITA</v>
      </c>
      <c r="O508" s="68" t="s">
        <v>164</v>
      </c>
    </row>
    <row r="509" spans="2:15" x14ac:dyDescent="0.25">
      <c r="B509" s="66">
        <v>45891</v>
      </c>
      <c r="C509" s="65">
        <v>1</v>
      </c>
      <c r="D509" s="63" t="s">
        <v>202</v>
      </c>
      <c r="E509" s="65" t="s">
        <v>1153</v>
      </c>
      <c r="F509" s="65" t="s">
        <v>190</v>
      </c>
      <c r="G509" s="65" t="s">
        <v>191</v>
      </c>
      <c r="H509" s="63">
        <v>217</v>
      </c>
      <c r="I509" s="65" t="s">
        <v>165</v>
      </c>
      <c r="J509" s="63">
        <v>509</v>
      </c>
      <c r="K509" s="64">
        <v>4086.76</v>
      </c>
      <c r="L509" s="63" t="s">
        <v>1360</v>
      </c>
      <c r="M509" t="s">
        <v>1117</v>
      </c>
      <c r="N509" s="65" t="str">
        <f>queryCARRADAS_20250905_83647[[#This Row],[ORIGEM]]&amp;queryCARRADAS_20250905_83647[[#This Row],[DESTINO]]&amp;queryCARRADAS_20250905_83647[[#This Row],[MATERIAL]]</f>
        <v>SERVENGOLINDA NOVA - MAPÓ DE BRITA</v>
      </c>
      <c r="O509" s="68" t="s">
        <v>164</v>
      </c>
    </row>
    <row r="510" spans="2:15" x14ac:dyDescent="0.25">
      <c r="B510" s="66">
        <v>45891</v>
      </c>
      <c r="C510" s="65">
        <v>1</v>
      </c>
      <c r="D510" s="63" t="s">
        <v>208</v>
      </c>
      <c r="E510" s="65" t="s">
        <v>209</v>
      </c>
      <c r="F510" s="65" t="s">
        <v>190</v>
      </c>
      <c r="G510" s="65" t="s">
        <v>212</v>
      </c>
      <c r="H510" s="63">
        <v>376</v>
      </c>
      <c r="I510" s="65" t="s">
        <v>165</v>
      </c>
      <c r="J510" s="63">
        <v>800</v>
      </c>
      <c r="K510" s="64">
        <v>9625.6</v>
      </c>
      <c r="L510" s="63" t="s">
        <v>1361</v>
      </c>
      <c r="M510" t="s">
        <v>1117</v>
      </c>
      <c r="N510" s="65" t="str">
        <f>queryCARRADAS_20250905_83647[[#This Row],[ORIGEM]]&amp;queryCARRADAS_20250905_83647[[#This Row],[DESTINO]]&amp;queryCARRADAS_20250905_83647[[#This Row],[MATERIAL]]</f>
        <v>SERVENGUSINA PINHEIROPÓ DE BRITA</v>
      </c>
      <c r="O510" s="68" t="s">
        <v>164</v>
      </c>
    </row>
    <row r="511" spans="2:15" x14ac:dyDescent="0.25">
      <c r="B511" s="66">
        <v>45891</v>
      </c>
      <c r="C511" s="65">
        <v>1</v>
      </c>
      <c r="D511" s="63" t="s">
        <v>193</v>
      </c>
      <c r="E511" s="65" t="s">
        <v>194</v>
      </c>
      <c r="F511" s="65" t="s">
        <v>163</v>
      </c>
      <c r="G511" s="65" t="s">
        <v>164</v>
      </c>
      <c r="H511" s="63">
        <v>52</v>
      </c>
      <c r="I511" s="65" t="s">
        <v>185</v>
      </c>
      <c r="J511" s="63">
        <v>2828</v>
      </c>
      <c r="K511" s="64">
        <v>544.11</v>
      </c>
      <c r="L511" s="63" t="s">
        <v>1362</v>
      </c>
      <c r="M511" t="s">
        <v>1117</v>
      </c>
      <c r="N511" s="65" t="str">
        <f>queryCARRADAS_20250905_83647[[#This Row],[ORIGEM]]&amp;queryCARRADAS_20250905_83647[[#This Row],[DESTINO]]&amp;queryCARRADAS_20250905_83647[[#This Row],[MATERIAL]]</f>
        <v>BRASIL MINERACAOUA SAO LUISRACHÃOZINHO</v>
      </c>
      <c r="O511" s="68" t="s">
        <v>164</v>
      </c>
    </row>
    <row r="512" spans="2:15" x14ac:dyDescent="0.25">
      <c r="B512" s="66">
        <v>45891</v>
      </c>
      <c r="C512" s="65">
        <v>1</v>
      </c>
      <c r="D512" s="63" t="s">
        <v>193</v>
      </c>
      <c r="E512" s="65" t="s">
        <v>194</v>
      </c>
      <c r="F512" s="65" t="s">
        <v>163</v>
      </c>
      <c r="G512" s="65" t="s">
        <v>164</v>
      </c>
      <c r="H512" s="63">
        <v>52</v>
      </c>
      <c r="I512" s="65" t="s">
        <v>165</v>
      </c>
      <c r="J512" s="63">
        <v>2926</v>
      </c>
      <c r="K512" s="64">
        <v>562.96</v>
      </c>
      <c r="L512" s="63" t="s">
        <v>1363</v>
      </c>
      <c r="M512" t="s">
        <v>1117</v>
      </c>
      <c r="N512" s="65" t="str">
        <f>queryCARRADAS_20250905_83647[[#This Row],[ORIGEM]]&amp;queryCARRADAS_20250905_83647[[#This Row],[DESTINO]]&amp;queryCARRADAS_20250905_83647[[#This Row],[MATERIAL]]</f>
        <v>BRASIL MINERACAOUA SAO LUISPÓ DE BRITA</v>
      </c>
      <c r="O512" s="68" t="s">
        <v>164</v>
      </c>
    </row>
    <row r="513" spans="2:15" x14ac:dyDescent="0.25">
      <c r="B513" s="66">
        <v>45891</v>
      </c>
      <c r="C513" s="65">
        <v>1</v>
      </c>
      <c r="D513" s="63" t="s">
        <v>219</v>
      </c>
      <c r="E513" s="65" t="s">
        <v>220</v>
      </c>
      <c r="F513" s="65" t="s">
        <v>190</v>
      </c>
      <c r="G513" s="65" t="s">
        <v>212</v>
      </c>
      <c r="H513" s="63">
        <v>376</v>
      </c>
      <c r="I513" s="65" t="s">
        <v>165</v>
      </c>
      <c r="J513" s="63">
        <v>400</v>
      </c>
      <c r="K513" s="64">
        <v>4812.8</v>
      </c>
      <c r="L513" s="63" t="s">
        <v>1364</v>
      </c>
      <c r="M513" t="s">
        <v>1117</v>
      </c>
      <c r="N513" s="65" t="str">
        <f>queryCARRADAS_20250905_83647[[#This Row],[ORIGEM]]&amp;queryCARRADAS_20250905_83647[[#This Row],[DESTINO]]&amp;queryCARRADAS_20250905_83647[[#This Row],[MATERIAL]]</f>
        <v>SERVENGUSINA PINHEIROPÓ DE BRITA</v>
      </c>
      <c r="O513" s="68" t="s">
        <v>164</v>
      </c>
    </row>
    <row r="514" spans="2:15" x14ac:dyDescent="0.25">
      <c r="B514" s="66">
        <v>45891</v>
      </c>
      <c r="C514" s="65">
        <v>1</v>
      </c>
      <c r="D514" s="63" t="s">
        <v>219</v>
      </c>
      <c r="E514" s="65" t="s">
        <v>220</v>
      </c>
      <c r="F514" s="65" t="s">
        <v>190</v>
      </c>
      <c r="G514" s="65" t="s">
        <v>191</v>
      </c>
      <c r="H514" s="63">
        <v>217</v>
      </c>
      <c r="I514" s="65" t="s">
        <v>165</v>
      </c>
      <c r="J514" s="63">
        <v>370</v>
      </c>
      <c r="K514" s="64">
        <v>2569.2800000000002</v>
      </c>
      <c r="L514" s="63" t="s">
        <v>1365</v>
      </c>
      <c r="M514" t="s">
        <v>1117</v>
      </c>
      <c r="N514" s="65" t="str">
        <f>queryCARRADAS_20250905_83647[[#This Row],[ORIGEM]]&amp;queryCARRADAS_20250905_83647[[#This Row],[DESTINO]]&amp;queryCARRADAS_20250905_83647[[#This Row],[MATERIAL]]</f>
        <v>SERVENGOLINDA NOVA - MAPÓ DE BRITA</v>
      </c>
      <c r="O514" s="68" t="s">
        <v>164</v>
      </c>
    </row>
    <row r="515" spans="2:15" x14ac:dyDescent="0.25">
      <c r="B515" s="66">
        <v>45891</v>
      </c>
      <c r="C515" s="65">
        <v>1</v>
      </c>
      <c r="D515" s="63" t="s">
        <v>219</v>
      </c>
      <c r="E515" s="65" t="s">
        <v>220</v>
      </c>
      <c r="F515" s="65" t="s">
        <v>190</v>
      </c>
      <c r="G515" s="65" t="s">
        <v>212</v>
      </c>
      <c r="H515" s="63">
        <v>376</v>
      </c>
      <c r="I515" s="65" t="s">
        <v>165</v>
      </c>
      <c r="J515" s="63">
        <v>328</v>
      </c>
      <c r="K515" s="64">
        <v>3946.5</v>
      </c>
      <c r="L515" s="63" t="s">
        <v>1366</v>
      </c>
      <c r="M515" t="s">
        <v>1117</v>
      </c>
      <c r="N515" s="65" t="str">
        <f>queryCARRADAS_20250905_83647[[#This Row],[ORIGEM]]&amp;queryCARRADAS_20250905_83647[[#This Row],[DESTINO]]&amp;queryCARRADAS_20250905_83647[[#This Row],[MATERIAL]]</f>
        <v>SERVENGUSINA PINHEIROPÓ DE BRITA</v>
      </c>
      <c r="O515" s="68" t="s">
        <v>164</v>
      </c>
    </row>
    <row r="516" spans="2:15" x14ac:dyDescent="0.25">
      <c r="B516" s="66">
        <v>45891</v>
      </c>
      <c r="C516" s="65">
        <v>1</v>
      </c>
      <c r="D516" s="63" t="s">
        <v>179</v>
      </c>
      <c r="E516" s="65" t="s">
        <v>180</v>
      </c>
      <c r="F516" s="65" t="s">
        <v>163</v>
      </c>
      <c r="G516" s="65" t="s">
        <v>164</v>
      </c>
      <c r="H516" s="63">
        <v>52</v>
      </c>
      <c r="I516" s="65" t="s">
        <v>185</v>
      </c>
      <c r="J516" s="63">
        <v>259</v>
      </c>
      <c r="K516" s="64">
        <v>498.32</v>
      </c>
      <c r="L516" s="63" t="s">
        <v>1367</v>
      </c>
      <c r="M516" t="s">
        <v>1117</v>
      </c>
      <c r="N516" s="65" t="str">
        <f>queryCARRADAS_20250905_83647[[#This Row],[ORIGEM]]&amp;queryCARRADAS_20250905_83647[[#This Row],[DESTINO]]&amp;queryCARRADAS_20250905_83647[[#This Row],[MATERIAL]]</f>
        <v>BRASIL MINERACAOUA SAO LUISRACHÃOZINHO</v>
      </c>
      <c r="O516" s="68" t="s">
        <v>164</v>
      </c>
    </row>
    <row r="517" spans="2:15" x14ac:dyDescent="0.25">
      <c r="B517" s="66">
        <v>45891</v>
      </c>
      <c r="C517" s="65">
        <v>1</v>
      </c>
      <c r="D517" s="63" t="s">
        <v>179</v>
      </c>
      <c r="E517" s="65" t="s">
        <v>180</v>
      </c>
      <c r="F517" s="65" t="s">
        <v>163</v>
      </c>
      <c r="G517" s="65" t="s">
        <v>164</v>
      </c>
      <c r="H517" s="63">
        <v>52</v>
      </c>
      <c r="I517" s="65" t="s">
        <v>185</v>
      </c>
      <c r="J517" s="63">
        <v>265</v>
      </c>
      <c r="K517" s="64">
        <v>509.86</v>
      </c>
      <c r="L517" s="63" t="s">
        <v>1368</v>
      </c>
      <c r="M517" t="s">
        <v>1117</v>
      </c>
      <c r="N517" s="65" t="str">
        <f>queryCARRADAS_20250905_83647[[#This Row],[ORIGEM]]&amp;queryCARRADAS_20250905_83647[[#This Row],[DESTINO]]&amp;queryCARRADAS_20250905_83647[[#This Row],[MATERIAL]]</f>
        <v>BRASIL MINERACAOUA SAO LUISRACHÃOZINHO</v>
      </c>
      <c r="O517" s="68" t="s">
        <v>164</v>
      </c>
    </row>
    <row r="518" spans="2:15" x14ac:dyDescent="0.25">
      <c r="B518" s="66">
        <v>45891</v>
      </c>
      <c r="C518" s="65">
        <v>1</v>
      </c>
      <c r="D518" s="63" t="s">
        <v>179</v>
      </c>
      <c r="E518" s="65" t="s">
        <v>180</v>
      </c>
      <c r="F518" s="65" t="s">
        <v>163</v>
      </c>
      <c r="G518" s="65" t="s">
        <v>164</v>
      </c>
      <c r="H518" s="63">
        <v>52</v>
      </c>
      <c r="I518" s="65" t="s">
        <v>185</v>
      </c>
      <c r="J518" s="63">
        <v>253</v>
      </c>
      <c r="K518" s="64">
        <v>486.77</v>
      </c>
      <c r="L518" s="63" t="s">
        <v>1369</v>
      </c>
      <c r="M518" t="s">
        <v>1117</v>
      </c>
      <c r="N518" s="65" t="str">
        <f>queryCARRADAS_20250905_83647[[#This Row],[ORIGEM]]&amp;queryCARRADAS_20250905_83647[[#This Row],[DESTINO]]&amp;queryCARRADAS_20250905_83647[[#This Row],[MATERIAL]]</f>
        <v>BRASIL MINERACAOUA SAO LUISRACHÃOZINHO</v>
      </c>
      <c r="O518" s="68" t="s">
        <v>164</v>
      </c>
    </row>
    <row r="519" spans="2:15" x14ac:dyDescent="0.25">
      <c r="B519" s="66">
        <v>45892</v>
      </c>
      <c r="C519" s="65">
        <v>1</v>
      </c>
      <c r="D519" s="63" t="s">
        <v>167</v>
      </c>
      <c r="E519" s="65" t="s">
        <v>168</v>
      </c>
      <c r="F519" s="65" t="s">
        <v>166</v>
      </c>
      <c r="G519" s="65" t="s">
        <v>218</v>
      </c>
      <c r="H519" s="63">
        <v>71</v>
      </c>
      <c r="I519" s="65" t="s">
        <v>172</v>
      </c>
      <c r="J519" s="63">
        <v>2636</v>
      </c>
      <c r="K519" s="64">
        <v>692.48</v>
      </c>
      <c r="L519" s="63" t="s">
        <v>1320</v>
      </c>
      <c r="M519" t="s">
        <v>1117</v>
      </c>
      <c r="N519" s="65" t="str">
        <f>queryCARRADAS_20250905_83647[[#This Row],[ORIGEM]]&amp;queryCARRADAS_20250905_83647[[#This Row],[DESTINO]]&amp;queryCARRADAS_20250905_83647[[#This Row],[MATERIAL]]</f>
        <v>GRANORTEEXPOEMABICA CORRIDA</v>
      </c>
      <c r="O519" s="68" t="s">
        <v>164</v>
      </c>
    </row>
    <row r="520" spans="2:15" x14ac:dyDescent="0.25">
      <c r="B520" s="66">
        <v>45892</v>
      </c>
      <c r="C520" s="65">
        <v>1</v>
      </c>
      <c r="D520" s="63" t="s">
        <v>181</v>
      </c>
      <c r="E520" s="65" t="s">
        <v>182</v>
      </c>
      <c r="F520" s="65" t="s">
        <v>166</v>
      </c>
      <c r="G520" s="65" t="s">
        <v>218</v>
      </c>
      <c r="H520" s="63">
        <v>71</v>
      </c>
      <c r="I520" s="65" t="s">
        <v>172</v>
      </c>
      <c r="J520" s="63">
        <v>2828</v>
      </c>
      <c r="K520" s="64">
        <v>742.92</v>
      </c>
      <c r="L520" s="63" t="s">
        <v>1321</v>
      </c>
      <c r="M520" t="s">
        <v>1117</v>
      </c>
      <c r="N520" s="65" t="str">
        <f>queryCARRADAS_20250905_83647[[#This Row],[ORIGEM]]&amp;queryCARRADAS_20250905_83647[[#This Row],[DESTINO]]&amp;queryCARRADAS_20250905_83647[[#This Row],[MATERIAL]]</f>
        <v>GRANORTEEXPOEMABICA CORRIDA</v>
      </c>
      <c r="O520" s="68" t="s">
        <v>164</v>
      </c>
    </row>
    <row r="521" spans="2:15" x14ac:dyDescent="0.25">
      <c r="B521" s="66">
        <v>45892</v>
      </c>
      <c r="C521" s="65">
        <v>1</v>
      </c>
      <c r="D521" s="63" t="s">
        <v>167</v>
      </c>
      <c r="E521" s="65" t="s">
        <v>168</v>
      </c>
      <c r="F521" s="65" t="s">
        <v>166</v>
      </c>
      <c r="G521" s="65" t="s">
        <v>218</v>
      </c>
      <c r="H521" s="63">
        <v>71</v>
      </c>
      <c r="I521" s="65" t="s">
        <v>172</v>
      </c>
      <c r="J521" s="63">
        <v>2824</v>
      </c>
      <c r="K521" s="64">
        <v>741.86</v>
      </c>
      <c r="L521" s="63" t="s">
        <v>1322</v>
      </c>
      <c r="M521" t="s">
        <v>1117</v>
      </c>
      <c r="N521" s="65" t="str">
        <f>queryCARRADAS_20250905_83647[[#This Row],[ORIGEM]]&amp;queryCARRADAS_20250905_83647[[#This Row],[DESTINO]]&amp;queryCARRADAS_20250905_83647[[#This Row],[MATERIAL]]</f>
        <v>GRANORTEEXPOEMABICA CORRIDA</v>
      </c>
      <c r="O521" s="68" t="s">
        <v>164</v>
      </c>
    </row>
    <row r="522" spans="2:15" x14ac:dyDescent="0.25">
      <c r="B522" s="66">
        <v>45892</v>
      </c>
      <c r="C522" s="65">
        <v>1</v>
      </c>
      <c r="D522" s="63" t="s">
        <v>208</v>
      </c>
      <c r="E522" s="65" t="s">
        <v>209</v>
      </c>
      <c r="F522" s="65" t="s">
        <v>190</v>
      </c>
      <c r="G522" s="65" t="s">
        <v>212</v>
      </c>
      <c r="H522" s="63">
        <v>376</v>
      </c>
      <c r="I522" s="65" t="s">
        <v>165</v>
      </c>
      <c r="J522" s="63">
        <v>750</v>
      </c>
      <c r="K522" s="64">
        <v>9024</v>
      </c>
      <c r="L522" s="63" t="s">
        <v>1323</v>
      </c>
      <c r="M522" t="s">
        <v>1117</v>
      </c>
      <c r="N522" s="65" t="str">
        <f>queryCARRADAS_20250905_83647[[#This Row],[ORIGEM]]&amp;queryCARRADAS_20250905_83647[[#This Row],[DESTINO]]&amp;queryCARRADAS_20250905_83647[[#This Row],[MATERIAL]]</f>
        <v>SERVENGUSINA PINHEIROPÓ DE BRITA</v>
      </c>
      <c r="O522" s="68" t="s">
        <v>164</v>
      </c>
    </row>
    <row r="523" spans="2:15" x14ac:dyDescent="0.25">
      <c r="B523" s="66">
        <v>45892</v>
      </c>
      <c r="C523" s="65">
        <v>1</v>
      </c>
      <c r="D523" s="63" t="s">
        <v>170</v>
      </c>
      <c r="E523" s="65" t="s">
        <v>171</v>
      </c>
      <c r="F523" s="65" t="s">
        <v>166</v>
      </c>
      <c r="G523" s="65" t="s">
        <v>1324</v>
      </c>
      <c r="H523" s="63">
        <v>38</v>
      </c>
      <c r="I523" s="65" t="s">
        <v>169</v>
      </c>
      <c r="J523" s="63">
        <v>3514</v>
      </c>
      <c r="K523" s="64">
        <v>494.07</v>
      </c>
      <c r="L523" s="63" t="s">
        <v>1325</v>
      </c>
      <c r="M523" t="s">
        <v>1117</v>
      </c>
      <c r="N523" s="65" t="str">
        <f>queryCARRADAS_20250905_83647[[#This Row],[ORIGEM]]&amp;queryCARRADAS_20250905_83647[[#This Row],[DESTINO]]&amp;queryCARRADAS_20250905_83647[[#This Row],[MATERIAL]]</f>
        <v>GRANORTESANTA RITA - MAPULMÃOZINHO</v>
      </c>
      <c r="O523" s="68" t="s">
        <v>164</v>
      </c>
    </row>
    <row r="524" spans="2:15" x14ac:dyDescent="0.25">
      <c r="B524" s="66">
        <v>45892</v>
      </c>
      <c r="C524" s="65">
        <v>1</v>
      </c>
      <c r="D524" s="63" t="s">
        <v>162</v>
      </c>
      <c r="E524" s="65" t="s">
        <v>1134</v>
      </c>
      <c r="F524" s="65" t="s">
        <v>166</v>
      </c>
      <c r="G524" s="65" t="s">
        <v>458</v>
      </c>
      <c r="H524" s="63">
        <v>50</v>
      </c>
      <c r="I524" s="65" t="s">
        <v>172</v>
      </c>
      <c r="J524" s="63">
        <v>2712</v>
      </c>
      <c r="K524" s="64">
        <v>501.72</v>
      </c>
      <c r="L524" s="63" t="s">
        <v>1326</v>
      </c>
      <c r="M524" t="s">
        <v>1117</v>
      </c>
      <c r="N524" s="65" t="str">
        <f>queryCARRADAS_20250905_83647[[#This Row],[ORIGEM]]&amp;queryCARRADAS_20250905_83647[[#This Row],[DESTINO]]&amp;queryCARRADAS_20250905_83647[[#This Row],[MATERIAL]]</f>
        <v>GRANORTEDEPOSITO DISTRITOBICA CORRIDA</v>
      </c>
      <c r="O524" s="68" t="s">
        <v>164</v>
      </c>
    </row>
    <row r="525" spans="2:15" x14ac:dyDescent="0.25">
      <c r="B525" s="66">
        <v>45892</v>
      </c>
      <c r="C525" s="65">
        <v>1</v>
      </c>
      <c r="D525" s="63" t="s">
        <v>1127</v>
      </c>
      <c r="E525" s="65" t="s">
        <v>178</v>
      </c>
      <c r="F525" s="65" t="s">
        <v>166</v>
      </c>
      <c r="G525" s="65" t="s">
        <v>1324</v>
      </c>
      <c r="H525" s="63">
        <v>38</v>
      </c>
      <c r="I525" s="65" t="s">
        <v>169</v>
      </c>
      <c r="J525" s="63">
        <v>4282</v>
      </c>
      <c r="K525" s="64">
        <v>602.04999999999995</v>
      </c>
      <c r="L525" s="63" t="s">
        <v>1327</v>
      </c>
      <c r="M525" t="s">
        <v>1117</v>
      </c>
      <c r="N525" s="65" t="str">
        <f>queryCARRADAS_20250905_83647[[#This Row],[ORIGEM]]&amp;queryCARRADAS_20250905_83647[[#This Row],[DESTINO]]&amp;queryCARRADAS_20250905_83647[[#This Row],[MATERIAL]]</f>
        <v>GRANORTESANTA RITA - MAPULMÃOZINHO</v>
      </c>
      <c r="O525" s="68" t="s">
        <v>164</v>
      </c>
    </row>
    <row r="526" spans="2:15" x14ac:dyDescent="0.25">
      <c r="B526" s="66">
        <v>45892</v>
      </c>
      <c r="C526" s="65">
        <v>1</v>
      </c>
      <c r="D526" s="63" t="s">
        <v>1127</v>
      </c>
      <c r="E526" s="65" t="s">
        <v>178</v>
      </c>
      <c r="F526" s="65" t="s">
        <v>166</v>
      </c>
      <c r="G526" s="65" t="s">
        <v>1324</v>
      </c>
      <c r="H526" s="63">
        <v>38</v>
      </c>
      <c r="I526" s="65" t="s">
        <v>216</v>
      </c>
      <c r="J526" s="63">
        <v>3942</v>
      </c>
      <c r="K526" s="64">
        <v>554.25</v>
      </c>
      <c r="L526" s="63" t="s">
        <v>1328</v>
      </c>
      <c r="M526" t="s">
        <v>1117</v>
      </c>
      <c r="N526" s="65" t="str">
        <f>queryCARRADAS_20250905_83647[[#This Row],[ORIGEM]]&amp;queryCARRADAS_20250905_83647[[#This Row],[DESTINO]]&amp;queryCARRADAS_20250905_83647[[#This Row],[MATERIAL]]</f>
        <v>GRANORTESANTA RITA - MABRITA 3</v>
      </c>
      <c r="O526" s="68" t="s">
        <v>164</v>
      </c>
    </row>
    <row r="527" spans="2:15" x14ac:dyDescent="0.25">
      <c r="B527" s="66">
        <v>45892</v>
      </c>
      <c r="C527" s="65">
        <v>1</v>
      </c>
      <c r="D527" s="63" t="s">
        <v>210</v>
      </c>
      <c r="E527" s="65" t="s">
        <v>211</v>
      </c>
      <c r="F527" s="65" t="s">
        <v>166</v>
      </c>
      <c r="G527" s="65" t="s">
        <v>223</v>
      </c>
      <c r="H527" s="63">
        <v>370</v>
      </c>
      <c r="I527" s="65" t="s">
        <v>165</v>
      </c>
      <c r="J527" s="63">
        <v>473</v>
      </c>
      <c r="K527" s="64">
        <v>6475.37</v>
      </c>
      <c r="L527" s="63" t="s">
        <v>1329</v>
      </c>
      <c r="M527" t="s">
        <v>1117</v>
      </c>
      <c r="N527" s="65" t="str">
        <f>queryCARRADAS_20250905_83647[[#This Row],[ORIGEM]]&amp;queryCARRADAS_20250905_83647[[#This Row],[DESTINO]]&amp;queryCARRADAS_20250905_83647[[#This Row],[MATERIAL]]</f>
        <v>GRANORTEUA PINHEIRO - MAPÓ DE BRITA</v>
      </c>
      <c r="O527" s="68" t="s">
        <v>164</v>
      </c>
    </row>
    <row r="528" spans="2:15" x14ac:dyDescent="0.25">
      <c r="B528" s="66">
        <v>45892</v>
      </c>
      <c r="C528" s="65">
        <v>1</v>
      </c>
      <c r="D528" s="63" t="s">
        <v>183</v>
      </c>
      <c r="E528" s="65" t="s">
        <v>184</v>
      </c>
      <c r="F528" s="65" t="s">
        <v>166</v>
      </c>
      <c r="G528" s="65" t="s">
        <v>164</v>
      </c>
      <c r="H528" s="63">
        <v>58</v>
      </c>
      <c r="I528" s="65" t="s">
        <v>216</v>
      </c>
      <c r="J528" s="63">
        <v>4124</v>
      </c>
      <c r="K528" s="64">
        <v>885.01</v>
      </c>
      <c r="L528" s="63" t="s">
        <v>1330</v>
      </c>
      <c r="M528" t="s">
        <v>1117</v>
      </c>
      <c r="N528" s="65" t="str">
        <f>queryCARRADAS_20250905_83647[[#This Row],[ORIGEM]]&amp;queryCARRADAS_20250905_83647[[#This Row],[DESTINO]]&amp;queryCARRADAS_20250905_83647[[#This Row],[MATERIAL]]</f>
        <v>GRANORTEUA SAO LUISBRITA 3</v>
      </c>
      <c r="O528" s="68" t="s">
        <v>164</v>
      </c>
    </row>
    <row r="529" spans="2:15" x14ac:dyDescent="0.25">
      <c r="B529" s="66">
        <v>45892</v>
      </c>
      <c r="C529" s="65">
        <v>1</v>
      </c>
      <c r="D529" s="63" t="s">
        <v>193</v>
      </c>
      <c r="E529" s="65" t="s">
        <v>194</v>
      </c>
      <c r="F529" s="65" t="s">
        <v>166</v>
      </c>
      <c r="G529" s="65" t="s">
        <v>1324</v>
      </c>
      <c r="H529" s="63">
        <v>38</v>
      </c>
      <c r="I529" s="65" t="s">
        <v>169</v>
      </c>
      <c r="J529" s="63">
        <v>4392</v>
      </c>
      <c r="K529" s="64">
        <v>617.52</v>
      </c>
      <c r="L529" s="63" t="s">
        <v>1331</v>
      </c>
      <c r="M529" t="s">
        <v>1117</v>
      </c>
      <c r="N529" s="65" t="str">
        <f>queryCARRADAS_20250905_83647[[#This Row],[ORIGEM]]&amp;queryCARRADAS_20250905_83647[[#This Row],[DESTINO]]&amp;queryCARRADAS_20250905_83647[[#This Row],[MATERIAL]]</f>
        <v>GRANORTESANTA RITA - MAPULMÃOZINHO</v>
      </c>
      <c r="O529" s="68" t="s">
        <v>164</v>
      </c>
    </row>
    <row r="530" spans="2:15" x14ac:dyDescent="0.25">
      <c r="B530" s="66">
        <v>45892</v>
      </c>
      <c r="C530" s="65">
        <v>1</v>
      </c>
      <c r="D530" s="63" t="s">
        <v>213</v>
      </c>
      <c r="E530" s="65" t="s">
        <v>214</v>
      </c>
      <c r="F530" s="65" t="s">
        <v>166</v>
      </c>
      <c r="G530" s="65" t="s">
        <v>191</v>
      </c>
      <c r="H530" s="63">
        <v>243</v>
      </c>
      <c r="I530" s="65" t="s">
        <v>165</v>
      </c>
      <c r="J530" s="63">
        <v>4766</v>
      </c>
      <c r="K530" s="64">
        <v>4285.1099999999997</v>
      </c>
      <c r="L530" s="63" t="s">
        <v>1332</v>
      </c>
      <c r="M530" t="s">
        <v>1117</v>
      </c>
      <c r="N530" s="65" t="str">
        <f>queryCARRADAS_20250905_83647[[#This Row],[ORIGEM]]&amp;queryCARRADAS_20250905_83647[[#This Row],[DESTINO]]&amp;queryCARRADAS_20250905_83647[[#This Row],[MATERIAL]]</f>
        <v>GRANORTEOLINDA NOVA - MAPÓ DE BRITA</v>
      </c>
      <c r="O530" s="68" t="s">
        <v>164</v>
      </c>
    </row>
    <row r="531" spans="2:15" x14ac:dyDescent="0.25">
      <c r="B531" s="66">
        <v>45892</v>
      </c>
      <c r="C531" s="65">
        <v>1</v>
      </c>
      <c r="D531" s="63" t="s">
        <v>219</v>
      </c>
      <c r="E531" s="65" t="s">
        <v>220</v>
      </c>
      <c r="F531" s="65" t="s">
        <v>166</v>
      </c>
      <c r="G531" s="65" t="s">
        <v>223</v>
      </c>
      <c r="H531" s="63">
        <v>370</v>
      </c>
      <c r="I531" s="65" t="s">
        <v>165</v>
      </c>
      <c r="J531" s="63">
        <v>809</v>
      </c>
      <c r="K531" s="64">
        <v>9578.56</v>
      </c>
      <c r="L531" s="63" t="s">
        <v>1333</v>
      </c>
      <c r="M531" t="s">
        <v>1117</v>
      </c>
      <c r="N531" s="65" t="str">
        <f>queryCARRADAS_20250905_83647[[#This Row],[ORIGEM]]&amp;queryCARRADAS_20250905_83647[[#This Row],[DESTINO]]&amp;queryCARRADAS_20250905_83647[[#This Row],[MATERIAL]]</f>
        <v>GRANORTEUA PINHEIRO - MAPÓ DE BRITA</v>
      </c>
      <c r="O531" s="68" t="s">
        <v>164</v>
      </c>
    </row>
    <row r="532" spans="2:15" x14ac:dyDescent="0.25">
      <c r="B532" s="66">
        <v>45892</v>
      </c>
      <c r="C532" s="65">
        <v>1</v>
      </c>
      <c r="D532" s="63" t="s">
        <v>219</v>
      </c>
      <c r="E532" s="65" t="s">
        <v>220</v>
      </c>
      <c r="F532" s="65" t="s">
        <v>166</v>
      </c>
      <c r="G532" s="65" t="s">
        <v>223</v>
      </c>
      <c r="H532" s="63">
        <v>370</v>
      </c>
      <c r="I532" s="65" t="s">
        <v>165</v>
      </c>
      <c r="J532" s="63">
        <v>504</v>
      </c>
      <c r="K532" s="64">
        <v>5967.36</v>
      </c>
      <c r="L532" s="63" t="s">
        <v>1334</v>
      </c>
      <c r="M532" t="s">
        <v>1117</v>
      </c>
      <c r="N532" s="65" t="str">
        <f>queryCARRADAS_20250905_83647[[#This Row],[ORIGEM]]&amp;queryCARRADAS_20250905_83647[[#This Row],[DESTINO]]&amp;queryCARRADAS_20250905_83647[[#This Row],[MATERIAL]]</f>
        <v>GRANORTEUA PINHEIRO - MAPÓ DE BRITA</v>
      </c>
      <c r="O532" s="68" t="s">
        <v>164</v>
      </c>
    </row>
    <row r="533" spans="2:15" x14ac:dyDescent="0.25">
      <c r="B533" s="66">
        <v>45892</v>
      </c>
      <c r="C533" s="65">
        <v>1</v>
      </c>
      <c r="D533" s="63" t="s">
        <v>179</v>
      </c>
      <c r="E533" s="65" t="s">
        <v>180</v>
      </c>
      <c r="F533" s="65" t="s">
        <v>163</v>
      </c>
      <c r="G533" s="65" t="s">
        <v>164</v>
      </c>
      <c r="H533" s="63">
        <v>52</v>
      </c>
      <c r="I533" s="65" t="s">
        <v>185</v>
      </c>
      <c r="J533" s="63">
        <v>259</v>
      </c>
      <c r="K533" s="64">
        <v>498.32</v>
      </c>
      <c r="L533" s="63" t="s">
        <v>1335</v>
      </c>
      <c r="M533" t="s">
        <v>1117</v>
      </c>
      <c r="N533" s="65" t="str">
        <f>queryCARRADAS_20250905_83647[[#This Row],[ORIGEM]]&amp;queryCARRADAS_20250905_83647[[#This Row],[DESTINO]]&amp;queryCARRADAS_20250905_83647[[#This Row],[MATERIAL]]</f>
        <v>BRASIL MINERACAOUA SAO LUISRACHÃOZINHO</v>
      </c>
      <c r="O533" s="68" t="s">
        <v>164</v>
      </c>
    </row>
    <row r="534" spans="2:15" x14ac:dyDescent="0.25">
      <c r="B534" s="66">
        <v>45892</v>
      </c>
      <c r="C534" s="65">
        <v>1</v>
      </c>
      <c r="D534" s="63" t="s">
        <v>179</v>
      </c>
      <c r="E534" s="65" t="s">
        <v>180</v>
      </c>
      <c r="F534" s="65" t="s">
        <v>166</v>
      </c>
      <c r="G534" s="65" t="s">
        <v>1324</v>
      </c>
      <c r="H534" s="63">
        <v>38</v>
      </c>
      <c r="I534" s="65" t="s">
        <v>169</v>
      </c>
      <c r="J534" s="63">
        <v>399</v>
      </c>
      <c r="K534" s="64">
        <v>560.99</v>
      </c>
      <c r="L534" s="63" t="s">
        <v>1336</v>
      </c>
      <c r="M534" t="s">
        <v>1117</v>
      </c>
      <c r="N534" s="65" t="str">
        <f>queryCARRADAS_20250905_83647[[#This Row],[ORIGEM]]&amp;queryCARRADAS_20250905_83647[[#This Row],[DESTINO]]&amp;queryCARRADAS_20250905_83647[[#This Row],[MATERIAL]]</f>
        <v>GRANORTESANTA RITA - MAPULMÃOZINHO</v>
      </c>
      <c r="O534" s="68" t="s">
        <v>164</v>
      </c>
    </row>
    <row r="535" spans="2:15" x14ac:dyDescent="0.25">
      <c r="B535" s="66">
        <v>45894</v>
      </c>
      <c r="C535" s="65">
        <v>1</v>
      </c>
      <c r="D535" s="63" t="s">
        <v>205</v>
      </c>
      <c r="E535" s="65" t="s">
        <v>206</v>
      </c>
      <c r="F535" s="65" t="s">
        <v>276</v>
      </c>
      <c r="G535" s="65" t="s">
        <v>1295</v>
      </c>
      <c r="H535" s="63">
        <v>128</v>
      </c>
      <c r="I535" s="65" t="s">
        <v>279</v>
      </c>
      <c r="J535" s="63">
        <v>3688</v>
      </c>
      <c r="K535" s="64">
        <v>1510.6</v>
      </c>
      <c r="L535" s="63" t="s">
        <v>1296</v>
      </c>
      <c r="M535" t="s">
        <v>1117</v>
      </c>
      <c r="N535" s="65" t="str">
        <f>queryCARRADAS_20250905_83647[[#This Row],[ORIGEM]]&amp;queryCARRADAS_20250905_83647[[#This Row],[DESTINO]]&amp;queryCARRADAS_20250905_83647[[#This Row],[MATERIAL]]</f>
        <v>MINERADORA PORTO FRANCOIMPERATRIZ OBRA BURITIMATACO</v>
      </c>
      <c r="O535" s="68" t="s">
        <v>164</v>
      </c>
    </row>
    <row r="536" spans="2:15" x14ac:dyDescent="0.25">
      <c r="B536" s="66">
        <v>45894</v>
      </c>
      <c r="C536" s="65">
        <v>1</v>
      </c>
      <c r="D536" s="63" t="s">
        <v>202</v>
      </c>
      <c r="E536" s="65" t="s">
        <v>1153</v>
      </c>
      <c r="F536" s="65" t="s">
        <v>190</v>
      </c>
      <c r="G536" s="65" t="s">
        <v>191</v>
      </c>
      <c r="H536" s="63">
        <v>217</v>
      </c>
      <c r="I536" s="65" t="s">
        <v>165</v>
      </c>
      <c r="J536" s="63">
        <v>4864</v>
      </c>
      <c r="K536" s="64">
        <v>3905.31</v>
      </c>
      <c r="L536" s="63" t="s">
        <v>1297</v>
      </c>
      <c r="M536" t="s">
        <v>1117</v>
      </c>
      <c r="N536" s="65" t="str">
        <f>queryCARRADAS_20250905_83647[[#This Row],[ORIGEM]]&amp;queryCARRADAS_20250905_83647[[#This Row],[DESTINO]]&amp;queryCARRADAS_20250905_83647[[#This Row],[MATERIAL]]</f>
        <v>SERVENGOLINDA NOVA - MAPÓ DE BRITA</v>
      </c>
      <c r="O536" s="68" t="s">
        <v>164</v>
      </c>
    </row>
    <row r="537" spans="2:15" x14ac:dyDescent="0.25">
      <c r="B537" s="66">
        <v>45894</v>
      </c>
      <c r="C537" s="65">
        <v>1</v>
      </c>
      <c r="D537" s="63" t="s">
        <v>170</v>
      </c>
      <c r="E537" s="65" t="s">
        <v>171</v>
      </c>
      <c r="F537" s="65" t="s">
        <v>166</v>
      </c>
      <c r="G537" s="65" t="s">
        <v>164</v>
      </c>
      <c r="H537" s="63">
        <v>58</v>
      </c>
      <c r="I537" s="65" t="s">
        <v>165</v>
      </c>
      <c r="J537" s="63">
        <v>2602</v>
      </c>
      <c r="K537" s="64">
        <v>558.39</v>
      </c>
      <c r="L537" s="63" t="s">
        <v>1298</v>
      </c>
      <c r="M537" t="s">
        <v>1117</v>
      </c>
      <c r="N537" s="65" t="str">
        <f>queryCARRADAS_20250905_83647[[#This Row],[ORIGEM]]&amp;queryCARRADAS_20250905_83647[[#This Row],[DESTINO]]&amp;queryCARRADAS_20250905_83647[[#This Row],[MATERIAL]]</f>
        <v>GRANORTEUA SAO LUISPÓ DE BRITA</v>
      </c>
      <c r="O537" s="68" t="s">
        <v>164</v>
      </c>
    </row>
    <row r="538" spans="2:15" x14ac:dyDescent="0.25">
      <c r="B538" s="66">
        <v>45894</v>
      </c>
      <c r="C538" s="65">
        <v>1</v>
      </c>
      <c r="D538" s="63" t="s">
        <v>203</v>
      </c>
      <c r="E538" s="65" t="s">
        <v>204</v>
      </c>
      <c r="F538" s="65" t="s">
        <v>166</v>
      </c>
      <c r="G538" s="65" t="s">
        <v>223</v>
      </c>
      <c r="H538" s="63">
        <v>370</v>
      </c>
      <c r="I538" s="65" t="s">
        <v>165</v>
      </c>
      <c r="J538" s="63">
        <v>478</v>
      </c>
      <c r="K538" s="64">
        <v>6543.82</v>
      </c>
      <c r="L538" s="63" t="s">
        <v>1299</v>
      </c>
      <c r="M538" t="s">
        <v>1117</v>
      </c>
      <c r="N538" s="65" t="str">
        <f>queryCARRADAS_20250905_83647[[#This Row],[ORIGEM]]&amp;queryCARRADAS_20250905_83647[[#This Row],[DESTINO]]&amp;queryCARRADAS_20250905_83647[[#This Row],[MATERIAL]]</f>
        <v>GRANORTEUA PINHEIRO - MAPÓ DE BRITA</v>
      </c>
      <c r="O538" s="68" t="s">
        <v>164</v>
      </c>
    </row>
    <row r="539" spans="2:15" x14ac:dyDescent="0.25">
      <c r="B539" s="66">
        <v>45894</v>
      </c>
      <c r="C539" s="65">
        <v>1</v>
      </c>
      <c r="D539" s="63" t="s">
        <v>167</v>
      </c>
      <c r="E539" s="65" t="s">
        <v>168</v>
      </c>
      <c r="F539" s="65" t="s">
        <v>166</v>
      </c>
      <c r="G539" s="65" t="s">
        <v>218</v>
      </c>
      <c r="H539" s="63">
        <v>71</v>
      </c>
      <c r="I539" s="65" t="s">
        <v>172</v>
      </c>
      <c r="J539" s="63">
        <v>2694</v>
      </c>
      <c r="K539" s="64">
        <v>707.71</v>
      </c>
      <c r="L539" s="63" t="s">
        <v>1300</v>
      </c>
      <c r="M539" t="s">
        <v>1117</v>
      </c>
      <c r="N539" s="65" t="str">
        <f>queryCARRADAS_20250905_83647[[#This Row],[ORIGEM]]&amp;queryCARRADAS_20250905_83647[[#This Row],[DESTINO]]&amp;queryCARRADAS_20250905_83647[[#This Row],[MATERIAL]]</f>
        <v>GRANORTEEXPOEMABICA CORRIDA</v>
      </c>
      <c r="O539" s="68" t="s">
        <v>164</v>
      </c>
    </row>
    <row r="540" spans="2:15" x14ac:dyDescent="0.25">
      <c r="B540" s="66">
        <v>45894</v>
      </c>
      <c r="C540" s="65">
        <v>1</v>
      </c>
      <c r="D540" s="63" t="s">
        <v>167</v>
      </c>
      <c r="E540" s="65" t="s">
        <v>168</v>
      </c>
      <c r="F540" s="65" t="s">
        <v>166</v>
      </c>
      <c r="G540" s="65" t="s">
        <v>218</v>
      </c>
      <c r="H540" s="63">
        <v>71</v>
      </c>
      <c r="I540" s="65" t="s">
        <v>172</v>
      </c>
      <c r="J540" s="63">
        <v>2562</v>
      </c>
      <c r="K540" s="64">
        <v>673.04</v>
      </c>
      <c r="L540" s="63" t="s">
        <v>1301</v>
      </c>
      <c r="M540" t="s">
        <v>1117</v>
      </c>
      <c r="N540" s="65" t="str">
        <f>queryCARRADAS_20250905_83647[[#This Row],[ORIGEM]]&amp;queryCARRADAS_20250905_83647[[#This Row],[DESTINO]]&amp;queryCARRADAS_20250905_83647[[#This Row],[MATERIAL]]</f>
        <v>GRANORTEEXPOEMABICA CORRIDA</v>
      </c>
      <c r="O540" s="68" t="s">
        <v>164</v>
      </c>
    </row>
    <row r="541" spans="2:15" x14ac:dyDescent="0.25">
      <c r="B541" s="66">
        <v>45894</v>
      </c>
      <c r="C541" s="65">
        <v>1</v>
      </c>
      <c r="D541" s="63" t="s">
        <v>170</v>
      </c>
      <c r="E541" s="65" t="s">
        <v>171</v>
      </c>
      <c r="F541" s="65" t="s">
        <v>166</v>
      </c>
      <c r="G541" s="65" t="s">
        <v>164</v>
      </c>
      <c r="H541" s="63">
        <v>58</v>
      </c>
      <c r="I541" s="65" t="s">
        <v>165</v>
      </c>
      <c r="J541" s="63">
        <v>3078</v>
      </c>
      <c r="K541" s="64">
        <v>660.54</v>
      </c>
      <c r="L541" s="63" t="s">
        <v>1302</v>
      </c>
      <c r="M541" t="s">
        <v>1117</v>
      </c>
      <c r="N541" s="65" t="str">
        <f>queryCARRADAS_20250905_83647[[#This Row],[ORIGEM]]&amp;queryCARRADAS_20250905_83647[[#This Row],[DESTINO]]&amp;queryCARRADAS_20250905_83647[[#This Row],[MATERIAL]]</f>
        <v>GRANORTEUA SAO LUISPÓ DE BRITA</v>
      </c>
      <c r="O541" s="68" t="s">
        <v>164</v>
      </c>
    </row>
    <row r="542" spans="2:15" x14ac:dyDescent="0.25">
      <c r="B542" s="66">
        <v>45894</v>
      </c>
      <c r="C542" s="65">
        <v>1</v>
      </c>
      <c r="D542" s="63" t="s">
        <v>219</v>
      </c>
      <c r="E542" s="65" t="s">
        <v>220</v>
      </c>
      <c r="F542" s="65" t="s">
        <v>166</v>
      </c>
      <c r="G542" s="65" t="s">
        <v>164</v>
      </c>
      <c r="H542" s="63">
        <v>58</v>
      </c>
      <c r="I542" s="65" t="s">
        <v>165</v>
      </c>
      <c r="J542" s="63">
        <v>603</v>
      </c>
      <c r="K542" s="64">
        <v>1294.04</v>
      </c>
      <c r="L542" s="63" t="s">
        <v>1303</v>
      </c>
      <c r="M542" t="s">
        <v>1117</v>
      </c>
      <c r="N542" s="65" t="str">
        <f>queryCARRADAS_20250905_83647[[#This Row],[ORIGEM]]&amp;queryCARRADAS_20250905_83647[[#This Row],[DESTINO]]&amp;queryCARRADAS_20250905_83647[[#This Row],[MATERIAL]]</f>
        <v>GRANORTEUA SAO LUISPÓ DE BRITA</v>
      </c>
      <c r="O542" s="68" t="s">
        <v>164</v>
      </c>
    </row>
    <row r="543" spans="2:15" x14ac:dyDescent="0.25">
      <c r="B543" s="66">
        <v>45894</v>
      </c>
      <c r="C543" s="65">
        <v>1</v>
      </c>
      <c r="D543" s="63" t="s">
        <v>170</v>
      </c>
      <c r="E543" s="65" t="s">
        <v>171</v>
      </c>
      <c r="F543" s="65" t="s">
        <v>166</v>
      </c>
      <c r="G543" s="65" t="s">
        <v>164</v>
      </c>
      <c r="H543" s="63">
        <v>58</v>
      </c>
      <c r="I543" s="65" t="s">
        <v>165</v>
      </c>
      <c r="J543" s="63">
        <v>2708</v>
      </c>
      <c r="K543" s="64">
        <v>581.14</v>
      </c>
      <c r="L543" s="63" t="s">
        <v>1304</v>
      </c>
      <c r="M543" t="s">
        <v>1117</v>
      </c>
      <c r="N543" s="65" t="str">
        <f>queryCARRADAS_20250905_83647[[#This Row],[ORIGEM]]&amp;queryCARRADAS_20250905_83647[[#This Row],[DESTINO]]&amp;queryCARRADAS_20250905_83647[[#This Row],[MATERIAL]]</f>
        <v>GRANORTEUA SAO LUISPÓ DE BRITA</v>
      </c>
      <c r="O543" s="68" t="s">
        <v>164</v>
      </c>
    </row>
    <row r="544" spans="2:15" x14ac:dyDescent="0.25">
      <c r="B544" s="66">
        <v>45894</v>
      </c>
      <c r="C544" s="65">
        <v>1</v>
      </c>
      <c r="D544" s="63" t="s">
        <v>162</v>
      </c>
      <c r="E544" s="65" t="s">
        <v>1134</v>
      </c>
      <c r="F544" s="65" t="s">
        <v>163</v>
      </c>
      <c r="G544" s="65" t="s">
        <v>164</v>
      </c>
      <c r="H544" s="63">
        <v>52</v>
      </c>
      <c r="I544" s="65" t="s">
        <v>185</v>
      </c>
      <c r="J544" s="63">
        <v>255</v>
      </c>
      <c r="K544" s="64">
        <v>490.62</v>
      </c>
      <c r="L544" s="63" t="s">
        <v>1305</v>
      </c>
      <c r="M544" t="s">
        <v>1117</v>
      </c>
      <c r="N544" s="65" t="str">
        <f>queryCARRADAS_20250905_83647[[#This Row],[ORIGEM]]&amp;queryCARRADAS_20250905_83647[[#This Row],[DESTINO]]&amp;queryCARRADAS_20250905_83647[[#This Row],[MATERIAL]]</f>
        <v>BRASIL MINERACAOUA SAO LUISRACHÃOZINHO</v>
      </c>
      <c r="O544" s="68" t="s">
        <v>164</v>
      </c>
    </row>
    <row r="545" spans="2:15" x14ac:dyDescent="0.25">
      <c r="B545" s="66">
        <v>45894</v>
      </c>
      <c r="C545" s="65">
        <v>1</v>
      </c>
      <c r="D545" s="63" t="s">
        <v>213</v>
      </c>
      <c r="E545" s="65" t="s">
        <v>214</v>
      </c>
      <c r="F545" s="65" t="s">
        <v>166</v>
      </c>
      <c r="G545" s="65" t="s">
        <v>191</v>
      </c>
      <c r="H545" s="63">
        <v>243</v>
      </c>
      <c r="I545" s="65" t="s">
        <v>165</v>
      </c>
      <c r="J545" s="63">
        <v>480</v>
      </c>
      <c r="K545" s="64">
        <v>4315.68</v>
      </c>
      <c r="L545" s="63" t="s">
        <v>1306</v>
      </c>
      <c r="M545" t="s">
        <v>1117</v>
      </c>
      <c r="N545" s="65" t="str">
        <f>queryCARRADAS_20250905_83647[[#This Row],[ORIGEM]]&amp;queryCARRADAS_20250905_83647[[#This Row],[DESTINO]]&amp;queryCARRADAS_20250905_83647[[#This Row],[MATERIAL]]</f>
        <v>GRANORTEOLINDA NOVA - MAPÓ DE BRITA</v>
      </c>
      <c r="O545" s="68" t="s">
        <v>164</v>
      </c>
    </row>
    <row r="546" spans="2:15" x14ac:dyDescent="0.25">
      <c r="B546" s="66">
        <v>45894</v>
      </c>
      <c r="C546" s="65">
        <v>1</v>
      </c>
      <c r="D546" s="63" t="s">
        <v>183</v>
      </c>
      <c r="E546" s="65" t="s">
        <v>184</v>
      </c>
      <c r="F546" s="65" t="s">
        <v>166</v>
      </c>
      <c r="G546" s="65" t="s">
        <v>164</v>
      </c>
      <c r="H546" s="63">
        <v>58</v>
      </c>
      <c r="I546" s="65" t="s">
        <v>165</v>
      </c>
      <c r="J546" s="63">
        <v>2964</v>
      </c>
      <c r="K546" s="64">
        <v>636.07000000000005</v>
      </c>
      <c r="L546" s="63" t="s">
        <v>1307</v>
      </c>
      <c r="M546" t="s">
        <v>1117</v>
      </c>
      <c r="N546" s="65" t="str">
        <f>queryCARRADAS_20250905_83647[[#This Row],[ORIGEM]]&amp;queryCARRADAS_20250905_83647[[#This Row],[DESTINO]]&amp;queryCARRADAS_20250905_83647[[#This Row],[MATERIAL]]</f>
        <v>GRANORTEUA SAO LUISPÓ DE BRITA</v>
      </c>
      <c r="O546" s="68" t="s">
        <v>164</v>
      </c>
    </row>
    <row r="547" spans="2:15" x14ac:dyDescent="0.25">
      <c r="B547" s="66">
        <v>45894</v>
      </c>
      <c r="C547" s="65">
        <v>1</v>
      </c>
      <c r="D547" s="63" t="s">
        <v>183</v>
      </c>
      <c r="E547" s="65" t="s">
        <v>184</v>
      </c>
      <c r="F547" s="65" t="s">
        <v>166</v>
      </c>
      <c r="G547" s="65" t="s">
        <v>364</v>
      </c>
      <c r="H547" s="63">
        <v>80</v>
      </c>
      <c r="I547" s="65" t="s">
        <v>172</v>
      </c>
      <c r="J547" s="63">
        <v>303</v>
      </c>
      <c r="K547" s="64">
        <v>896.88</v>
      </c>
      <c r="L547" s="63" t="s">
        <v>1308</v>
      </c>
      <c r="M547" t="s">
        <v>1117</v>
      </c>
      <c r="N547" s="65" t="str">
        <f>queryCARRADAS_20250905_83647[[#This Row],[ORIGEM]]&amp;queryCARRADAS_20250905_83647[[#This Row],[DESTINO]]&amp;queryCARRADAS_20250905_83647[[#This Row],[MATERIAL]]</f>
        <v>GRANORTEARACAGY - SAO LUISBICA CORRIDA</v>
      </c>
      <c r="O547" s="68" t="s">
        <v>164</v>
      </c>
    </row>
    <row r="548" spans="2:15" x14ac:dyDescent="0.25">
      <c r="B548" s="66">
        <v>45894</v>
      </c>
      <c r="C548" s="65">
        <v>1</v>
      </c>
      <c r="D548" s="63" t="s">
        <v>193</v>
      </c>
      <c r="E548" s="65" t="s">
        <v>194</v>
      </c>
      <c r="F548" s="65" t="s">
        <v>166</v>
      </c>
      <c r="G548" s="65" t="s">
        <v>164</v>
      </c>
      <c r="H548" s="63">
        <v>58</v>
      </c>
      <c r="I548" s="65" t="s">
        <v>165</v>
      </c>
      <c r="J548" s="63">
        <v>2848</v>
      </c>
      <c r="K548" s="64">
        <v>611.17999999999995</v>
      </c>
      <c r="L548" s="63" t="s">
        <v>1309</v>
      </c>
      <c r="M548" t="s">
        <v>1117</v>
      </c>
      <c r="N548" s="65" t="str">
        <f>queryCARRADAS_20250905_83647[[#This Row],[ORIGEM]]&amp;queryCARRADAS_20250905_83647[[#This Row],[DESTINO]]&amp;queryCARRADAS_20250905_83647[[#This Row],[MATERIAL]]</f>
        <v>GRANORTEUA SAO LUISPÓ DE BRITA</v>
      </c>
      <c r="O548" s="68" t="s">
        <v>164</v>
      </c>
    </row>
    <row r="549" spans="2:15" x14ac:dyDescent="0.25">
      <c r="B549" s="66">
        <v>45894</v>
      </c>
      <c r="C549" s="65">
        <v>1</v>
      </c>
      <c r="D549" s="63" t="s">
        <v>193</v>
      </c>
      <c r="E549" s="65" t="s">
        <v>194</v>
      </c>
      <c r="F549" s="65" t="s">
        <v>166</v>
      </c>
      <c r="G549" s="65" t="s">
        <v>164</v>
      </c>
      <c r="H549" s="63">
        <v>58</v>
      </c>
      <c r="I549" s="65" t="s">
        <v>165</v>
      </c>
      <c r="J549" s="63">
        <v>352</v>
      </c>
      <c r="K549" s="64">
        <v>755.39</v>
      </c>
      <c r="L549" s="63" t="s">
        <v>1310</v>
      </c>
      <c r="M549" t="s">
        <v>1117</v>
      </c>
      <c r="N549" s="65" t="str">
        <f>queryCARRADAS_20250905_83647[[#This Row],[ORIGEM]]&amp;queryCARRADAS_20250905_83647[[#This Row],[DESTINO]]&amp;queryCARRADAS_20250905_83647[[#This Row],[MATERIAL]]</f>
        <v>GRANORTEUA SAO LUISPÓ DE BRITA</v>
      </c>
      <c r="O549" s="68" t="s">
        <v>164</v>
      </c>
    </row>
    <row r="550" spans="2:15" x14ac:dyDescent="0.25">
      <c r="B550" s="66">
        <v>45894</v>
      </c>
      <c r="C550" s="65">
        <v>1</v>
      </c>
      <c r="D550" s="63" t="s">
        <v>193</v>
      </c>
      <c r="E550" s="65" t="s">
        <v>194</v>
      </c>
      <c r="F550" s="65" t="s">
        <v>166</v>
      </c>
      <c r="G550" s="65" t="s">
        <v>164</v>
      </c>
      <c r="H550" s="63">
        <v>58</v>
      </c>
      <c r="I550" s="65" t="s">
        <v>165</v>
      </c>
      <c r="J550" s="63">
        <v>3278</v>
      </c>
      <c r="K550" s="64">
        <v>703.46</v>
      </c>
      <c r="L550" s="63" t="s">
        <v>1311</v>
      </c>
      <c r="M550" t="s">
        <v>1117</v>
      </c>
      <c r="N550" s="65" t="str">
        <f>queryCARRADAS_20250905_83647[[#This Row],[ORIGEM]]&amp;queryCARRADAS_20250905_83647[[#This Row],[DESTINO]]&amp;queryCARRADAS_20250905_83647[[#This Row],[MATERIAL]]</f>
        <v>GRANORTEUA SAO LUISPÓ DE BRITA</v>
      </c>
      <c r="O550" s="68" t="s">
        <v>164</v>
      </c>
    </row>
    <row r="551" spans="2:15" x14ac:dyDescent="0.25">
      <c r="B551" s="66">
        <v>45894</v>
      </c>
      <c r="C551" s="65">
        <v>1</v>
      </c>
      <c r="D551" s="63" t="s">
        <v>1127</v>
      </c>
      <c r="E551" s="65" t="s">
        <v>178</v>
      </c>
      <c r="F551" s="65" t="s">
        <v>163</v>
      </c>
      <c r="G551" s="65" t="s">
        <v>164</v>
      </c>
      <c r="H551" s="63">
        <v>52</v>
      </c>
      <c r="I551" s="65" t="s">
        <v>185</v>
      </c>
      <c r="J551" s="63">
        <v>3066</v>
      </c>
      <c r="K551" s="64">
        <v>589.9</v>
      </c>
      <c r="L551" s="63" t="s">
        <v>1312</v>
      </c>
      <c r="M551" t="s">
        <v>1117</v>
      </c>
      <c r="N551" s="65" t="str">
        <f>queryCARRADAS_20250905_83647[[#This Row],[ORIGEM]]&amp;queryCARRADAS_20250905_83647[[#This Row],[DESTINO]]&amp;queryCARRADAS_20250905_83647[[#This Row],[MATERIAL]]</f>
        <v>BRASIL MINERACAOUA SAO LUISRACHÃOZINHO</v>
      </c>
      <c r="O551" s="68" t="s">
        <v>164</v>
      </c>
    </row>
    <row r="552" spans="2:15" x14ac:dyDescent="0.25">
      <c r="B552" s="66">
        <v>45894</v>
      </c>
      <c r="C552" s="65">
        <v>1</v>
      </c>
      <c r="D552" s="63" t="s">
        <v>219</v>
      </c>
      <c r="E552" s="65" t="s">
        <v>220</v>
      </c>
      <c r="F552" s="65" t="s">
        <v>166</v>
      </c>
      <c r="G552" s="65" t="s">
        <v>191</v>
      </c>
      <c r="H552" s="63">
        <v>243</v>
      </c>
      <c r="I552" s="65" t="s">
        <v>165</v>
      </c>
      <c r="J552" s="63">
        <v>827</v>
      </c>
      <c r="K552" s="64">
        <v>6430.75</v>
      </c>
      <c r="L552" s="63" t="s">
        <v>1313</v>
      </c>
      <c r="M552" t="s">
        <v>1117</v>
      </c>
      <c r="N552" s="65" t="str">
        <f>queryCARRADAS_20250905_83647[[#This Row],[ORIGEM]]&amp;queryCARRADAS_20250905_83647[[#This Row],[DESTINO]]&amp;queryCARRADAS_20250905_83647[[#This Row],[MATERIAL]]</f>
        <v>GRANORTEOLINDA NOVA - MAPÓ DE BRITA</v>
      </c>
      <c r="O552" s="68" t="s">
        <v>164</v>
      </c>
    </row>
    <row r="553" spans="2:15" x14ac:dyDescent="0.25">
      <c r="B553" s="66">
        <v>45894</v>
      </c>
      <c r="C553" s="65">
        <v>1</v>
      </c>
      <c r="D553" s="63" t="s">
        <v>179</v>
      </c>
      <c r="E553" s="65" t="s">
        <v>180</v>
      </c>
      <c r="F553" s="65" t="s">
        <v>163</v>
      </c>
      <c r="G553" s="65" t="s">
        <v>164</v>
      </c>
      <c r="H553" s="63">
        <v>52</v>
      </c>
      <c r="I553" s="65" t="s">
        <v>185</v>
      </c>
      <c r="J553" s="63">
        <v>268</v>
      </c>
      <c r="K553" s="64">
        <v>515.63</v>
      </c>
      <c r="L553" s="63" t="s">
        <v>1314</v>
      </c>
      <c r="M553" t="s">
        <v>1117</v>
      </c>
      <c r="N553" s="65" t="str">
        <f>queryCARRADAS_20250905_83647[[#This Row],[ORIGEM]]&amp;queryCARRADAS_20250905_83647[[#This Row],[DESTINO]]&amp;queryCARRADAS_20250905_83647[[#This Row],[MATERIAL]]</f>
        <v>BRASIL MINERACAOUA SAO LUISRACHÃOZINHO</v>
      </c>
      <c r="O553" s="68" t="s">
        <v>164</v>
      </c>
    </row>
    <row r="554" spans="2:15" x14ac:dyDescent="0.25">
      <c r="B554" s="66">
        <v>45894</v>
      </c>
      <c r="C554" s="65">
        <v>1</v>
      </c>
      <c r="D554" s="63" t="s">
        <v>179</v>
      </c>
      <c r="E554" s="65" t="s">
        <v>180</v>
      </c>
      <c r="F554" s="65" t="s">
        <v>163</v>
      </c>
      <c r="G554" s="65" t="s">
        <v>164</v>
      </c>
      <c r="H554" s="63">
        <v>52</v>
      </c>
      <c r="I554" s="65" t="s">
        <v>185</v>
      </c>
      <c r="J554" s="63">
        <v>252</v>
      </c>
      <c r="K554" s="64">
        <v>484.85</v>
      </c>
      <c r="L554" s="63" t="s">
        <v>1315</v>
      </c>
      <c r="M554" t="s">
        <v>1117</v>
      </c>
      <c r="N554" s="65" t="str">
        <f>queryCARRADAS_20250905_83647[[#This Row],[ORIGEM]]&amp;queryCARRADAS_20250905_83647[[#This Row],[DESTINO]]&amp;queryCARRADAS_20250905_83647[[#This Row],[MATERIAL]]</f>
        <v>BRASIL MINERACAOUA SAO LUISRACHÃOZINHO</v>
      </c>
      <c r="O554" s="68" t="s">
        <v>164</v>
      </c>
    </row>
    <row r="555" spans="2:15" x14ac:dyDescent="0.25">
      <c r="B555" s="66">
        <v>45894</v>
      </c>
      <c r="C555" s="65">
        <v>1</v>
      </c>
      <c r="D555" s="63" t="s">
        <v>179</v>
      </c>
      <c r="E555" s="65" t="s">
        <v>180</v>
      </c>
      <c r="F555" s="65" t="s">
        <v>163</v>
      </c>
      <c r="G555" s="65" t="s">
        <v>164</v>
      </c>
      <c r="H555" s="63">
        <v>52</v>
      </c>
      <c r="I555" s="65" t="s">
        <v>185</v>
      </c>
      <c r="J555" s="63">
        <v>253</v>
      </c>
      <c r="K555" s="64">
        <v>486.77</v>
      </c>
      <c r="L555" s="63" t="s">
        <v>1316</v>
      </c>
      <c r="M555" t="s">
        <v>1117</v>
      </c>
      <c r="N555" s="65" t="str">
        <f>queryCARRADAS_20250905_83647[[#This Row],[ORIGEM]]&amp;queryCARRADAS_20250905_83647[[#This Row],[DESTINO]]&amp;queryCARRADAS_20250905_83647[[#This Row],[MATERIAL]]</f>
        <v>BRASIL MINERACAOUA SAO LUISRACHÃOZINHO</v>
      </c>
      <c r="O555" s="68" t="s">
        <v>164</v>
      </c>
    </row>
    <row r="556" spans="2:15" x14ac:dyDescent="0.25">
      <c r="B556" s="66">
        <v>45894</v>
      </c>
      <c r="C556" s="65">
        <v>1</v>
      </c>
      <c r="D556" s="63" t="s">
        <v>208</v>
      </c>
      <c r="E556" s="65" t="s">
        <v>209</v>
      </c>
      <c r="F556" s="65" t="s">
        <v>190</v>
      </c>
      <c r="G556" s="65" t="s">
        <v>212</v>
      </c>
      <c r="H556" s="63">
        <v>376</v>
      </c>
      <c r="I556" s="65" t="s">
        <v>165</v>
      </c>
      <c r="J556" s="63">
        <v>800</v>
      </c>
      <c r="K556" s="64">
        <v>9625.6</v>
      </c>
      <c r="L556" s="63" t="s">
        <v>1317</v>
      </c>
      <c r="M556" t="s">
        <v>1117</v>
      </c>
      <c r="N556" s="65" t="str">
        <f>queryCARRADAS_20250905_83647[[#This Row],[ORIGEM]]&amp;queryCARRADAS_20250905_83647[[#This Row],[DESTINO]]&amp;queryCARRADAS_20250905_83647[[#This Row],[MATERIAL]]</f>
        <v>SERVENGUSINA PINHEIROPÓ DE BRITA</v>
      </c>
      <c r="O556" s="68" t="s">
        <v>164</v>
      </c>
    </row>
    <row r="557" spans="2:15" x14ac:dyDescent="0.25">
      <c r="B557" s="66">
        <v>45894</v>
      </c>
      <c r="C557" s="65">
        <v>1</v>
      </c>
      <c r="D557" s="63" t="s">
        <v>275</v>
      </c>
      <c r="E557" s="65" t="s">
        <v>217</v>
      </c>
      <c r="F557" s="65" t="s">
        <v>190</v>
      </c>
      <c r="G557" s="65" t="s">
        <v>212</v>
      </c>
      <c r="H557" s="63">
        <v>376</v>
      </c>
      <c r="I557" s="65" t="s">
        <v>165</v>
      </c>
      <c r="J557" s="63">
        <v>750</v>
      </c>
      <c r="K557" s="64">
        <v>9024</v>
      </c>
      <c r="L557" s="63" t="s">
        <v>1318</v>
      </c>
      <c r="M557" t="s">
        <v>1117</v>
      </c>
      <c r="N557" s="65" t="str">
        <f>queryCARRADAS_20250905_83647[[#This Row],[ORIGEM]]&amp;queryCARRADAS_20250905_83647[[#This Row],[DESTINO]]&amp;queryCARRADAS_20250905_83647[[#This Row],[MATERIAL]]</f>
        <v>SERVENGUSINA PINHEIROPÓ DE BRITA</v>
      </c>
      <c r="O557" s="68" t="s">
        <v>164</v>
      </c>
    </row>
    <row r="558" spans="2:15" x14ac:dyDescent="0.25">
      <c r="B558" s="66">
        <v>45894</v>
      </c>
      <c r="C558" s="65">
        <v>1</v>
      </c>
      <c r="D558" s="63" t="s">
        <v>200</v>
      </c>
      <c r="E558" s="65" t="s">
        <v>201</v>
      </c>
      <c r="F558" s="65" t="s">
        <v>190</v>
      </c>
      <c r="G558" s="65" t="s">
        <v>212</v>
      </c>
      <c r="H558" s="63">
        <v>376</v>
      </c>
      <c r="I558" s="65" t="s">
        <v>165</v>
      </c>
      <c r="J558" s="63">
        <v>476</v>
      </c>
      <c r="K558" s="64">
        <v>5727.23</v>
      </c>
      <c r="L558" s="63" t="s">
        <v>1319</v>
      </c>
      <c r="M558" t="s">
        <v>1117</v>
      </c>
      <c r="N558" s="65" t="str">
        <f>queryCARRADAS_20250905_83647[[#This Row],[ORIGEM]]&amp;queryCARRADAS_20250905_83647[[#This Row],[DESTINO]]&amp;queryCARRADAS_20250905_83647[[#This Row],[MATERIAL]]</f>
        <v>SERVENGUSINA PINHEIROPÓ DE BRITA</v>
      </c>
      <c r="O558" s="68" t="s">
        <v>164</v>
      </c>
    </row>
    <row r="559" spans="2:15" x14ac:dyDescent="0.25">
      <c r="B559" s="66">
        <v>45895</v>
      </c>
      <c r="C559" s="65">
        <v>1</v>
      </c>
      <c r="D559" s="63" t="s">
        <v>167</v>
      </c>
      <c r="E559" s="65" t="s">
        <v>168</v>
      </c>
      <c r="F559" s="65" t="s">
        <v>166</v>
      </c>
      <c r="G559" s="65" t="s">
        <v>218</v>
      </c>
      <c r="H559" s="63">
        <v>71</v>
      </c>
      <c r="I559" s="65" t="s">
        <v>172</v>
      </c>
      <c r="J559" s="63">
        <v>254</v>
      </c>
      <c r="K559" s="64">
        <v>667.26</v>
      </c>
      <c r="L559" s="63" t="s">
        <v>1269</v>
      </c>
      <c r="M559" t="s">
        <v>1117</v>
      </c>
      <c r="N559" s="65" t="str">
        <f>queryCARRADAS_20250905_83647[[#This Row],[ORIGEM]]&amp;queryCARRADAS_20250905_83647[[#This Row],[DESTINO]]&amp;queryCARRADAS_20250905_83647[[#This Row],[MATERIAL]]</f>
        <v>GRANORTEEXPOEMABICA CORRIDA</v>
      </c>
      <c r="O559" s="68" t="s">
        <v>164</v>
      </c>
    </row>
    <row r="560" spans="2:15" x14ac:dyDescent="0.25">
      <c r="B560" s="66">
        <v>45895</v>
      </c>
      <c r="C560" s="65">
        <v>1</v>
      </c>
      <c r="D560" s="63" t="s">
        <v>1127</v>
      </c>
      <c r="E560" s="65" t="s">
        <v>178</v>
      </c>
      <c r="F560" s="65" t="s">
        <v>166</v>
      </c>
      <c r="G560" s="65" t="s">
        <v>364</v>
      </c>
      <c r="H560" s="63">
        <v>80</v>
      </c>
      <c r="I560" s="65" t="s">
        <v>216</v>
      </c>
      <c r="J560" s="63">
        <v>337</v>
      </c>
      <c r="K560" s="64">
        <v>997.52</v>
      </c>
      <c r="L560" s="63" t="s">
        <v>1270</v>
      </c>
      <c r="M560" t="s">
        <v>1117</v>
      </c>
      <c r="N560" s="65" t="str">
        <f>queryCARRADAS_20250905_83647[[#This Row],[ORIGEM]]&amp;queryCARRADAS_20250905_83647[[#This Row],[DESTINO]]&amp;queryCARRADAS_20250905_83647[[#This Row],[MATERIAL]]</f>
        <v>GRANORTEARACAGY - SAO LUISBRITA 3</v>
      </c>
      <c r="O560" s="68" t="s">
        <v>164</v>
      </c>
    </row>
    <row r="561" spans="2:15" x14ac:dyDescent="0.25">
      <c r="B561" s="66">
        <v>45895</v>
      </c>
      <c r="C561" s="65">
        <v>1</v>
      </c>
      <c r="D561" s="63" t="s">
        <v>202</v>
      </c>
      <c r="E561" s="65" t="s">
        <v>1153</v>
      </c>
      <c r="F561" s="65" t="s">
        <v>166</v>
      </c>
      <c r="G561" s="65" t="s">
        <v>191</v>
      </c>
      <c r="H561" s="63">
        <v>243</v>
      </c>
      <c r="I561" s="65" t="s">
        <v>165</v>
      </c>
      <c r="J561" s="63">
        <v>4972</v>
      </c>
      <c r="K561" s="64">
        <v>4470.33</v>
      </c>
      <c r="L561" s="63" t="s">
        <v>1271</v>
      </c>
      <c r="M561" t="s">
        <v>1117</v>
      </c>
      <c r="N561" s="65" t="str">
        <f>queryCARRADAS_20250905_83647[[#This Row],[ORIGEM]]&amp;queryCARRADAS_20250905_83647[[#This Row],[DESTINO]]&amp;queryCARRADAS_20250905_83647[[#This Row],[MATERIAL]]</f>
        <v>GRANORTEOLINDA NOVA - MAPÓ DE BRITA</v>
      </c>
      <c r="O561" s="68" t="s">
        <v>161</v>
      </c>
    </row>
    <row r="562" spans="2:15" x14ac:dyDescent="0.25">
      <c r="B562" s="66">
        <v>45895</v>
      </c>
      <c r="C562" s="65">
        <v>1</v>
      </c>
      <c r="D562" s="63" t="s">
        <v>170</v>
      </c>
      <c r="E562" s="65" t="s">
        <v>171</v>
      </c>
      <c r="F562" s="65" t="s">
        <v>163</v>
      </c>
      <c r="G562" s="65" t="s">
        <v>164</v>
      </c>
      <c r="H562" s="63">
        <v>52</v>
      </c>
      <c r="I562" s="65" t="s">
        <v>175</v>
      </c>
      <c r="J562" s="63">
        <v>3021</v>
      </c>
      <c r="K562" s="64">
        <v>581.24</v>
      </c>
      <c r="L562" s="63" t="s">
        <v>1272</v>
      </c>
      <c r="M562" t="s">
        <v>1117</v>
      </c>
      <c r="N562" s="65" t="str">
        <f>queryCARRADAS_20250905_83647[[#This Row],[ORIGEM]]&amp;queryCARRADAS_20250905_83647[[#This Row],[DESTINO]]&amp;queryCARRADAS_20250905_83647[[#This Row],[MATERIAL]]</f>
        <v>BRASIL MINERACAOUA SAO LUISBRITA 0</v>
      </c>
      <c r="O562" s="68" t="s">
        <v>164</v>
      </c>
    </row>
    <row r="563" spans="2:15" x14ac:dyDescent="0.25">
      <c r="B563" s="66">
        <v>45895</v>
      </c>
      <c r="C563" s="65">
        <v>1</v>
      </c>
      <c r="D563" s="63" t="s">
        <v>219</v>
      </c>
      <c r="E563" s="65" t="s">
        <v>220</v>
      </c>
      <c r="F563" s="65" t="s">
        <v>166</v>
      </c>
      <c r="G563" s="65" t="s">
        <v>223</v>
      </c>
      <c r="H563" s="63">
        <v>370</v>
      </c>
      <c r="I563" s="65" t="s">
        <v>165</v>
      </c>
      <c r="J563" s="63">
        <v>789</v>
      </c>
      <c r="K563" s="64">
        <v>9341.76</v>
      </c>
      <c r="L563" s="63" t="s">
        <v>1273</v>
      </c>
      <c r="M563" t="s">
        <v>1117</v>
      </c>
      <c r="N563" s="65" t="str">
        <f>queryCARRADAS_20250905_83647[[#This Row],[ORIGEM]]&amp;queryCARRADAS_20250905_83647[[#This Row],[DESTINO]]&amp;queryCARRADAS_20250905_83647[[#This Row],[MATERIAL]]</f>
        <v>GRANORTEUA PINHEIRO - MAPÓ DE BRITA</v>
      </c>
      <c r="O563" s="68" t="s">
        <v>164</v>
      </c>
    </row>
    <row r="564" spans="2:15" x14ac:dyDescent="0.25">
      <c r="B564" s="66">
        <v>45895</v>
      </c>
      <c r="C564" s="65">
        <v>1</v>
      </c>
      <c r="D564" s="63" t="s">
        <v>219</v>
      </c>
      <c r="E564" s="65" t="s">
        <v>220</v>
      </c>
      <c r="F564" s="65" t="s">
        <v>190</v>
      </c>
      <c r="G564" s="65" t="s">
        <v>212</v>
      </c>
      <c r="H564" s="63">
        <v>376</v>
      </c>
      <c r="I564" s="65" t="s">
        <v>165</v>
      </c>
      <c r="J564" s="63">
        <v>283</v>
      </c>
      <c r="K564" s="64">
        <v>3405.06</v>
      </c>
      <c r="L564" s="63" t="s">
        <v>1274</v>
      </c>
      <c r="M564" t="s">
        <v>1117</v>
      </c>
      <c r="N564" s="65" t="str">
        <f>queryCARRADAS_20250905_83647[[#This Row],[ORIGEM]]&amp;queryCARRADAS_20250905_83647[[#This Row],[DESTINO]]&amp;queryCARRADAS_20250905_83647[[#This Row],[MATERIAL]]</f>
        <v>SERVENGUSINA PINHEIROPÓ DE BRITA</v>
      </c>
      <c r="O564" s="68" t="s">
        <v>164</v>
      </c>
    </row>
    <row r="565" spans="2:15" x14ac:dyDescent="0.25">
      <c r="B565" s="66">
        <v>45895</v>
      </c>
      <c r="C565" s="65">
        <v>1</v>
      </c>
      <c r="D565" s="63" t="s">
        <v>162</v>
      </c>
      <c r="E565" s="65" t="s">
        <v>1134</v>
      </c>
      <c r="F565" s="65" t="s">
        <v>163</v>
      </c>
      <c r="G565" s="65" t="s">
        <v>164</v>
      </c>
      <c r="H565" s="63">
        <v>52</v>
      </c>
      <c r="I565" s="65" t="s">
        <v>175</v>
      </c>
      <c r="J565" s="63">
        <v>2598</v>
      </c>
      <c r="K565" s="64">
        <v>499.86</v>
      </c>
      <c r="L565" s="63" t="s">
        <v>1275</v>
      </c>
      <c r="M565" t="s">
        <v>1117</v>
      </c>
      <c r="N565" s="65" t="str">
        <f>queryCARRADAS_20250905_83647[[#This Row],[ORIGEM]]&amp;queryCARRADAS_20250905_83647[[#This Row],[DESTINO]]&amp;queryCARRADAS_20250905_83647[[#This Row],[MATERIAL]]</f>
        <v>BRASIL MINERACAOUA SAO LUISBRITA 0</v>
      </c>
      <c r="O565" s="68" t="s">
        <v>164</v>
      </c>
    </row>
    <row r="566" spans="2:15" x14ac:dyDescent="0.25">
      <c r="B566" s="66">
        <v>45895</v>
      </c>
      <c r="C566" s="65">
        <v>1</v>
      </c>
      <c r="D566" s="63" t="s">
        <v>210</v>
      </c>
      <c r="E566" s="65" t="s">
        <v>211</v>
      </c>
      <c r="F566" s="65" t="s">
        <v>163</v>
      </c>
      <c r="G566" s="65" t="s">
        <v>164</v>
      </c>
      <c r="H566" s="63">
        <v>52</v>
      </c>
      <c r="I566" s="65" t="s">
        <v>175</v>
      </c>
      <c r="J566" s="63">
        <v>4944</v>
      </c>
      <c r="K566" s="64">
        <v>951.23</v>
      </c>
      <c r="L566" s="63" t="s">
        <v>1276</v>
      </c>
      <c r="M566" t="s">
        <v>1117</v>
      </c>
      <c r="N566" s="65" t="str">
        <f>queryCARRADAS_20250905_83647[[#This Row],[ORIGEM]]&amp;queryCARRADAS_20250905_83647[[#This Row],[DESTINO]]&amp;queryCARRADAS_20250905_83647[[#This Row],[MATERIAL]]</f>
        <v>BRASIL MINERACAOUA SAO LUISBRITA 0</v>
      </c>
      <c r="O566" s="68" t="s">
        <v>164</v>
      </c>
    </row>
    <row r="567" spans="2:15" x14ac:dyDescent="0.25">
      <c r="B567" s="66">
        <v>45895</v>
      </c>
      <c r="C567" s="65">
        <v>1</v>
      </c>
      <c r="D567" s="63" t="s">
        <v>170</v>
      </c>
      <c r="E567" s="65" t="s">
        <v>171</v>
      </c>
      <c r="F567" s="65" t="s">
        <v>163</v>
      </c>
      <c r="G567" s="65" t="s">
        <v>164</v>
      </c>
      <c r="H567" s="63">
        <v>52</v>
      </c>
      <c r="I567" s="65" t="s">
        <v>175</v>
      </c>
      <c r="J567" s="63">
        <v>3142</v>
      </c>
      <c r="K567" s="64">
        <v>604.52</v>
      </c>
      <c r="L567" s="63" t="s">
        <v>1277</v>
      </c>
      <c r="M567" t="s">
        <v>1117</v>
      </c>
      <c r="N567" s="65" t="str">
        <f>queryCARRADAS_20250905_83647[[#This Row],[ORIGEM]]&amp;queryCARRADAS_20250905_83647[[#This Row],[DESTINO]]&amp;queryCARRADAS_20250905_83647[[#This Row],[MATERIAL]]</f>
        <v>BRASIL MINERACAOUA SAO LUISBRITA 0</v>
      </c>
      <c r="O567" s="68" t="s">
        <v>164</v>
      </c>
    </row>
    <row r="568" spans="2:15" x14ac:dyDescent="0.25">
      <c r="B568" s="66">
        <v>45895</v>
      </c>
      <c r="C568" s="65">
        <v>1</v>
      </c>
      <c r="D568" s="63" t="s">
        <v>1127</v>
      </c>
      <c r="E568" s="65" t="s">
        <v>178</v>
      </c>
      <c r="F568" s="65" t="s">
        <v>166</v>
      </c>
      <c r="G568" s="65" t="s">
        <v>364</v>
      </c>
      <c r="H568" s="63">
        <v>80</v>
      </c>
      <c r="I568" s="65" t="s">
        <v>216</v>
      </c>
      <c r="J568" s="63">
        <v>358</v>
      </c>
      <c r="K568" s="64">
        <v>1059.68</v>
      </c>
      <c r="L568" s="63" t="s">
        <v>1278</v>
      </c>
      <c r="M568" t="s">
        <v>1117</v>
      </c>
      <c r="N568" s="65" t="str">
        <f>queryCARRADAS_20250905_83647[[#This Row],[ORIGEM]]&amp;queryCARRADAS_20250905_83647[[#This Row],[DESTINO]]&amp;queryCARRADAS_20250905_83647[[#This Row],[MATERIAL]]</f>
        <v>GRANORTEARACAGY - SAO LUISBRITA 3</v>
      </c>
      <c r="O568" s="68" t="s">
        <v>164</v>
      </c>
    </row>
    <row r="569" spans="2:15" x14ac:dyDescent="0.25">
      <c r="B569" s="66">
        <v>45895</v>
      </c>
      <c r="C569" s="65">
        <v>1</v>
      </c>
      <c r="D569" s="63" t="s">
        <v>170</v>
      </c>
      <c r="E569" s="65" t="s">
        <v>171</v>
      </c>
      <c r="F569" s="65" t="s">
        <v>163</v>
      </c>
      <c r="G569" s="65" t="s">
        <v>164</v>
      </c>
      <c r="H569" s="63">
        <v>52</v>
      </c>
      <c r="I569" s="65" t="s">
        <v>175</v>
      </c>
      <c r="J569" s="63">
        <v>2754</v>
      </c>
      <c r="K569" s="64">
        <v>529.87</v>
      </c>
      <c r="L569" s="63" t="s">
        <v>1279</v>
      </c>
      <c r="M569" t="s">
        <v>1117</v>
      </c>
      <c r="N569" s="65" t="str">
        <f>queryCARRADAS_20250905_83647[[#This Row],[ORIGEM]]&amp;queryCARRADAS_20250905_83647[[#This Row],[DESTINO]]&amp;queryCARRADAS_20250905_83647[[#This Row],[MATERIAL]]</f>
        <v>BRASIL MINERACAOUA SAO LUISBRITA 0</v>
      </c>
      <c r="O569" s="68" t="s">
        <v>164</v>
      </c>
    </row>
    <row r="570" spans="2:15" x14ac:dyDescent="0.25">
      <c r="B570" s="66">
        <v>45895</v>
      </c>
      <c r="C570" s="65">
        <v>1</v>
      </c>
      <c r="D570" s="63" t="s">
        <v>162</v>
      </c>
      <c r="E570" s="65" t="s">
        <v>1134</v>
      </c>
      <c r="F570" s="65" t="s">
        <v>163</v>
      </c>
      <c r="G570" s="65" t="s">
        <v>164</v>
      </c>
      <c r="H570" s="63">
        <v>52</v>
      </c>
      <c r="I570" s="65" t="s">
        <v>175</v>
      </c>
      <c r="J570" s="63">
        <v>2485</v>
      </c>
      <c r="K570" s="64">
        <v>478.11</v>
      </c>
      <c r="L570" s="63" t="s">
        <v>1280</v>
      </c>
      <c r="M570" t="s">
        <v>1117</v>
      </c>
      <c r="N570" s="65" t="str">
        <f>queryCARRADAS_20250905_83647[[#This Row],[ORIGEM]]&amp;queryCARRADAS_20250905_83647[[#This Row],[DESTINO]]&amp;queryCARRADAS_20250905_83647[[#This Row],[MATERIAL]]</f>
        <v>BRASIL MINERACAOUA SAO LUISBRITA 0</v>
      </c>
      <c r="O570" s="68" t="s">
        <v>164</v>
      </c>
    </row>
    <row r="571" spans="2:15" x14ac:dyDescent="0.25">
      <c r="B571" s="66">
        <v>45895</v>
      </c>
      <c r="C571" s="65">
        <v>1</v>
      </c>
      <c r="D571" s="63" t="s">
        <v>213</v>
      </c>
      <c r="E571" s="65" t="s">
        <v>214</v>
      </c>
      <c r="F571" s="65" t="s">
        <v>166</v>
      </c>
      <c r="G571" s="65" t="s">
        <v>191</v>
      </c>
      <c r="H571" s="63">
        <v>243</v>
      </c>
      <c r="I571" s="65" t="s">
        <v>165</v>
      </c>
      <c r="J571" s="63">
        <v>4894</v>
      </c>
      <c r="K571" s="64">
        <v>4400.2</v>
      </c>
      <c r="L571" s="63" t="s">
        <v>1281</v>
      </c>
      <c r="M571" t="s">
        <v>1117</v>
      </c>
      <c r="N571" s="65" t="str">
        <f>queryCARRADAS_20250905_83647[[#This Row],[ORIGEM]]&amp;queryCARRADAS_20250905_83647[[#This Row],[DESTINO]]&amp;queryCARRADAS_20250905_83647[[#This Row],[MATERIAL]]</f>
        <v>GRANORTEOLINDA NOVA - MAPÓ DE BRITA</v>
      </c>
      <c r="O571" s="68" t="s">
        <v>164</v>
      </c>
    </row>
    <row r="572" spans="2:15" x14ac:dyDescent="0.25">
      <c r="B572" s="66">
        <v>45895</v>
      </c>
      <c r="C572" s="65">
        <v>1</v>
      </c>
      <c r="D572" s="63" t="s">
        <v>193</v>
      </c>
      <c r="E572" s="65" t="s">
        <v>194</v>
      </c>
      <c r="F572" s="65" t="s">
        <v>163</v>
      </c>
      <c r="G572" s="65" t="s">
        <v>164</v>
      </c>
      <c r="H572" s="63">
        <v>52</v>
      </c>
      <c r="I572" s="65" t="s">
        <v>175</v>
      </c>
      <c r="J572" s="63">
        <v>3412</v>
      </c>
      <c r="K572" s="64">
        <v>656.47</v>
      </c>
      <c r="L572" s="63" t="s">
        <v>1282</v>
      </c>
      <c r="M572" t="s">
        <v>1117</v>
      </c>
      <c r="N572" s="65" t="str">
        <f>queryCARRADAS_20250905_83647[[#This Row],[ORIGEM]]&amp;queryCARRADAS_20250905_83647[[#This Row],[DESTINO]]&amp;queryCARRADAS_20250905_83647[[#This Row],[MATERIAL]]</f>
        <v>BRASIL MINERACAOUA SAO LUISBRITA 0</v>
      </c>
      <c r="O572" s="68" t="s">
        <v>164</v>
      </c>
    </row>
    <row r="573" spans="2:15" x14ac:dyDescent="0.25">
      <c r="B573" s="66">
        <v>45895</v>
      </c>
      <c r="C573" s="65">
        <v>1</v>
      </c>
      <c r="D573" s="63" t="s">
        <v>193</v>
      </c>
      <c r="E573" s="65" t="s">
        <v>194</v>
      </c>
      <c r="F573" s="65" t="s">
        <v>163</v>
      </c>
      <c r="G573" s="65" t="s">
        <v>164</v>
      </c>
      <c r="H573" s="63">
        <v>52</v>
      </c>
      <c r="I573" s="65" t="s">
        <v>175</v>
      </c>
      <c r="J573" s="63">
        <v>3566</v>
      </c>
      <c r="K573" s="64">
        <v>686.1</v>
      </c>
      <c r="L573" s="63" t="s">
        <v>1283</v>
      </c>
      <c r="M573" t="s">
        <v>1117</v>
      </c>
      <c r="N573" s="65" t="str">
        <f>queryCARRADAS_20250905_83647[[#This Row],[ORIGEM]]&amp;queryCARRADAS_20250905_83647[[#This Row],[DESTINO]]&amp;queryCARRADAS_20250905_83647[[#This Row],[MATERIAL]]</f>
        <v>BRASIL MINERACAOUA SAO LUISBRITA 0</v>
      </c>
      <c r="O573" s="68" t="s">
        <v>164</v>
      </c>
    </row>
    <row r="574" spans="2:15" x14ac:dyDescent="0.25">
      <c r="B574" s="66">
        <v>45895</v>
      </c>
      <c r="C574" s="65">
        <v>1</v>
      </c>
      <c r="D574" s="63" t="s">
        <v>193</v>
      </c>
      <c r="E574" s="65" t="s">
        <v>194</v>
      </c>
      <c r="F574" s="65" t="s">
        <v>163</v>
      </c>
      <c r="G574" s="65" t="s">
        <v>164</v>
      </c>
      <c r="H574" s="63">
        <v>52</v>
      </c>
      <c r="I574" s="65" t="s">
        <v>175</v>
      </c>
      <c r="J574" s="63">
        <v>3302</v>
      </c>
      <c r="K574" s="64">
        <v>635.29999999999995</v>
      </c>
      <c r="L574" s="63" t="s">
        <v>1284</v>
      </c>
      <c r="M574" t="s">
        <v>1117</v>
      </c>
      <c r="N574" s="65" t="str">
        <f>queryCARRADAS_20250905_83647[[#This Row],[ORIGEM]]&amp;queryCARRADAS_20250905_83647[[#This Row],[DESTINO]]&amp;queryCARRADAS_20250905_83647[[#This Row],[MATERIAL]]</f>
        <v>BRASIL MINERACAOUA SAO LUISBRITA 0</v>
      </c>
      <c r="O574" s="68" t="s">
        <v>164</v>
      </c>
    </row>
    <row r="575" spans="2:15" x14ac:dyDescent="0.25">
      <c r="B575" s="66">
        <v>45895</v>
      </c>
      <c r="C575" s="65">
        <v>1</v>
      </c>
      <c r="D575" s="63" t="s">
        <v>210</v>
      </c>
      <c r="E575" s="65" t="s">
        <v>211</v>
      </c>
      <c r="F575" s="65" t="s">
        <v>163</v>
      </c>
      <c r="G575" s="65" t="s">
        <v>164</v>
      </c>
      <c r="H575" s="63">
        <v>52</v>
      </c>
      <c r="I575" s="65" t="s">
        <v>165</v>
      </c>
      <c r="J575" s="63">
        <v>6926</v>
      </c>
      <c r="K575" s="64">
        <v>1332.56</v>
      </c>
      <c r="L575" s="63" t="s">
        <v>1285</v>
      </c>
      <c r="M575" t="s">
        <v>1117</v>
      </c>
      <c r="N575" s="65" t="str">
        <f>queryCARRADAS_20250905_83647[[#This Row],[ORIGEM]]&amp;queryCARRADAS_20250905_83647[[#This Row],[DESTINO]]&amp;queryCARRADAS_20250905_83647[[#This Row],[MATERIAL]]</f>
        <v>BRASIL MINERACAOUA SAO LUISPÓ DE BRITA</v>
      </c>
      <c r="O575" s="68" t="s">
        <v>164</v>
      </c>
    </row>
    <row r="576" spans="2:15" x14ac:dyDescent="0.25">
      <c r="B576" s="66">
        <v>45895</v>
      </c>
      <c r="C576" s="65">
        <v>1</v>
      </c>
      <c r="D576" s="63" t="s">
        <v>196</v>
      </c>
      <c r="E576" s="65" t="s">
        <v>197</v>
      </c>
      <c r="F576" s="65" t="s">
        <v>190</v>
      </c>
      <c r="G576" s="65" t="s">
        <v>191</v>
      </c>
      <c r="H576" s="63">
        <v>217</v>
      </c>
      <c r="I576" s="65" t="s">
        <v>165</v>
      </c>
      <c r="J576" s="63">
        <v>455</v>
      </c>
      <c r="K576" s="64">
        <v>3653.2</v>
      </c>
      <c r="L576" s="63" t="s">
        <v>1286</v>
      </c>
      <c r="M576" t="s">
        <v>1193</v>
      </c>
      <c r="N576" s="65" t="str">
        <f>queryCARRADAS_20250905_83647[[#This Row],[ORIGEM]]&amp;queryCARRADAS_20250905_83647[[#This Row],[DESTINO]]&amp;queryCARRADAS_20250905_83647[[#This Row],[MATERIAL]]</f>
        <v>SERVENGOLINDA NOVA - MAPÓ DE BRITA</v>
      </c>
      <c r="O576" s="68" t="s">
        <v>164</v>
      </c>
    </row>
    <row r="577" spans="2:15" x14ac:dyDescent="0.25">
      <c r="B577" s="66">
        <v>45895</v>
      </c>
      <c r="C577" s="65">
        <v>1</v>
      </c>
      <c r="D577" s="63" t="s">
        <v>176</v>
      </c>
      <c r="E577" s="65" t="s">
        <v>177</v>
      </c>
      <c r="F577" s="65" t="s">
        <v>163</v>
      </c>
      <c r="G577" s="65" t="s">
        <v>164</v>
      </c>
      <c r="H577" s="63">
        <v>52</v>
      </c>
      <c r="I577" s="65" t="s">
        <v>165</v>
      </c>
      <c r="J577" s="63">
        <v>6988</v>
      </c>
      <c r="K577" s="64">
        <v>1344.49</v>
      </c>
      <c r="L577" s="63" t="s">
        <v>1287</v>
      </c>
      <c r="M577" t="s">
        <v>1117</v>
      </c>
      <c r="N577" s="65" t="str">
        <f>queryCARRADAS_20250905_83647[[#This Row],[ORIGEM]]&amp;queryCARRADAS_20250905_83647[[#This Row],[DESTINO]]&amp;queryCARRADAS_20250905_83647[[#This Row],[MATERIAL]]</f>
        <v>BRASIL MINERACAOUA SAO LUISPÓ DE BRITA</v>
      </c>
      <c r="O577" s="68" t="s">
        <v>164</v>
      </c>
    </row>
    <row r="578" spans="2:15" x14ac:dyDescent="0.25">
      <c r="B578" s="66">
        <v>45895</v>
      </c>
      <c r="C578" s="65">
        <v>1</v>
      </c>
      <c r="D578" s="63" t="s">
        <v>270</v>
      </c>
      <c r="E578" s="65" t="s">
        <v>1146</v>
      </c>
      <c r="F578" s="65" t="s">
        <v>166</v>
      </c>
      <c r="G578" s="65" t="s">
        <v>164</v>
      </c>
      <c r="H578" s="63">
        <v>58</v>
      </c>
      <c r="I578" s="65" t="s">
        <v>165</v>
      </c>
      <c r="J578" s="63">
        <v>7142</v>
      </c>
      <c r="K578" s="64">
        <v>1532.67</v>
      </c>
      <c r="L578" s="63" t="s">
        <v>1288</v>
      </c>
      <c r="M578" t="s">
        <v>1183</v>
      </c>
      <c r="N578" s="65" t="str">
        <f>queryCARRADAS_20250905_83647[[#This Row],[ORIGEM]]&amp;queryCARRADAS_20250905_83647[[#This Row],[DESTINO]]&amp;queryCARRADAS_20250905_83647[[#This Row],[MATERIAL]]</f>
        <v>GRANORTEUA SAO LUISPÓ DE BRITA</v>
      </c>
      <c r="O578" s="68" t="s">
        <v>161</v>
      </c>
    </row>
    <row r="579" spans="2:15" x14ac:dyDescent="0.25">
      <c r="B579" s="66">
        <v>45895</v>
      </c>
      <c r="C579" s="65">
        <v>1</v>
      </c>
      <c r="D579" s="63" t="s">
        <v>270</v>
      </c>
      <c r="E579" s="65" t="s">
        <v>1146</v>
      </c>
      <c r="F579" s="65" t="s">
        <v>166</v>
      </c>
      <c r="G579" s="65" t="s">
        <v>164</v>
      </c>
      <c r="H579" s="63">
        <v>58</v>
      </c>
      <c r="I579" s="65" t="s">
        <v>165</v>
      </c>
      <c r="J579" s="63">
        <v>7112</v>
      </c>
      <c r="K579" s="64">
        <v>1526.24</v>
      </c>
      <c r="L579" s="63" t="s">
        <v>1289</v>
      </c>
      <c r="M579" t="s">
        <v>1183</v>
      </c>
      <c r="N579" s="65" t="str">
        <f>queryCARRADAS_20250905_83647[[#This Row],[ORIGEM]]&amp;queryCARRADAS_20250905_83647[[#This Row],[DESTINO]]&amp;queryCARRADAS_20250905_83647[[#This Row],[MATERIAL]]</f>
        <v>GRANORTEUA SAO LUISPÓ DE BRITA</v>
      </c>
      <c r="O579" s="68" t="s">
        <v>154</v>
      </c>
    </row>
    <row r="580" spans="2:15" x14ac:dyDescent="0.25">
      <c r="B580" s="66">
        <v>45895</v>
      </c>
      <c r="C580" s="65">
        <v>1</v>
      </c>
      <c r="D580" s="63" t="s">
        <v>179</v>
      </c>
      <c r="E580" s="65" t="s">
        <v>180</v>
      </c>
      <c r="F580" s="65" t="s">
        <v>163</v>
      </c>
      <c r="G580" s="65" t="s">
        <v>164</v>
      </c>
      <c r="H580" s="63">
        <v>52</v>
      </c>
      <c r="I580" s="65" t="s">
        <v>185</v>
      </c>
      <c r="J580" s="63">
        <v>242</v>
      </c>
      <c r="K580" s="64">
        <v>465.61</v>
      </c>
      <c r="L580" s="63" t="s">
        <v>1290</v>
      </c>
      <c r="M580" t="s">
        <v>1117</v>
      </c>
      <c r="N580" s="65" t="str">
        <f>queryCARRADAS_20250905_83647[[#This Row],[ORIGEM]]&amp;queryCARRADAS_20250905_83647[[#This Row],[DESTINO]]&amp;queryCARRADAS_20250905_83647[[#This Row],[MATERIAL]]</f>
        <v>BRASIL MINERACAOUA SAO LUISRACHÃOZINHO</v>
      </c>
      <c r="O580" s="68" t="s">
        <v>164</v>
      </c>
    </row>
    <row r="581" spans="2:15" x14ac:dyDescent="0.25">
      <c r="B581" s="66">
        <v>45895</v>
      </c>
      <c r="C581" s="65">
        <v>1</v>
      </c>
      <c r="D581" s="63" t="s">
        <v>179</v>
      </c>
      <c r="E581" s="65" t="s">
        <v>180</v>
      </c>
      <c r="F581" s="65" t="s">
        <v>163</v>
      </c>
      <c r="G581" s="65" t="s">
        <v>164</v>
      </c>
      <c r="H581" s="63">
        <v>52</v>
      </c>
      <c r="I581" s="65" t="s">
        <v>185</v>
      </c>
      <c r="J581" s="63">
        <v>260</v>
      </c>
      <c r="K581" s="64">
        <v>500.24</v>
      </c>
      <c r="L581" s="63" t="s">
        <v>1291</v>
      </c>
      <c r="M581" t="s">
        <v>1117</v>
      </c>
      <c r="N581" s="65" t="str">
        <f>queryCARRADAS_20250905_83647[[#This Row],[ORIGEM]]&amp;queryCARRADAS_20250905_83647[[#This Row],[DESTINO]]&amp;queryCARRADAS_20250905_83647[[#This Row],[MATERIAL]]</f>
        <v>BRASIL MINERACAOUA SAO LUISRACHÃOZINHO</v>
      </c>
      <c r="O581" s="68" t="s">
        <v>164</v>
      </c>
    </row>
    <row r="582" spans="2:15" x14ac:dyDescent="0.25">
      <c r="B582" s="66">
        <v>45895</v>
      </c>
      <c r="C582" s="65">
        <v>1</v>
      </c>
      <c r="D582" s="63" t="s">
        <v>208</v>
      </c>
      <c r="E582" s="65" t="s">
        <v>209</v>
      </c>
      <c r="F582" s="65" t="s">
        <v>190</v>
      </c>
      <c r="G582" s="65" t="s">
        <v>212</v>
      </c>
      <c r="H582" s="63">
        <v>376</v>
      </c>
      <c r="I582" s="65" t="s">
        <v>165</v>
      </c>
      <c r="J582" s="63">
        <v>800</v>
      </c>
      <c r="K582" s="64">
        <v>9625.6</v>
      </c>
      <c r="L582" s="63" t="s">
        <v>1292</v>
      </c>
      <c r="M582" t="s">
        <v>1117</v>
      </c>
      <c r="N582" s="65" t="str">
        <f>queryCARRADAS_20250905_83647[[#This Row],[ORIGEM]]&amp;queryCARRADAS_20250905_83647[[#This Row],[DESTINO]]&amp;queryCARRADAS_20250905_83647[[#This Row],[MATERIAL]]</f>
        <v>SERVENGUSINA PINHEIROPÓ DE BRITA</v>
      </c>
      <c r="O582" s="68" t="s">
        <v>164</v>
      </c>
    </row>
    <row r="583" spans="2:15" x14ac:dyDescent="0.25">
      <c r="B583" s="66">
        <v>45895</v>
      </c>
      <c r="C583" s="65">
        <v>1</v>
      </c>
      <c r="D583" s="63" t="s">
        <v>200</v>
      </c>
      <c r="E583" s="65" t="s">
        <v>201</v>
      </c>
      <c r="F583" s="65" t="s">
        <v>163</v>
      </c>
      <c r="G583" s="65" t="s">
        <v>164</v>
      </c>
      <c r="H583" s="63">
        <v>52</v>
      </c>
      <c r="I583" s="65" t="s">
        <v>175</v>
      </c>
      <c r="J583" s="63">
        <v>4776</v>
      </c>
      <c r="K583" s="64">
        <v>918.9</v>
      </c>
      <c r="L583" s="63" t="s">
        <v>1293</v>
      </c>
      <c r="M583" t="s">
        <v>1117</v>
      </c>
      <c r="N583" s="65" t="str">
        <f>queryCARRADAS_20250905_83647[[#This Row],[ORIGEM]]&amp;queryCARRADAS_20250905_83647[[#This Row],[DESTINO]]&amp;queryCARRADAS_20250905_83647[[#This Row],[MATERIAL]]</f>
        <v>BRASIL MINERACAOUA SAO LUISBRITA 0</v>
      </c>
      <c r="O583" s="68" t="s">
        <v>164</v>
      </c>
    </row>
    <row r="584" spans="2:15" x14ac:dyDescent="0.25">
      <c r="B584" s="66">
        <v>45895</v>
      </c>
      <c r="C584" s="65">
        <v>1</v>
      </c>
      <c r="D584" s="63" t="s">
        <v>270</v>
      </c>
      <c r="E584" s="65" t="s">
        <v>1146</v>
      </c>
      <c r="F584" s="65" t="s">
        <v>166</v>
      </c>
      <c r="G584" s="65" t="s">
        <v>164</v>
      </c>
      <c r="H584" s="63">
        <v>58</v>
      </c>
      <c r="I584" s="65" t="s">
        <v>165</v>
      </c>
      <c r="J584" s="63">
        <v>699</v>
      </c>
      <c r="K584" s="64">
        <v>1500.05</v>
      </c>
      <c r="L584" s="63" t="s">
        <v>1294</v>
      </c>
      <c r="M584" t="s">
        <v>1183</v>
      </c>
      <c r="N584" s="65" t="str">
        <f>queryCARRADAS_20250905_83647[[#This Row],[ORIGEM]]&amp;queryCARRADAS_20250905_83647[[#This Row],[DESTINO]]&amp;queryCARRADAS_20250905_83647[[#This Row],[MATERIAL]]</f>
        <v>GRANORTEUA SAO LUISPÓ DE BRITA</v>
      </c>
      <c r="O584" s="68" t="s">
        <v>164</v>
      </c>
    </row>
    <row r="585" spans="2:15" x14ac:dyDescent="0.25">
      <c r="B585" s="66">
        <v>45896</v>
      </c>
      <c r="C585" s="65">
        <v>1</v>
      </c>
      <c r="D585" s="63" t="s">
        <v>219</v>
      </c>
      <c r="E585" s="65" t="s">
        <v>220</v>
      </c>
      <c r="F585" s="65" t="s">
        <v>190</v>
      </c>
      <c r="G585" s="65" t="s">
        <v>212</v>
      </c>
      <c r="H585" s="63">
        <v>376</v>
      </c>
      <c r="I585" s="65" t="s">
        <v>165</v>
      </c>
      <c r="J585" s="63">
        <v>301</v>
      </c>
      <c r="K585" s="64">
        <v>3621.63</v>
      </c>
      <c r="L585" s="63" t="s">
        <v>1226</v>
      </c>
      <c r="M585" t="s">
        <v>1117</v>
      </c>
      <c r="N585" s="65" t="str">
        <f>queryCARRADAS_20250905_83647[[#This Row],[ORIGEM]]&amp;queryCARRADAS_20250905_83647[[#This Row],[DESTINO]]&amp;queryCARRADAS_20250905_83647[[#This Row],[MATERIAL]]</f>
        <v>SERVENGUSINA PINHEIROPÓ DE BRITA</v>
      </c>
      <c r="O585" s="68" t="s">
        <v>164</v>
      </c>
    </row>
    <row r="586" spans="2:15" x14ac:dyDescent="0.25">
      <c r="B586" s="66">
        <v>45896</v>
      </c>
      <c r="C586" s="65">
        <v>1</v>
      </c>
      <c r="D586" s="63" t="s">
        <v>196</v>
      </c>
      <c r="E586" s="65" t="s">
        <v>197</v>
      </c>
      <c r="F586" s="65" t="s">
        <v>166</v>
      </c>
      <c r="G586" s="65" t="s">
        <v>191</v>
      </c>
      <c r="H586" s="63">
        <v>243</v>
      </c>
      <c r="I586" s="65" t="s">
        <v>172</v>
      </c>
      <c r="J586" s="63">
        <v>5066</v>
      </c>
      <c r="K586" s="64">
        <v>4554.84</v>
      </c>
      <c r="L586" s="63" t="s">
        <v>1227</v>
      </c>
      <c r="M586" t="s">
        <v>1228</v>
      </c>
      <c r="N586" s="65" t="str">
        <f>queryCARRADAS_20250905_83647[[#This Row],[ORIGEM]]&amp;queryCARRADAS_20250905_83647[[#This Row],[DESTINO]]&amp;queryCARRADAS_20250905_83647[[#This Row],[MATERIAL]]</f>
        <v>GRANORTEOLINDA NOVA - MABICA CORRIDA</v>
      </c>
      <c r="O586" s="68" t="s">
        <v>164</v>
      </c>
    </row>
    <row r="587" spans="2:15" x14ac:dyDescent="0.25">
      <c r="B587" s="66">
        <v>45896</v>
      </c>
      <c r="C587" s="65">
        <v>1</v>
      </c>
      <c r="D587" s="63" t="s">
        <v>167</v>
      </c>
      <c r="E587" s="65" t="s">
        <v>168</v>
      </c>
      <c r="F587" s="65" t="s">
        <v>166</v>
      </c>
      <c r="G587" s="65" t="s">
        <v>218</v>
      </c>
      <c r="H587" s="63">
        <v>71</v>
      </c>
      <c r="I587" s="65" t="s">
        <v>172</v>
      </c>
      <c r="J587" s="63">
        <v>262</v>
      </c>
      <c r="K587" s="64">
        <v>688.27</v>
      </c>
      <c r="L587" s="63" t="s">
        <v>1229</v>
      </c>
      <c r="M587" t="s">
        <v>1117</v>
      </c>
      <c r="N587" s="65" t="str">
        <f>queryCARRADAS_20250905_83647[[#This Row],[ORIGEM]]&amp;queryCARRADAS_20250905_83647[[#This Row],[DESTINO]]&amp;queryCARRADAS_20250905_83647[[#This Row],[MATERIAL]]</f>
        <v>GRANORTEEXPOEMABICA CORRIDA</v>
      </c>
      <c r="O587" s="68" t="s">
        <v>164</v>
      </c>
    </row>
    <row r="588" spans="2:15" x14ac:dyDescent="0.25">
      <c r="B588" s="66">
        <v>45896</v>
      </c>
      <c r="C588" s="65">
        <v>1</v>
      </c>
      <c r="D588" s="63" t="s">
        <v>176</v>
      </c>
      <c r="E588" s="65" t="s">
        <v>177</v>
      </c>
      <c r="F588" s="65" t="s">
        <v>163</v>
      </c>
      <c r="G588" s="65" t="s">
        <v>164</v>
      </c>
      <c r="H588" s="63">
        <v>52</v>
      </c>
      <c r="I588" s="65" t="s">
        <v>175</v>
      </c>
      <c r="J588" s="63">
        <v>5266</v>
      </c>
      <c r="K588" s="64">
        <v>1013.18</v>
      </c>
      <c r="L588" s="63" t="s">
        <v>1230</v>
      </c>
      <c r="M588" t="s">
        <v>1117</v>
      </c>
      <c r="N588" s="65" t="str">
        <f>queryCARRADAS_20250905_83647[[#This Row],[ORIGEM]]&amp;queryCARRADAS_20250905_83647[[#This Row],[DESTINO]]&amp;queryCARRADAS_20250905_83647[[#This Row],[MATERIAL]]</f>
        <v>BRASIL MINERACAOUA SAO LUISBRITA 0</v>
      </c>
      <c r="O588" s="68" t="s">
        <v>164</v>
      </c>
    </row>
    <row r="589" spans="2:15" x14ac:dyDescent="0.25">
      <c r="B589" s="66">
        <v>45896</v>
      </c>
      <c r="C589" s="65">
        <v>1</v>
      </c>
      <c r="D589" s="63" t="s">
        <v>202</v>
      </c>
      <c r="E589" s="65" t="s">
        <v>1153</v>
      </c>
      <c r="F589" s="65" t="s">
        <v>166</v>
      </c>
      <c r="G589" s="65" t="s">
        <v>191</v>
      </c>
      <c r="H589" s="63">
        <v>243</v>
      </c>
      <c r="I589" s="65" t="s">
        <v>172</v>
      </c>
      <c r="J589" s="63">
        <v>5166</v>
      </c>
      <c r="K589" s="64">
        <v>4644.75</v>
      </c>
      <c r="L589" s="63" t="s">
        <v>1231</v>
      </c>
      <c r="M589" t="s">
        <v>1117</v>
      </c>
      <c r="N589" s="65" t="str">
        <f>queryCARRADAS_20250905_83647[[#This Row],[ORIGEM]]&amp;queryCARRADAS_20250905_83647[[#This Row],[DESTINO]]&amp;queryCARRADAS_20250905_83647[[#This Row],[MATERIAL]]</f>
        <v>GRANORTEOLINDA NOVA - MABICA CORRIDA</v>
      </c>
      <c r="O589" s="68" t="s">
        <v>154</v>
      </c>
    </row>
    <row r="590" spans="2:15" x14ac:dyDescent="0.25">
      <c r="B590" s="66">
        <v>45896</v>
      </c>
      <c r="C590" s="65">
        <v>1</v>
      </c>
      <c r="D590" s="63" t="s">
        <v>181</v>
      </c>
      <c r="E590" s="65" t="s">
        <v>182</v>
      </c>
      <c r="F590" s="65" t="s">
        <v>166</v>
      </c>
      <c r="G590" s="65" t="s">
        <v>218</v>
      </c>
      <c r="H590" s="63">
        <v>71</v>
      </c>
      <c r="I590" s="65" t="s">
        <v>172</v>
      </c>
      <c r="J590" s="63">
        <v>2644</v>
      </c>
      <c r="K590" s="64">
        <v>694.58</v>
      </c>
      <c r="L590" s="63" t="s">
        <v>1232</v>
      </c>
      <c r="M590" t="s">
        <v>1117</v>
      </c>
      <c r="N590" s="65" t="str">
        <f>queryCARRADAS_20250905_83647[[#This Row],[ORIGEM]]&amp;queryCARRADAS_20250905_83647[[#This Row],[DESTINO]]&amp;queryCARRADAS_20250905_83647[[#This Row],[MATERIAL]]</f>
        <v>GRANORTEEXPOEMABICA CORRIDA</v>
      </c>
      <c r="O590" s="68" t="s">
        <v>164</v>
      </c>
    </row>
    <row r="591" spans="2:15" x14ac:dyDescent="0.25">
      <c r="B591" s="66">
        <v>45896</v>
      </c>
      <c r="C591" s="65">
        <v>1</v>
      </c>
      <c r="D591" s="63" t="s">
        <v>170</v>
      </c>
      <c r="E591" s="65" t="s">
        <v>171</v>
      </c>
      <c r="F591" s="65" t="s">
        <v>166</v>
      </c>
      <c r="G591" s="65" t="s">
        <v>164</v>
      </c>
      <c r="H591" s="63">
        <v>58</v>
      </c>
      <c r="I591" s="65" t="s">
        <v>172</v>
      </c>
      <c r="J591" s="63">
        <v>2696</v>
      </c>
      <c r="K591" s="64">
        <v>578.55999999999995</v>
      </c>
      <c r="L591" s="63" t="s">
        <v>1233</v>
      </c>
      <c r="M591" t="s">
        <v>1117</v>
      </c>
      <c r="N591" s="65" t="str">
        <f>queryCARRADAS_20250905_83647[[#This Row],[ORIGEM]]&amp;queryCARRADAS_20250905_83647[[#This Row],[DESTINO]]&amp;queryCARRADAS_20250905_83647[[#This Row],[MATERIAL]]</f>
        <v>GRANORTEUA SAO LUISBICA CORRIDA</v>
      </c>
      <c r="O591" s="68" t="s">
        <v>164</v>
      </c>
    </row>
    <row r="592" spans="2:15" x14ac:dyDescent="0.25">
      <c r="B592" s="66">
        <v>45896</v>
      </c>
      <c r="C592" s="65">
        <v>1</v>
      </c>
      <c r="D592" s="63" t="s">
        <v>167</v>
      </c>
      <c r="E592" s="65" t="s">
        <v>168</v>
      </c>
      <c r="F592" s="65" t="s">
        <v>166</v>
      </c>
      <c r="G592" s="65" t="s">
        <v>218</v>
      </c>
      <c r="H592" s="63">
        <v>71</v>
      </c>
      <c r="I592" s="65" t="s">
        <v>172</v>
      </c>
      <c r="J592" s="63">
        <v>2638</v>
      </c>
      <c r="K592" s="64">
        <v>693</v>
      </c>
      <c r="L592" s="63" t="s">
        <v>1234</v>
      </c>
      <c r="M592" t="s">
        <v>1117</v>
      </c>
      <c r="N592" s="65" t="str">
        <f>queryCARRADAS_20250905_83647[[#This Row],[ORIGEM]]&amp;queryCARRADAS_20250905_83647[[#This Row],[DESTINO]]&amp;queryCARRADAS_20250905_83647[[#This Row],[MATERIAL]]</f>
        <v>GRANORTEEXPOEMABICA CORRIDA</v>
      </c>
      <c r="O592" s="68" t="s">
        <v>164</v>
      </c>
    </row>
    <row r="593" spans="2:15" x14ac:dyDescent="0.25">
      <c r="B593" s="66">
        <v>45896</v>
      </c>
      <c r="C593" s="65">
        <v>1</v>
      </c>
      <c r="D593" s="63" t="s">
        <v>181</v>
      </c>
      <c r="E593" s="65" t="s">
        <v>182</v>
      </c>
      <c r="F593" s="65" t="s">
        <v>166</v>
      </c>
      <c r="G593" s="65" t="s">
        <v>218</v>
      </c>
      <c r="H593" s="63">
        <v>71</v>
      </c>
      <c r="I593" s="65" t="s">
        <v>172</v>
      </c>
      <c r="J593" s="63">
        <v>2594</v>
      </c>
      <c r="K593" s="64">
        <v>681.44</v>
      </c>
      <c r="L593" s="63" t="s">
        <v>1235</v>
      </c>
      <c r="M593" t="s">
        <v>1117</v>
      </c>
      <c r="N593" s="65" t="str">
        <f>queryCARRADAS_20250905_83647[[#This Row],[ORIGEM]]&amp;queryCARRADAS_20250905_83647[[#This Row],[DESTINO]]&amp;queryCARRADAS_20250905_83647[[#This Row],[MATERIAL]]</f>
        <v>GRANORTEEXPOEMABICA CORRIDA</v>
      </c>
      <c r="O593" s="68" t="s">
        <v>164</v>
      </c>
    </row>
    <row r="594" spans="2:15" x14ac:dyDescent="0.25">
      <c r="B594" s="66">
        <v>45896</v>
      </c>
      <c r="C594" s="65">
        <v>1</v>
      </c>
      <c r="D594" s="63" t="s">
        <v>176</v>
      </c>
      <c r="E594" s="65" t="s">
        <v>177</v>
      </c>
      <c r="F594" s="65" t="s">
        <v>163</v>
      </c>
      <c r="G594" s="65" t="s">
        <v>164</v>
      </c>
      <c r="H594" s="63">
        <v>52</v>
      </c>
      <c r="I594" s="65" t="s">
        <v>175</v>
      </c>
      <c r="J594" s="63">
        <v>700</v>
      </c>
      <c r="K594" s="64">
        <v>1346.8</v>
      </c>
      <c r="L594" s="63" t="s">
        <v>1236</v>
      </c>
      <c r="M594" t="s">
        <v>1117</v>
      </c>
      <c r="N594" s="65" t="str">
        <f>queryCARRADAS_20250905_83647[[#This Row],[ORIGEM]]&amp;queryCARRADAS_20250905_83647[[#This Row],[DESTINO]]&amp;queryCARRADAS_20250905_83647[[#This Row],[MATERIAL]]</f>
        <v>BRASIL MINERACAOUA SAO LUISBRITA 0</v>
      </c>
      <c r="O594" s="68" t="s">
        <v>164</v>
      </c>
    </row>
    <row r="595" spans="2:15" x14ac:dyDescent="0.25">
      <c r="B595" s="66">
        <v>45896</v>
      </c>
      <c r="C595" s="65">
        <v>1</v>
      </c>
      <c r="D595" s="63" t="s">
        <v>170</v>
      </c>
      <c r="E595" s="65" t="s">
        <v>171</v>
      </c>
      <c r="F595" s="65" t="s">
        <v>166</v>
      </c>
      <c r="G595" s="65" t="s">
        <v>164</v>
      </c>
      <c r="H595" s="63">
        <v>58</v>
      </c>
      <c r="I595" s="65" t="s">
        <v>172</v>
      </c>
      <c r="J595" s="63">
        <v>2752</v>
      </c>
      <c r="K595" s="64">
        <v>590.58000000000004</v>
      </c>
      <c r="L595" s="63" t="s">
        <v>1237</v>
      </c>
      <c r="M595" t="s">
        <v>1117</v>
      </c>
      <c r="N595" s="65" t="str">
        <f>queryCARRADAS_20250905_83647[[#This Row],[ORIGEM]]&amp;queryCARRADAS_20250905_83647[[#This Row],[DESTINO]]&amp;queryCARRADAS_20250905_83647[[#This Row],[MATERIAL]]</f>
        <v>GRANORTEUA SAO LUISBICA CORRIDA</v>
      </c>
      <c r="O595" s="68" t="s">
        <v>164</v>
      </c>
    </row>
    <row r="596" spans="2:15" x14ac:dyDescent="0.25">
      <c r="B596" s="66">
        <v>45896</v>
      </c>
      <c r="C596" s="65">
        <v>1</v>
      </c>
      <c r="D596" s="63" t="s">
        <v>167</v>
      </c>
      <c r="E596" s="65" t="s">
        <v>168</v>
      </c>
      <c r="F596" s="65" t="s">
        <v>166</v>
      </c>
      <c r="G596" s="65" t="s">
        <v>218</v>
      </c>
      <c r="H596" s="63">
        <v>71</v>
      </c>
      <c r="I596" s="65" t="s">
        <v>172</v>
      </c>
      <c r="J596" s="63">
        <v>2658</v>
      </c>
      <c r="K596" s="64">
        <v>698.26</v>
      </c>
      <c r="L596" s="63" t="s">
        <v>1238</v>
      </c>
      <c r="M596" t="s">
        <v>1117</v>
      </c>
      <c r="N596" s="65" t="str">
        <f>queryCARRADAS_20250905_83647[[#This Row],[ORIGEM]]&amp;queryCARRADAS_20250905_83647[[#This Row],[DESTINO]]&amp;queryCARRADAS_20250905_83647[[#This Row],[MATERIAL]]</f>
        <v>GRANORTEEXPOEMABICA CORRIDA</v>
      </c>
      <c r="O596" s="68" t="s">
        <v>164</v>
      </c>
    </row>
    <row r="597" spans="2:15" x14ac:dyDescent="0.25">
      <c r="B597" s="66">
        <v>45896</v>
      </c>
      <c r="C597" s="65">
        <v>1</v>
      </c>
      <c r="D597" s="63" t="s">
        <v>181</v>
      </c>
      <c r="E597" s="65" t="s">
        <v>182</v>
      </c>
      <c r="F597" s="65" t="s">
        <v>166</v>
      </c>
      <c r="G597" s="65" t="s">
        <v>218</v>
      </c>
      <c r="H597" s="63">
        <v>71</v>
      </c>
      <c r="I597" s="65" t="s">
        <v>172</v>
      </c>
      <c r="J597" s="63">
        <v>2684</v>
      </c>
      <c r="K597" s="64">
        <v>705.09</v>
      </c>
      <c r="L597" s="63" t="s">
        <v>1239</v>
      </c>
      <c r="M597" t="s">
        <v>1117</v>
      </c>
      <c r="N597" s="65" t="str">
        <f>queryCARRADAS_20250905_83647[[#This Row],[ORIGEM]]&amp;queryCARRADAS_20250905_83647[[#This Row],[DESTINO]]&amp;queryCARRADAS_20250905_83647[[#This Row],[MATERIAL]]</f>
        <v>GRANORTEEXPOEMABICA CORRIDA</v>
      </c>
      <c r="O597" s="68" t="s">
        <v>164</v>
      </c>
    </row>
    <row r="598" spans="2:15" x14ac:dyDescent="0.25">
      <c r="B598" s="66">
        <v>45896</v>
      </c>
      <c r="C598" s="65">
        <v>1</v>
      </c>
      <c r="D598" s="63" t="s">
        <v>179</v>
      </c>
      <c r="E598" s="65" t="s">
        <v>180</v>
      </c>
      <c r="F598" s="65" t="s">
        <v>163</v>
      </c>
      <c r="G598" s="65" t="s">
        <v>164</v>
      </c>
      <c r="H598" s="63">
        <v>52</v>
      </c>
      <c r="I598" s="65" t="s">
        <v>165</v>
      </c>
      <c r="J598" s="63">
        <v>262</v>
      </c>
      <c r="K598" s="64">
        <v>504.09</v>
      </c>
      <c r="L598" s="63" t="s">
        <v>1240</v>
      </c>
      <c r="M598" t="s">
        <v>1117</v>
      </c>
      <c r="N598" s="65" t="str">
        <f>queryCARRADAS_20250905_83647[[#This Row],[ORIGEM]]&amp;queryCARRADAS_20250905_83647[[#This Row],[DESTINO]]&amp;queryCARRADAS_20250905_83647[[#This Row],[MATERIAL]]</f>
        <v>BRASIL MINERACAOUA SAO LUISPÓ DE BRITA</v>
      </c>
      <c r="O598" s="68" t="s">
        <v>164</v>
      </c>
    </row>
    <row r="599" spans="2:15" x14ac:dyDescent="0.25">
      <c r="B599" s="66">
        <v>45896</v>
      </c>
      <c r="C599" s="65">
        <v>1</v>
      </c>
      <c r="D599" s="63" t="s">
        <v>179</v>
      </c>
      <c r="E599" s="65" t="s">
        <v>180</v>
      </c>
      <c r="F599" s="65" t="s">
        <v>163</v>
      </c>
      <c r="G599" s="65" t="s">
        <v>164</v>
      </c>
      <c r="H599" s="63">
        <v>52</v>
      </c>
      <c r="I599" s="65" t="s">
        <v>185</v>
      </c>
      <c r="J599" s="63">
        <v>257</v>
      </c>
      <c r="K599" s="64">
        <v>494.47</v>
      </c>
      <c r="L599" s="63" t="s">
        <v>1241</v>
      </c>
      <c r="M599" t="s">
        <v>1117</v>
      </c>
      <c r="N599" s="65" t="str">
        <f>queryCARRADAS_20250905_83647[[#This Row],[ORIGEM]]&amp;queryCARRADAS_20250905_83647[[#This Row],[DESTINO]]&amp;queryCARRADAS_20250905_83647[[#This Row],[MATERIAL]]</f>
        <v>BRASIL MINERACAOUA SAO LUISRACHÃOZINHO</v>
      </c>
      <c r="O599" s="68" t="s">
        <v>164</v>
      </c>
    </row>
    <row r="600" spans="2:15" x14ac:dyDescent="0.25">
      <c r="B600" s="66">
        <v>45896</v>
      </c>
      <c r="C600" s="65">
        <v>1</v>
      </c>
      <c r="D600" s="63" t="s">
        <v>1127</v>
      </c>
      <c r="E600" s="65" t="s">
        <v>178</v>
      </c>
      <c r="F600" s="65" t="s">
        <v>166</v>
      </c>
      <c r="G600" s="65" t="s">
        <v>364</v>
      </c>
      <c r="H600" s="63">
        <v>80</v>
      </c>
      <c r="I600" s="65" t="s">
        <v>216</v>
      </c>
      <c r="J600" s="63">
        <v>2918</v>
      </c>
      <c r="K600" s="64">
        <v>863.73</v>
      </c>
      <c r="L600" s="63" t="s">
        <v>1242</v>
      </c>
      <c r="M600" t="s">
        <v>1117</v>
      </c>
      <c r="N600" s="65" t="str">
        <f>queryCARRADAS_20250905_83647[[#This Row],[ORIGEM]]&amp;queryCARRADAS_20250905_83647[[#This Row],[DESTINO]]&amp;queryCARRADAS_20250905_83647[[#This Row],[MATERIAL]]</f>
        <v>GRANORTEARACAGY - SAO LUISBRITA 3</v>
      </c>
      <c r="O600" s="68" t="s">
        <v>164</v>
      </c>
    </row>
    <row r="601" spans="2:15" x14ac:dyDescent="0.25">
      <c r="B601" s="66">
        <v>45896</v>
      </c>
      <c r="C601" s="65">
        <v>1</v>
      </c>
      <c r="D601" s="63" t="s">
        <v>1127</v>
      </c>
      <c r="E601" s="65" t="s">
        <v>178</v>
      </c>
      <c r="F601" s="65" t="s">
        <v>166</v>
      </c>
      <c r="G601" s="65" t="s">
        <v>364</v>
      </c>
      <c r="H601" s="63">
        <v>80</v>
      </c>
      <c r="I601" s="65" t="s">
        <v>216</v>
      </c>
      <c r="J601" s="63">
        <v>3004</v>
      </c>
      <c r="K601" s="64">
        <v>889.18</v>
      </c>
      <c r="L601" s="63" t="s">
        <v>1243</v>
      </c>
      <c r="M601" t="s">
        <v>1117</v>
      </c>
      <c r="N601" s="65" t="str">
        <f>queryCARRADAS_20250905_83647[[#This Row],[ORIGEM]]&amp;queryCARRADAS_20250905_83647[[#This Row],[DESTINO]]&amp;queryCARRADAS_20250905_83647[[#This Row],[MATERIAL]]</f>
        <v>GRANORTEARACAGY - SAO LUISBRITA 3</v>
      </c>
      <c r="O601" s="68" t="s">
        <v>164</v>
      </c>
    </row>
    <row r="602" spans="2:15" x14ac:dyDescent="0.25">
      <c r="B602" s="66">
        <v>45896</v>
      </c>
      <c r="C602" s="65">
        <v>1</v>
      </c>
      <c r="D602" s="63" t="s">
        <v>179</v>
      </c>
      <c r="E602" s="65" t="s">
        <v>180</v>
      </c>
      <c r="F602" s="65" t="s">
        <v>163</v>
      </c>
      <c r="G602" s="65" t="s">
        <v>164</v>
      </c>
      <c r="H602" s="63">
        <v>52</v>
      </c>
      <c r="I602" s="65" t="s">
        <v>185</v>
      </c>
      <c r="J602" s="63">
        <v>262</v>
      </c>
      <c r="K602" s="64">
        <v>504.09</v>
      </c>
      <c r="L602" s="63" t="s">
        <v>1244</v>
      </c>
      <c r="M602" t="s">
        <v>1117</v>
      </c>
      <c r="N602" s="65" t="str">
        <f>queryCARRADAS_20250905_83647[[#This Row],[ORIGEM]]&amp;queryCARRADAS_20250905_83647[[#This Row],[DESTINO]]&amp;queryCARRADAS_20250905_83647[[#This Row],[MATERIAL]]</f>
        <v>BRASIL MINERACAOUA SAO LUISRACHÃOZINHO</v>
      </c>
      <c r="O602" s="68" t="s">
        <v>164</v>
      </c>
    </row>
    <row r="603" spans="2:15" x14ac:dyDescent="0.25">
      <c r="B603" s="66">
        <v>45896</v>
      </c>
      <c r="C603" s="65">
        <v>1</v>
      </c>
      <c r="D603" s="63" t="s">
        <v>179</v>
      </c>
      <c r="E603" s="65" t="s">
        <v>180</v>
      </c>
      <c r="F603" s="65" t="s">
        <v>163</v>
      </c>
      <c r="G603" s="65" t="s">
        <v>164</v>
      </c>
      <c r="H603" s="63">
        <v>52</v>
      </c>
      <c r="I603" s="65" t="s">
        <v>185</v>
      </c>
      <c r="J603" s="63">
        <v>252</v>
      </c>
      <c r="K603" s="64">
        <v>484.85</v>
      </c>
      <c r="L603" s="63" t="s">
        <v>1245</v>
      </c>
      <c r="M603" t="s">
        <v>1117</v>
      </c>
      <c r="N603" s="65" t="str">
        <f>queryCARRADAS_20250905_83647[[#This Row],[ORIGEM]]&amp;queryCARRADAS_20250905_83647[[#This Row],[DESTINO]]&amp;queryCARRADAS_20250905_83647[[#This Row],[MATERIAL]]</f>
        <v>BRASIL MINERACAOUA SAO LUISRACHÃOZINHO</v>
      </c>
      <c r="O603" s="68" t="s">
        <v>164</v>
      </c>
    </row>
    <row r="604" spans="2:15" x14ac:dyDescent="0.25">
      <c r="B604" s="66">
        <v>45896</v>
      </c>
      <c r="C604" s="65">
        <v>1</v>
      </c>
      <c r="D604" s="63" t="s">
        <v>176</v>
      </c>
      <c r="E604" s="65" t="s">
        <v>177</v>
      </c>
      <c r="F604" s="65" t="s">
        <v>163</v>
      </c>
      <c r="G604" s="65" t="s">
        <v>164</v>
      </c>
      <c r="H604" s="63">
        <v>52</v>
      </c>
      <c r="I604" s="65" t="s">
        <v>175</v>
      </c>
      <c r="J604" s="63">
        <v>704</v>
      </c>
      <c r="K604" s="64">
        <v>1354.5</v>
      </c>
      <c r="L604" s="63" t="s">
        <v>1246</v>
      </c>
      <c r="M604" t="s">
        <v>1117</v>
      </c>
      <c r="N604" s="65" t="str">
        <f>queryCARRADAS_20250905_83647[[#This Row],[ORIGEM]]&amp;queryCARRADAS_20250905_83647[[#This Row],[DESTINO]]&amp;queryCARRADAS_20250905_83647[[#This Row],[MATERIAL]]</f>
        <v>BRASIL MINERACAOUA SAO LUISBRITA 0</v>
      </c>
      <c r="O604" s="68" t="s">
        <v>164</v>
      </c>
    </row>
    <row r="605" spans="2:15" x14ac:dyDescent="0.25">
      <c r="B605" s="66">
        <v>45896</v>
      </c>
      <c r="C605" s="65">
        <v>1</v>
      </c>
      <c r="D605" s="63" t="s">
        <v>170</v>
      </c>
      <c r="E605" s="65" t="s">
        <v>171</v>
      </c>
      <c r="F605" s="65" t="s">
        <v>166</v>
      </c>
      <c r="G605" s="65" t="s">
        <v>164</v>
      </c>
      <c r="H605" s="63">
        <v>58</v>
      </c>
      <c r="I605" s="65" t="s">
        <v>172</v>
      </c>
      <c r="J605" s="63">
        <v>278</v>
      </c>
      <c r="K605" s="64">
        <v>596.59</v>
      </c>
      <c r="L605" s="63" t="s">
        <v>1247</v>
      </c>
      <c r="M605" t="s">
        <v>1117</v>
      </c>
      <c r="N605" s="65" t="str">
        <f>queryCARRADAS_20250905_83647[[#This Row],[ORIGEM]]&amp;queryCARRADAS_20250905_83647[[#This Row],[DESTINO]]&amp;queryCARRADAS_20250905_83647[[#This Row],[MATERIAL]]</f>
        <v>GRANORTEUA SAO LUISBICA CORRIDA</v>
      </c>
      <c r="O605" s="68" t="s">
        <v>164</v>
      </c>
    </row>
    <row r="606" spans="2:15" x14ac:dyDescent="0.25">
      <c r="B606" s="66">
        <v>45896</v>
      </c>
      <c r="C606" s="65">
        <v>1</v>
      </c>
      <c r="D606" s="63" t="s">
        <v>173</v>
      </c>
      <c r="E606" s="65" t="s">
        <v>174</v>
      </c>
      <c r="F606" s="65" t="s">
        <v>166</v>
      </c>
      <c r="G606" s="65" t="s">
        <v>218</v>
      </c>
      <c r="H606" s="63">
        <v>71</v>
      </c>
      <c r="I606" s="65" t="s">
        <v>172</v>
      </c>
      <c r="J606" s="63">
        <v>3524</v>
      </c>
      <c r="K606" s="64">
        <v>925.75</v>
      </c>
      <c r="L606" s="63" t="s">
        <v>1248</v>
      </c>
      <c r="M606" t="s">
        <v>1117</v>
      </c>
      <c r="N606" s="65" t="str">
        <f>queryCARRADAS_20250905_83647[[#This Row],[ORIGEM]]&amp;queryCARRADAS_20250905_83647[[#This Row],[DESTINO]]&amp;queryCARRADAS_20250905_83647[[#This Row],[MATERIAL]]</f>
        <v>GRANORTEEXPOEMABICA CORRIDA</v>
      </c>
      <c r="O606" s="68" t="s">
        <v>164</v>
      </c>
    </row>
    <row r="607" spans="2:15" x14ac:dyDescent="0.25">
      <c r="B607" s="66">
        <v>45896</v>
      </c>
      <c r="C607" s="65">
        <v>1</v>
      </c>
      <c r="D607" s="63" t="s">
        <v>208</v>
      </c>
      <c r="E607" s="65" t="s">
        <v>209</v>
      </c>
      <c r="F607" s="65" t="s">
        <v>190</v>
      </c>
      <c r="G607" s="65" t="s">
        <v>212</v>
      </c>
      <c r="H607" s="63">
        <v>376</v>
      </c>
      <c r="I607" s="65" t="s">
        <v>165</v>
      </c>
      <c r="J607" s="63">
        <v>800</v>
      </c>
      <c r="K607" s="64">
        <v>9625.6</v>
      </c>
      <c r="L607" s="63" t="s">
        <v>1249</v>
      </c>
      <c r="M607" t="s">
        <v>1117</v>
      </c>
      <c r="N607" s="65" t="str">
        <f>queryCARRADAS_20250905_83647[[#This Row],[ORIGEM]]&amp;queryCARRADAS_20250905_83647[[#This Row],[DESTINO]]&amp;queryCARRADAS_20250905_83647[[#This Row],[MATERIAL]]</f>
        <v>SERVENGUSINA PINHEIROPÓ DE BRITA</v>
      </c>
      <c r="O607" s="68" t="s">
        <v>164</v>
      </c>
    </row>
    <row r="608" spans="2:15" x14ac:dyDescent="0.25">
      <c r="B608" s="66">
        <v>45896</v>
      </c>
      <c r="C608" s="65">
        <v>1</v>
      </c>
      <c r="D608" s="63" t="s">
        <v>183</v>
      </c>
      <c r="E608" s="65" t="s">
        <v>184</v>
      </c>
      <c r="F608" s="65" t="s">
        <v>166</v>
      </c>
      <c r="G608" s="65" t="s">
        <v>364</v>
      </c>
      <c r="H608" s="63">
        <v>80</v>
      </c>
      <c r="I608" s="65" t="s">
        <v>172</v>
      </c>
      <c r="J608" s="63">
        <v>3452</v>
      </c>
      <c r="K608" s="64">
        <v>1021.79</v>
      </c>
      <c r="L608" s="63" t="s">
        <v>1250</v>
      </c>
      <c r="M608" t="s">
        <v>1117</v>
      </c>
      <c r="N608" s="65" t="str">
        <f>queryCARRADAS_20250905_83647[[#This Row],[ORIGEM]]&amp;queryCARRADAS_20250905_83647[[#This Row],[DESTINO]]&amp;queryCARRADAS_20250905_83647[[#This Row],[MATERIAL]]</f>
        <v>GRANORTEARACAGY - SAO LUISBICA CORRIDA</v>
      </c>
      <c r="O608" s="68" t="s">
        <v>164</v>
      </c>
    </row>
    <row r="609" spans="2:15" x14ac:dyDescent="0.25">
      <c r="B609" s="66">
        <v>45896</v>
      </c>
      <c r="C609" s="65">
        <v>1</v>
      </c>
      <c r="D609" s="63" t="s">
        <v>210</v>
      </c>
      <c r="E609" s="65" t="s">
        <v>211</v>
      </c>
      <c r="F609" s="65" t="s">
        <v>163</v>
      </c>
      <c r="G609" s="65" t="s">
        <v>164</v>
      </c>
      <c r="H609" s="63">
        <v>52</v>
      </c>
      <c r="I609" s="65" t="s">
        <v>165</v>
      </c>
      <c r="J609" s="63">
        <v>7038</v>
      </c>
      <c r="K609" s="64">
        <v>1354.11</v>
      </c>
      <c r="L609" s="63" t="s">
        <v>1251</v>
      </c>
      <c r="M609" t="s">
        <v>1117</v>
      </c>
      <c r="N609" s="65" t="str">
        <f>queryCARRADAS_20250905_83647[[#This Row],[ORIGEM]]&amp;queryCARRADAS_20250905_83647[[#This Row],[DESTINO]]&amp;queryCARRADAS_20250905_83647[[#This Row],[MATERIAL]]</f>
        <v>BRASIL MINERACAOUA SAO LUISPÓ DE BRITA</v>
      </c>
      <c r="O609" s="68" t="s">
        <v>164</v>
      </c>
    </row>
    <row r="610" spans="2:15" x14ac:dyDescent="0.25">
      <c r="B610" s="66">
        <v>45896</v>
      </c>
      <c r="C610" s="65">
        <v>1</v>
      </c>
      <c r="D610" s="63" t="s">
        <v>210</v>
      </c>
      <c r="E610" s="65" t="s">
        <v>211</v>
      </c>
      <c r="F610" s="65" t="s">
        <v>163</v>
      </c>
      <c r="G610" s="65" t="s">
        <v>164</v>
      </c>
      <c r="H610" s="63">
        <v>52</v>
      </c>
      <c r="I610" s="65" t="s">
        <v>165</v>
      </c>
      <c r="J610" s="63">
        <v>6812</v>
      </c>
      <c r="K610" s="64">
        <v>1310.6300000000001</v>
      </c>
      <c r="L610" s="63" t="s">
        <v>1252</v>
      </c>
      <c r="M610" t="s">
        <v>1117</v>
      </c>
      <c r="N610" s="65" t="str">
        <f>queryCARRADAS_20250905_83647[[#This Row],[ORIGEM]]&amp;queryCARRADAS_20250905_83647[[#This Row],[DESTINO]]&amp;queryCARRADAS_20250905_83647[[#This Row],[MATERIAL]]</f>
        <v>BRASIL MINERACAOUA SAO LUISPÓ DE BRITA</v>
      </c>
      <c r="O610" s="68" t="s">
        <v>164</v>
      </c>
    </row>
    <row r="611" spans="2:15" x14ac:dyDescent="0.25">
      <c r="B611" s="66">
        <v>45896</v>
      </c>
      <c r="C611" s="65">
        <v>1</v>
      </c>
      <c r="D611" s="63" t="s">
        <v>210</v>
      </c>
      <c r="E611" s="65" t="s">
        <v>211</v>
      </c>
      <c r="F611" s="65" t="s">
        <v>166</v>
      </c>
      <c r="G611" s="65" t="s">
        <v>164</v>
      </c>
      <c r="H611" s="63">
        <v>58</v>
      </c>
      <c r="I611" s="65" t="s">
        <v>172</v>
      </c>
      <c r="J611" s="63">
        <v>5954</v>
      </c>
      <c r="K611" s="64">
        <v>1277.73</v>
      </c>
      <c r="L611" s="63" t="s">
        <v>1253</v>
      </c>
      <c r="M611" t="s">
        <v>1117</v>
      </c>
      <c r="N611" s="65" t="str">
        <f>queryCARRADAS_20250905_83647[[#This Row],[ORIGEM]]&amp;queryCARRADAS_20250905_83647[[#This Row],[DESTINO]]&amp;queryCARRADAS_20250905_83647[[#This Row],[MATERIAL]]</f>
        <v>GRANORTEUA SAO LUISBICA CORRIDA</v>
      </c>
      <c r="O611" s="68" t="s">
        <v>164</v>
      </c>
    </row>
    <row r="612" spans="2:15" x14ac:dyDescent="0.25">
      <c r="B612" s="66">
        <v>45896</v>
      </c>
      <c r="C612" s="65">
        <v>1</v>
      </c>
      <c r="D612" s="63" t="s">
        <v>193</v>
      </c>
      <c r="E612" s="65" t="s">
        <v>194</v>
      </c>
      <c r="F612" s="65" t="s">
        <v>166</v>
      </c>
      <c r="G612" s="65" t="s">
        <v>164</v>
      </c>
      <c r="H612" s="63">
        <v>58</v>
      </c>
      <c r="I612" s="65" t="s">
        <v>165</v>
      </c>
      <c r="J612" s="63">
        <v>3016</v>
      </c>
      <c r="K612" s="64">
        <v>647.23</v>
      </c>
      <c r="L612" s="63" t="s">
        <v>1254</v>
      </c>
      <c r="M612" t="s">
        <v>1117</v>
      </c>
      <c r="N612" s="65" t="str">
        <f>queryCARRADAS_20250905_83647[[#This Row],[ORIGEM]]&amp;queryCARRADAS_20250905_83647[[#This Row],[DESTINO]]&amp;queryCARRADAS_20250905_83647[[#This Row],[MATERIAL]]</f>
        <v>GRANORTEUA SAO LUISPÓ DE BRITA</v>
      </c>
      <c r="O612" s="68" t="s">
        <v>164</v>
      </c>
    </row>
    <row r="613" spans="2:15" x14ac:dyDescent="0.25">
      <c r="B613" s="66">
        <v>45896</v>
      </c>
      <c r="C613" s="65">
        <v>1</v>
      </c>
      <c r="D613" s="63" t="s">
        <v>193</v>
      </c>
      <c r="E613" s="65" t="s">
        <v>194</v>
      </c>
      <c r="F613" s="65" t="s">
        <v>166</v>
      </c>
      <c r="G613" s="65" t="s">
        <v>164</v>
      </c>
      <c r="H613" s="63">
        <v>58</v>
      </c>
      <c r="I613" s="65" t="s">
        <v>165</v>
      </c>
      <c r="J613" s="63">
        <v>3036</v>
      </c>
      <c r="K613" s="64">
        <v>651.53</v>
      </c>
      <c r="L613" s="63" t="s">
        <v>1255</v>
      </c>
      <c r="M613" t="s">
        <v>1117</v>
      </c>
      <c r="N613" s="65" t="str">
        <f>queryCARRADAS_20250905_83647[[#This Row],[ORIGEM]]&amp;queryCARRADAS_20250905_83647[[#This Row],[DESTINO]]&amp;queryCARRADAS_20250905_83647[[#This Row],[MATERIAL]]</f>
        <v>GRANORTEUA SAO LUISPÓ DE BRITA</v>
      </c>
      <c r="O613" s="68" t="s">
        <v>164</v>
      </c>
    </row>
    <row r="614" spans="2:15" x14ac:dyDescent="0.25">
      <c r="B614" s="66">
        <v>45896</v>
      </c>
      <c r="C614" s="65">
        <v>1</v>
      </c>
      <c r="D614" s="63" t="s">
        <v>193</v>
      </c>
      <c r="E614" s="65" t="s">
        <v>194</v>
      </c>
      <c r="F614" s="65" t="s">
        <v>163</v>
      </c>
      <c r="G614" s="65" t="s">
        <v>164</v>
      </c>
      <c r="H614" s="63">
        <v>52</v>
      </c>
      <c r="I614" s="65" t="s">
        <v>165</v>
      </c>
      <c r="J614" s="63">
        <v>2979</v>
      </c>
      <c r="K614" s="64">
        <v>573.16</v>
      </c>
      <c r="L614" s="63" t="s">
        <v>1256</v>
      </c>
      <c r="M614" t="s">
        <v>1117</v>
      </c>
      <c r="N614" s="65" t="str">
        <f>queryCARRADAS_20250905_83647[[#This Row],[ORIGEM]]&amp;queryCARRADAS_20250905_83647[[#This Row],[DESTINO]]&amp;queryCARRADAS_20250905_83647[[#This Row],[MATERIAL]]</f>
        <v>BRASIL MINERACAOUA SAO LUISPÓ DE BRITA</v>
      </c>
      <c r="O614" s="68" t="s">
        <v>164</v>
      </c>
    </row>
    <row r="615" spans="2:15" x14ac:dyDescent="0.25">
      <c r="B615" s="66">
        <v>45896</v>
      </c>
      <c r="C615" s="65">
        <v>1</v>
      </c>
      <c r="D615" s="63" t="s">
        <v>162</v>
      </c>
      <c r="E615" s="65" t="s">
        <v>1134</v>
      </c>
      <c r="F615" s="65" t="s">
        <v>163</v>
      </c>
      <c r="G615" s="65" t="s">
        <v>164</v>
      </c>
      <c r="H615" s="63">
        <v>52</v>
      </c>
      <c r="I615" s="65" t="s">
        <v>185</v>
      </c>
      <c r="J615" s="63">
        <v>253</v>
      </c>
      <c r="K615" s="64">
        <v>486.77</v>
      </c>
      <c r="L615" s="63" t="s">
        <v>1257</v>
      </c>
      <c r="M615" t="s">
        <v>1117</v>
      </c>
      <c r="N615" s="65" t="str">
        <f>queryCARRADAS_20250905_83647[[#This Row],[ORIGEM]]&amp;queryCARRADAS_20250905_83647[[#This Row],[DESTINO]]&amp;queryCARRADAS_20250905_83647[[#This Row],[MATERIAL]]</f>
        <v>BRASIL MINERACAOUA SAO LUISRACHÃOZINHO</v>
      </c>
      <c r="O615" s="68" t="s">
        <v>164</v>
      </c>
    </row>
    <row r="616" spans="2:15" x14ac:dyDescent="0.25">
      <c r="B616" s="66">
        <v>45896</v>
      </c>
      <c r="C616" s="65">
        <v>1</v>
      </c>
      <c r="D616" s="63" t="s">
        <v>162</v>
      </c>
      <c r="E616" s="65" t="s">
        <v>1134</v>
      </c>
      <c r="F616" s="65" t="s">
        <v>166</v>
      </c>
      <c r="G616" s="65" t="s">
        <v>1258</v>
      </c>
      <c r="H616" s="63">
        <v>50</v>
      </c>
      <c r="I616" s="65" t="s">
        <v>185</v>
      </c>
      <c r="J616" s="63">
        <v>2604</v>
      </c>
      <c r="K616" s="64">
        <v>481.74</v>
      </c>
      <c r="L616" s="63" t="s">
        <v>1259</v>
      </c>
      <c r="M616" t="s">
        <v>1117</v>
      </c>
      <c r="N616" s="65" t="str">
        <f>queryCARRADAS_20250905_83647[[#This Row],[ORIGEM]]&amp;queryCARRADAS_20250905_83647[[#This Row],[DESTINO]]&amp;queryCARRADAS_20250905_83647[[#This Row],[MATERIAL]]</f>
        <v>GRANORTEREGIONAL SAO LUIS (DEPOSITO DISTRITO)RACHÃOZINHO</v>
      </c>
      <c r="O616" s="68" t="s">
        <v>164</v>
      </c>
    </row>
    <row r="617" spans="2:15" x14ac:dyDescent="0.25">
      <c r="B617" s="66">
        <v>45896</v>
      </c>
      <c r="C617" s="65">
        <v>1</v>
      </c>
      <c r="D617" s="63" t="s">
        <v>162</v>
      </c>
      <c r="E617" s="65" t="s">
        <v>1134</v>
      </c>
      <c r="F617" s="65" t="s">
        <v>166</v>
      </c>
      <c r="G617" s="65" t="s">
        <v>1258</v>
      </c>
      <c r="H617" s="63">
        <v>50</v>
      </c>
      <c r="I617" s="65" t="s">
        <v>185</v>
      </c>
      <c r="J617" s="63">
        <v>2712</v>
      </c>
      <c r="K617" s="64">
        <v>501.72</v>
      </c>
      <c r="L617" s="63" t="s">
        <v>1260</v>
      </c>
      <c r="M617" t="s">
        <v>1117</v>
      </c>
      <c r="N617" s="65" t="str">
        <f>queryCARRADAS_20250905_83647[[#This Row],[ORIGEM]]&amp;queryCARRADAS_20250905_83647[[#This Row],[DESTINO]]&amp;queryCARRADAS_20250905_83647[[#This Row],[MATERIAL]]</f>
        <v>GRANORTEREGIONAL SAO LUIS (DEPOSITO DISTRITO)RACHÃOZINHO</v>
      </c>
      <c r="O617" s="68" t="s">
        <v>164</v>
      </c>
    </row>
    <row r="618" spans="2:15" x14ac:dyDescent="0.25">
      <c r="B618" s="66">
        <v>45896</v>
      </c>
      <c r="C618" s="65">
        <v>1</v>
      </c>
      <c r="D618" s="63" t="s">
        <v>275</v>
      </c>
      <c r="E618" s="65" t="s">
        <v>217</v>
      </c>
      <c r="F618" s="65" t="s">
        <v>190</v>
      </c>
      <c r="G618" s="65" t="s">
        <v>212</v>
      </c>
      <c r="H618" s="63">
        <v>376</v>
      </c>
      <c r="I618" s="65" t="s">
        <v>165</v>
      </c>
      <c r="J618" s="63">
        <v>750</v>
      </c>
      <c r="K618" s="64">
        <v>9024</v>
      </c>
      <c r="L618" s="63" t="s">
        <v>1261</v>
      </c>
      <c r="M618" t="s">
        <v>1117</v>
      </c>
      <c r="N618" s="65" t="str">
        <f>queryCARRADAS_20250905_83647[[#This Row],[ORIGEM]]&amp;queryCARRADAS_20250905_83647[[#This Row],[DESTINO]]&amp;queryCARRADAS_20250905_83647[[#This Row],[MATERIAL]]</f>
        <v>SERVENGUSINA PINHEIROPÓ DE BRITA</v>
      </c>
      <c r="O618" s="68" t="s">
        <v>164</v>
      </c>
    </row>
    <row r="619" spans="2:15" x14ac:dyDescent="0.25">
      <c r="B619" s="66">
        <v>45896</v>
      </c>
      <c r="C619" s="65">
        <v>1</v>
      </c>
      <c r="D619" s="63" t="s">
        <v>270</v>
      </c>
      <c r="E619" s="65" t="s">
        <v>1146</v>
      </c>
      <c r="F619" s="65" t="s">
        <v>163</v>
      </c>
      <c r="G619" s="65" t="s">
        <v>164</v>
      </c>
      <c r="H619" s="63">
        <v>52</v>
      </c>
      <c r="I619" s="65" t="s">
        <v>165</v>
      </c>
      <c r="J619" s="63">
        <v>685</v>
      </c>
      <c r="K619" s="64">
        <v>1317.94</v>
      </c>
      <c r="L619" s="63" t="s">
        <v>1262</v>
      </c>
      <c r="M619" t="s">
        <v>1183</v>
      </c>
      <c r="N619" s="65" t="str">
        <f>queryCARRADAS_20250905_83647[[#This Row],[ORIGEM]]&amp;queryCARRADAS_20250905_83647[[#This Row],[DESTINO]]&amp;queryCARRADAS_20250905_83647[[#This Row],[MATERIAL]]</f>
        <v>BRASIL MINERACAOUA SAO LUISPÓ DE BRITA</v>
      </c>
      <c r="O619" s="68" t="s">
        <v>164</v>
      </c>
    </row>
    <row r="620" spans="2:15" x14ac:dyDescent="0.25">
      <c r="B620" s="66">
        <v>45896</v>
      </c>
      <c r="C620" s="65">
        <v>1</v>
      </c>
      <c r="D620" s="63" t="s">
        <v>270</v>
      </c>
      <c r="E620" s="65" t="s">
        <v>1146</v>
      </c>
      <c r="F620" s="65" t="s">
        <v>163</v>
      </c>
      <c r="G620" s="65" t="s">
        <v>164</v>
      </c>
      <c r="H620" s="63">
        <v>52</v>
      </c>
      <c r="I620" s="65" t="s">
        <v>165</v>
      </c>
      <c r="J620" s="63">
        <v>6804</v>
      </c>
      <c r="K620" s="64">
        <v>1309.0899999999999</v>
      </c>
      <c r="L620" s="63" t="s">
        <v>1263</v>
      </c>
      <c r="M620" t="s">
        <v>1148</v>
      </c>
      <c r="N620" s="65" t="str">
        <f>queryCARRADAS_20250905_83647[[#This Row],[ORIGEM]]&amp;queryCARRADAS_20250905_83647[[#This Row],[DESTINO]]&amp;queryCARRADAS_20250905_83647[[#This Row],[MATERIAL]]</f>
        <v>BRASIL MINERACAOUA SAO LUISPÓ DE BRITA</v>
      </c>
      <c r="O620" s="68" t="s">
        <v>154</v>
      </c>
    </row>
    <row r="621" spans="2:15" x14ac:dyDescent="0.25">
      <c r="B621" s="66">
        <v>45896</v>
      </c>
      <c r="C621" s="65">
        <v>1</v>
      </c>
      <c r="D621" s="63" t="s">
        <v>270</v>
      </c>
      <c r="E621" s="65" t="s">
        <v>1146</v>
      </c>
      <c r="F621" s="65" t="s">
        <v>163</v>
      </c>
      <c r="G621" s="65" t="s">
        <v>164</v>
      </c>
      <c r="H621" s="63">
        <v>52</v>
      </c>
      <c r="I621" s="65" t="s">
        <v>175</v>
      </c>
      <c r="J621" s="63">
        <v>707</v>
      </c>
      <c r="K621" s="64">
        <v>1360.27</v>
      </c>
      <c r="L621" s="63" t="s">
        <v>1264</v>
      </c>
      <c r="M621" t="s">
        <v>1148</v>
      </c>
      <c r="N621" s="65" t="str">
        <f>queryCARRADAS_20250905_83647[[#This Row],[ORIGEM]]&amp;queryCARRADAS_20250905_83647[[#This Row],[DESTINO]]&amp;queryCARRADAS_20250905_83647[[#This Row],[MATERIAL]]</f>
        <v>BRASIL MINERACAOUA SAO LUISBRITA 0</v>
      </c>
      <c r="O621" s="68" t="s">
        <v>164</v>
      </c>
    </row>
    <row r="622" spans="2:15" x14ac:dyDescent="0.25">
      <c r="B622" s="66">
        <v>45896</v>
      </c>
      <c r="C622" s="65">
        <v>1</v>
      </c>
      <c r="D622" s="63" t="s">
        <v>192</v>
      </c>
      <c r="E622" s="65" t="s">
        <v>1144</v>
      </c>
      <c r="F622" s="65" t="s">
        <v>163</v>
      </c>
      <c r="G622" s="65" t="s">
        <v>164</v>
      </c>
      <c r="H622" s="63">
        <v>52</v>
      </c>
      <c r="I622" s="65" t="s">
        <v>165</v>
      </c>
      <c r="J622" s="63">
        <v>4086</v>
      </c>
      <c r="K622" s="64">
        <v>786.15</v>
      </c>
      <c r="L622" s="63" t="s">
        <v>1265</v>
      </c>
      <c r="M622" t="s">
        <v>1117</v>
      </c>
      <c r="N622" s="65" t="str">
        <f>queryCARRADAS_20250905_83647[[#This Row],[ORIGEM]]&amp;queryCARRADAS_20250905_83647[[#This Row],[DESTINO]]&amp;queryCARRADAS_20250905_83647[[#This Row],[MATERIAL]]</f>
        <v>BRASIL MINERACAOUA SAO LUISPÓ DE BRITA</v>
      </c>
      <c r="O622" s="68" t="s">
        <v>161</v>
      </c>
    </row>
    <row r="623" spans="2:15" x14ac:dyDescent="0.25">
      <c r="B623" s="66">
        <v>45896</v>
      </c>
      <c r="C623" s="65">
        <v>1</v>
      </c>
      <c r="D623" s="63" t="s">
        <v>192</v>
      </c>
      <c r="E623" s="65" t="s">
        <v>1144</v>
      </c>
      <c r="F623" s="65" t="s">
        <v>163</v>
      </c>
      <c r="G623" s="65" t="s">
        <v>164</v>
      </c>
      <c r="H623" s="63">
        <v>52</v>
      </c>
      <c r="I623" s="65" t="s">
        <v>175</v>
      </c>
      <c r="J623" s="63">
        <v>5126</v>
      </c>
      <c r="K623" s="64">
        <v>986.24</v>
      </c>
      <c r="L623" s="63" t="s">
        <v>1266</v>
      </c>
      <c r="M623" t="s">
        <v>1117</v>
      </c>
      <c r="N623" s="65" t="str">
        <f>queryCARRADAS_20250905_83647[[#This Row],[ORIGEM]]&amp;queryCARRADAS_20250905_83647[[#This Row],[DESTINO]]&amp;queryCARRADAS_20250905_83647[[#This Row],[MATERIAL]]</f>
        <v>BRASIL MINERACAOUA SAO LUISBRITA 0</v>
      </c>
      <c r="O623" s="68" t="s">
        <v>164</v>
      </c>
    </row>
    <row r="624" spans="2:15" x14ac:dyDescent="0.25">
      <c r="B624" s="66">
        <v>45896</v>
      </c>
      <c r="C624" s="65">
        <v>1</v>
      </c>
      <c r="D624" s="63" t="s">
        <v>192</v>
      </c>
      <c r="E624" s="65" t="s">
        <v>1144</v>
      </c>
      <c r="F624" s="65" t="s">
        <v>166</v>
      </c>
      <c r="G624" s="65" t="s">
        <v>164</v>
      </c>
      <c r="H624" s="63">
        <v>58</v>
      </c>
      <c r="I624" s="65" t="s">
        <v>172</v>
      </c>
      <c r="J624" s="63">
        <v>632</v>
      </c>
      <c r="K624" s="64">
        <v>1356.27</v>
      </c>
      <c r="L624" s="63" t="s">
        <v>1267</v>
      </c>
      <c r="M624" t="s">
        <v>1117</v>
      </c>
      <c r="N624" s="65" t="str">
        <f>queryCARRADAS_20250905_83647[[#This Row],[ORIGEM]]&amp;queryCARRADAS_20250905_83647[[#This Row],[DESTINO]]&amp;queryCARRADAS_20250905_83647[[#This Row],[MATERIAL]]</f>
        <v>GRANORTEUA SAO LUISBICA CORRIDA</v>
      </c>
      <c r="O624" s="68" t="s">
        <v>164</v>
      </c>
    </row>
    <row r="625" spans="2:15" x14ac:dyDescent="0.25">
      <c r="B625" s="66">
        <v>45896</v>
      </c>
      <c r="C625" s="65">
        <v>1</v>
      </c>
      <c r="D625" s="63" t="s">
        <v>179</v>
      </c>
      <c r="E625" s="65" t="s">
        <v>180</v>
      </c>
      <c r="F625" s="65" t="s">
        <v>163</v>
      </c>
      <c r="G625" s="65" t="s">
        <v>164</v>
      </c>
      <c r="H625" s="63">
        <v>52</v>
      </c>
      <c r="I625" s="65" t="s">
        <v>185</v>
      </c>
      <c r="J625" s="63">
        <v>262</v>
      </c>
      <c r="K625" s="64">
        <v>504.09</v>
      </c>
      <c r="L625" s="63" t="s">
        <v>1268</v>
      </c>
      <c r="M625" t="s">
        <v>1117</v>
      </c>
      <c r="N625" s="65" t="str">
        <f>queryCARRADAS_20250905_83647[[#This Row],[ORIGEM]]&amp;queryCARRADAS_20250905_83647[[#This Row],[DESTINO]]&amp;queryCARRADAS_20250905_83647[[#This Row],[MATERIAL]]</f>
        <v>BRASIL MINERACAOUA SAO LUISRACHÃOZINHO</v>
      </c>
      <c r="O625" s="68" t="s">
        <v>164</v>
      </c>
    </row>
    <row r="626" spans="2:15" x14ac:dyDescent="0.25">
      <c r="B626" s="66">
        <v>45897</v>
      </c>
      <c r="C626" s="65">
        <v>1</v>
      </c>
      <c r="D626" s="63" t="s">
        <v>202</v>
      </c>
      <c r="E626" s="65" t="s">
        <v>1153</v>
      </c>
      <c r="F626" s="65" t="s">
        <v>166</v>
      </c>
      <c r="G626" s="65" t="s">
        <v>191</v>
      </c>
      <c r="H626" s="63">
        <v>243</v>
      </c>
      <c r="I626" s="65" t="s">
        <v>165</v>
      </c>
      <c r="J626" s="63">
        <v>5176</v>
      </c>
      <c r="K626" s="64">
        <v>4653.74</v>
      </c>
      <c r="L626" s="63" t="s">
        <v>1187</v>
      </c>
      <c r="M626" t="s">
        <v>1117</v>
      </c>
      <c r="N626" s="65" t="str">
        <f>queryCARRADAS_20250905_83647[[#This Row],[ORIGEM]]&amp;queryCARRADAS_20250905_83647[[#This Row],[DESTINO]]&amp;queryCARRADAS_20250905_83647[[#This Row],[MATERIAL]]</f>
        <v>GRANORTEOLINDA NOVA - MAPÓ DE BRITA</v>
      </c>
      <c r="O626" s="68" t="s">
        <v>164</v>
      </c>
    </row>
    <row r="627" spans="2:15" x14ac:dyDescent="0.25">
      <c r="B627" s="66">
        <v>45897</v>
      </c>
      <c r="C627" s="65">
        <v>1</v>
      </c>
      <c r="D627" s="63" t="s">
        <v>167</v>
      </c>
      <c r="E627" s="65" t="s">
        <v>168</v>
      </c>
      <c r="F627" s="65" t="s">
        <v>166</v>
      </c>
      <c r="G627" s="65" t="s">
        <v>218</v>
      </c>
      <c r="H627" s="63">
        <v>71</v>
      </c>
      <c r="I627" s="65" t="s">
        <v>172</v>
      </c>
      <c r="J627" s="63">
        <v>2774</v>
      </c>
      <c r="K627" s="64">
        <v>728.73</v>
      </c>
      <c r="L627" s="63" t="s">
        <v>1188</v>
      </c>
      <c r="M627" t="s">
        <v>1117</v>
      </c>
      <c r="N627" s="65" t="str">
        <f>queryCARRADAS_20250905_83647[[#This Row],[ORIGEM]]&amp;queryCARRADAS_20250905_83647[[#This Row],[DESTINO]]&amp;queryCARRADAS_20250905_83647[[#This Row],[MATERIAL]]</f>
        <v>GRANORTEEXPOEMABICA CORRIDA</v>
      </c>
      <c r="O627" s="68" t="s">
        <v>164</v>
      </c>
    </row>
    <row r="628" spans="2:15" x14ac:dyDescent="0.25">
      <c r="B628" s="66">
        <v>45897</v>
      </c>
      <c r="C628" s="65">
        <v>1</v>
      </c>
      <c r="D628" s="63" t="s">
        <v>181</v>
      </c>
      <c r="E628" s="65" t="s">
        <v>182</v>
      </c>
      <c r="F628" s="65" t="s">
        <v>166</v>
      </c>
      <c r="G628" s="65" t="s">
        <v>218</v>
      </c>
      <c r="H628" s="63">
        <v>71</v>
      </c>
      <c r="I628" s="65" t="s">
        <v>172</v>
      </c>
      <c r="J628" s="63">
        <v>2732</v>
      </c>
      <c r="K628" s="64">
        <v>717.7</v>
      </c>
      <c r="L628" s="63" t="s">
        <v>1189</v>
      </c>
      <c r="M628" t="s">
        <v>1117</v>
      </c>
      <c r="N628" s="65" t="str">
        <f>queryCARRADAS_20250905_83647[[#This Row],[ORIGEM]]&amp;queryCARRADAS_20250905_83647[[#This Row],[DESTINO]]&amp;queryCARRADAS_20250905_83647[[#This Row],[MATERIAL]]</f>
        <v>GRANORTEEXPOEMABICA CORRIDA</v>
      </c>
      <c r="O628" s="68" t="s">
        <v>164</v>
      </c>
    </row>
    <row r="629" spans="2:15" x14ac:dyDescent="0.25">
      <c r="B629" s="66">
        <v>45897</v>
      </c>
      <c r="C629" s="65">
        <v>1</v>
      </c>
      <c r="D629" s="63" t="s">
        <v>205</v>
      </c>
      <c r="E629" s="65" t="s">
        <v>206</v>
      </c>
      <c r="F629" s="65" t="s">
        <v>276</v>
      </c>
      <c r="G629" s="65" t="s">
        <v>1190</v>
      </c>
      <c r="H629" s="63">
        <v>185</v>
      </c>
      <c r="I629" s="65" t="s">
        <v>221</v>
      </c>
      <c r="J629" s="63">
        <v>542</v>
      </c>
      <c r="K629" s="64">
        <v>3208.64</v>
      </c>
      <c r="L629" s="63" t="s">
        <v>1191</v>
      </c>
      <c r="M629" t="s">
        <v>1117</v>
      </c>
      <c r="N629" s="65" t="str">
        <f>queryCARRADAS_20250905_83647[[#This Row],[ORIGEM]]&amp;queryCARRADAS_20250905_83647[[#This Row],[DESTINO]]&amp;queryCARRADAS_20250905_83647[[#This Row],[MATERIAL]]</f>
        <v>MINERADORA PORTO FRANCOLUCENA ACAILANDIABGS</v>
      </c>
      <c r="O629" s="68" t="s">
        <v>164</v>
      </c>
    </row>
    <row r="630" spans="2:15" x14ac:dyDescent="0.25">
      <c r="B630" s="66">
        <v>45897</v>
      </c>
      <c r="C630" s="65">
        <v>1</v>
      </c>
      <c r="D630" s="63" t="s">
        <v>196</v>
      </c>
      <c r="E630" s="65" t="s">
        <v>197</v>
      </c>
      <c r="F630" s="65" t="s">
        <v>166</v>
      </c>
      <c r="G630" s="65" t="s">
        <v>191</v>
      </c>
      <c r="H630" s="63">
        <v>243</v>
      </c>
      <c r="I630" s="65" t="s">
        <v>165</v>
      </c>
      <c r="J630" s="63">
        <v>4956</v>
      </c>
      <c r="K630" s="64">
        <v>4455.9399999999996</v>
      </c>
      <c r="L630" s="63" t="s">
        <v>1192</v>
      </c>
      <c r="M630" t="s">
        <v>1193</v>
      </c>
      <c r="N630" s="65" t="str">
        <f>queryCARRADAS_20250905_83647[[#This Row],[ORIGEM]]&amp;queryCARRADAS_20250905_83647[[#This Row],[DESTINO]]&amp;queryCARRADAS_20250905_83647[[#This Row],[MATERIAL]]</f>
        <v>GRANORTEOLINDA NOVA - MAPÓ DE BRITA</v>
      </c>
      <c r="O630" s="68" t="s">
        <v>191</v>
      </c>
    </row>
    <row r="631" spans="2:15" x14ac:dyDescent="0.25">
      <c r="B631" s="66">
        <v>45897</v>
      </c>
      <c r="C631" s="65">
        <v>1</v>
      </c>
      <c r="D631" s="63" t="s">
        <v>170</v>
      </c>
      <c r="E631" s="65" t="s">
        <v>171</v>
      </c>
      <c r="F631" s="65" t="s">
        <v>166</v>
      </c>
      <c r="G631" s="65" t="s">
        <v>164</v>
      </c>
      <c r="H631" s="63">
        <v>58</v>
      </c>
      <c r="I631" s="65" t="s">
        <v>172</v>
      </c>
      <c r="J631" s="63">
        <v>276</v>
      </c>
      <c r="K631" s="64">
        <v>592.29999999999995</v>
      </c>
      <c r="L631" s="63" t="s">
        <v>1194</v>
      </c>
      <c r="M631" t="s">
        <v>1117</v>
      </c>
      <c r="N631" s="65" t="str">
        <f>queryCARRADAS_20250905_83647[[#This Row],[ORIGEM]]&amp;queryCARRADAS_20250905_83647[[#This Row],[DESTINO]]&amp;queryCARRADAS_20250905_83647[[#This Row],[MATERIAL]]</f>
        <v>GRANORTEUA SAO LUISBICA CORRIDA</v>
      </c>
      <c r="O631" s="68" t="s">
        <v>11</v>
      </c>
    </row>
    <row r="632" spans="2:15" x14ac:dyDescent="0.25">
      <c r="B632" s="66">
        <v>45897</v>
      </c>
      <c r="C632" s="65">
        <v>1</v>
      </c>
      <c r="D632" s="63" t="s">
        <v>176</v>
      </c>
      <c r="E632" s="65" t="s">
        <v>177</v>
      </c>
      <c r="F632" s="65" t="s">
        <v>166</v>
      </c>
      <c r="G632" s="65" t="s">
        <v>164</v>
      </c>
      <c r="H632" s="63">
        <v>58</v>
      </c>
      <c r="I632" s="65" t="s">
        <v>165</v>
      </c>
      <c r="J632" s="63">
        <v>7342</v>
      </c>
      <c r="K632" s="64">
        <v>1575.59</v>
      </c>
      <c r="L632" s="63" t="s">
        <v>1195</v>
      </c>
      <c r="M632" t="s">
        <v>1117</v>
      </c>
      <c r="N632" s="65" t="str">
        <f>queryCARRADAS_20250905_83647[[#This Row],[ORIGEM]]&amp;queryCARRADAS_20250905_83647[[#This Row],[DESTINO]]&amp;queryCARRADAS_20250905_83647[[#This Row],[MATERIAL]]</f>
        <v>GRANORTEUA SAO LUISPÓ DE BRITA</v>
      </c>
      <c r="O632" s="68" t="s">
        <v>164</v>
      </c>
    </row>
    <row r="633" spans="2:15" x14ac:dyDescent="0.25">
      <c r="B633" s="66">
        <v>45897</v>
      </c>
      <c r="C633" s="65">
        <v>1</v>
      </c>
      <c r="D633" s="63" t="s">
        <v>167</v>
      </c>
      <c r="E633" s="65" t="s">
        <v>168</v>
      </c>
      <c r="F633" s="65" t="s">
        <v>166</v>
      </c>
      <c r="G633" s="65" t="s">
        <v>364</v>
      </c>
      <c r="H633" s="63">
        <v>80</v>
      </c>
      <c r="I633" s="65" t="s">
        <v>216</v>
      </c>
      <c r="J633" s="63">
        <v>2678</v>
      </c>
      <c r="K633" s="64">
        <v>792.69</v>
      </c>
      <c r="L633" s="63" t="s">
        <v>1196</v>
      </c>
      <c r="M633" t="s">
        <v>1117</v>
      </c>
      <c r="N633" s="65" t="str">
        <f>queryCARRADAS_20250905_83647[[#This Row],[ORIGEM]]&amp;queryCARRADAS_20250905_83647[[#This Row],[DESTINO]]&amp;queryCARRADAS_20250905_83647[[#This Row],[MATERIAL]]</f>
        <v>GRANORTEARACAGY - SAO LUISBRITA 3</v>
      </c>
      <c r="O633" s="68" t="s">
        <v>164</v>
      </c>
    </row>
    <row r="634" spans="2:15" x14ac:dyDescent="0.25">
      <c r="B634" s="66">
        <v>45897</v>
      </c>
      <c r="C634" s="65">
        <v>1</v>
      </c>
      <c r="D634" s="63" t="s">
        <v>1127</v>
      </c>
      <c r="E634" s="65" t="s">
        <v>178</v>
      </c>
      <c r="F634" s="65" t="s">
        <v>166</v>
      </c>
      <c r="G634" s="65" t="s">
        <v>364</v>
      </c>
      <c r="H634" s="63">
        <v>80</v>
      </c>
      <c r="I634" s="65" t="s">
        <v>216</v>
      </c>
      <c r="J634" s="63">
        <v>3194</v>
      </c>
      <c r="K634" s="64">
        <v>945.42</v>
      </c>
      <c r="L634" s="63" t="s">
        <v>1197</v>
      </c>
      <c r="M634" t="s">
        <v>1117</v>
      </c>
      <c r="N634" s="65" t="str">
        <f>queryCARRADAS_20250905_83647[[#This Row],[ORIGEM]]&amp;queryCARRADAS_20250905_83647[[#This Row],[DESTINO]]&amp;queryCARRADAS_20250905_83647[[#This Row],[MATERIAL]]</f>
        <v>GRANORTEARACAGY - SAO LUISBRITA 3</v>
      </c>
      <c r="O634" s="68" t="s">
        <v>164</v>
      </c>
    </row>
    <row r="635" spans="2:15" x14ac:dyDescent="0.25">
      <c r="B635" s="66">
        <v>45897</v>
      </c>
      <c r="C635" s="65">
        <v>1</v>
      </c>
      <c r="D635" s="63" t="s">
        <v>162</v>
      </c>
      <c r="E635" s="65" t="s">
        <v>1134</v>
      </c>
      <c r="F635" s="65" t="s">
        <v>166</v>
      </c>
      <c r="G635" s="65" t="s">
        <v>458</v>
      </c>
      <c r="H635" s="63">
        <v>50</v>
      </c>
      <c r="I635" s="65" t="s">
        <v>185</v>
      </c>
      <c r="J635" s="63">
        <v>2608</v>
      </c>
      <c r="K635" s="64">
        <v>482.48</v>
      </c>
      <c r="L635" s="63" t="s">
        <v>1198</v>
      </c>
      <c r="M635" t="s">
        <v>1117</v>
      </c>
      <c r="N635" s="65" t="str">
        <f>queryCARRADAS_20250905_83647[[#This Row],[ORIGEM]]&amp;queryCARRADAS_20250905_83647[[#This Row],[DESTINO]]&amp;queryCARRADAS_20250905_83647[[#This Row],[MATERIAL]]</f>
        <v>GRANORTEDEPOSITO DISTRITORACHÃOZINHO</v>
      </c>
      <c r="O635" s="68" t="s">
        <v>164</v>
      </c>
    </row>
    <row r="636" spans="2:15" x14ac:dyDescent="0.25">
      <c r="B636" s="66">
        <v>45897</v>
      </c>
      <c r="C636" s="65">
        <v>1</v>
      </c>
      <c r="D636" s="63" t="s">
        <v>181</v>
      </c>
      <c r="E636" s="65" t="s">
        <v>182</v>
      </c>
      <c r="F636" s="65" t="s">
        <v>166</v>
      </c>
      <c r="G636" s="65" t="s">
        <v>218</v>
      </c>
      <c r="H636" s="63">
        <v>71</v>
      </c>
      <c r="I636" s="65" t="s">
        <v>172</v>
      </c>
      <c r="J636" s="63">
        <v>255</v>
      </c>
      <c r="K636" s="64">
        <v>669.89</v>
      </c>
      <c r="L636" s="63" t="s">
        <v>1199</v>
      </c>
      <c r="M636" t="s">
        <v>1117</v>
      </c>
      <c r="N636" s="65" t="str">
        <f>queryCARRADAS_20250905_83647[[#This Row],[ORIGEM]]&amp;queryCARRADAS_20250905_83647[[#This Row],[DESTINO]]&amp;queryCARRADAS_20250905_83647[[#This Row],[MATERIAL]]</f>
        <v>GRANORTEEXPOEMABICA CORRIDA</v>
      </c>
      <c r="O636" s="68" t="s">
        <v>164</v>
      </c>
    </row>
    <row r="637" spans="2:15" x14ac:dyDescent="0.25">
      <c r="B637" s="66">
        <v>45897</v>
      </c>
      <c r="C637" s="65">
        <v>1</v>
      </c>
      <c r="D637" s="63" t="s">
        <v>173</v>
      </c>
      <c r="E637" s="65" t="s">
        <v>174</v>
      </c>
      <c r="F637" s="65" t="s">
        <v>166</v>
      </c>
      <c r="G637" s="65" t="s">
        <v>218</v>
      </c>
      <c r="H637" s="63">
        <v>71</v>
      </c>
      <c r="I637" s="65" t="s">
        <v>172</v>
      </c>
      <c r="J637" s="63">
        <v>2534</v>
      </c>
      <c r="K637" s="64">
        <v>665.68</v>
      </c>
      <c r="L637" s="63" t="s">
        <v>1200</v>
      </c>
      <c r="M637" t="s">
        <v>1117</v>
      </c>
      <c r="N637" s="65" t="str">
        <f>queryCARRADAS_20250905_83647[[#This Row],[ORIGEM]]&amp;queryCARRADAS_20250905_83647[[#This Row],[DESTINO]]&amp;queryCARRADAS_20250905_83647[[#This Row],[MATERIAL]]</f>
        <v>GRANORTEEXPOEMABICA CORRIDA</v>
      </c>
      <c r="O637" s="68" t="s">
        <v>164</v>
      </c>
    </row>
    <row r="638" spans="2:15" x14ac:dyDescent="0.25">
      <c r="B638" s="66">
        <v>45897</v>
      </c>
      <c r="C638" s="65">
        <v>1</v>
      </c>
      <c r="D638" s="63" t="s">
        <v>210</v>
      </c>
      <c r="E638" s="65" t="s">
        <v>211</v>
      </c>
      <c r="F638" s="65" t="s">
        <v>163</v>
      </c>
      <c r="G638" s="65" t="s">
        <v>164</v>
      </c>
      <c r="H638" s="63">
        <v>52</v>
      </c>
      <c r="I638" s="65" t="s">
        <v>175</v>
      </c>
      <c r="J638" s="63">
        <v>5938</v>
      </c>
      <c r="K638" s="64">
        <v>1142.47</v>
      </c>
      <c r="L638" s="63" t="s">
        <v>1201</v>
      </c>
      <c r="M638" t="s">
        <v>1117</v>
      </c>
      <c r="N638" s="65" t="str">
        <f>queryCARRADAS_20250905_83647[[#This Row],[ORIGEM]]&amp;queryCARRADAS_20250905_83647[[#This Row],[DESTINO]]&amp;queryCARRADAS_20250905_83647[[#This Row],[MATERIAL]]</f>
        <v>BRASIL MINERACAOUA SAO LUISBRITA 0</v>
      </c>
      <c r="O638" s="68" t="s">
        <v>164</v>
      </c>
    </row>
    <row r="639" spans="2:15" x14ac:dyDescent="0.25">
      <c r="B639" s="66">
        <v>45897</v>
      </c>
      <c r="C639" s="65">
        <v>1</v>
      </c>
      <c r="D639" s="63" t="s">
        <v>170</v>
      </c>
      <c r="E639" s="65" t="s">
        <v>171</v>
      </c>
      <c r="F639" s="65" t="s">
        <v>166</v>
      </c>
      <c r="G639" s="65" t="s">
        <v>164</v>
      </c>
      <c r="H639" s="63">
        <v>58</v>
      </c>
      <c r="I639" s="65" t="s">
        <v>169</v>
      </c>
      <c r="J639" s="63">
        <v>2618</v>
      </c>
      <c r="K639" s="64">
        <v>561.82000000000005</v>
      </c>
      <c r="L639" s="63" t="s">
        <v>1202</v>
      </c>
      <c r="M639" t="s">
        <v>1117</v>
      </c>
      <c r="N639" s="65" t="str">
        <f>queryCARRADAS_20250905_83647[[#This Row],[ORIGEM]]&amp;queryCARRADAS_20250905_83647[[#This Row],[DESTINO]]&amp;queryCARRADAS_20250905_83647[[#This Row],[MATERIAL]]</f>
        <v>GRANORTEUA SAO LUISPULMÃOZINHO</v>
      </c>
      <c r="O639" s="68" t="s">
        <v>164</v>
      </c>
    </row>
    <row r="640" spans="2:15" x14ac:dyDescent="0.25">
      <c r="B640" s="66">
        <v>45897</v>
      </c>
      <c r="C640" s="65">
        <v>1</v>
      </c>
      <c r="D640" s="63" t="s">
        <v>167</v>
      </c>
      <c r="E640" s="65" t="s">
        <v>168</v>
      </c>
      <c r="F640" s="65" t="s">
        <v>166</v>
      </c>
      <c r="G640" s="65" t="s">
        <v>364</v>
      </c>
      <c r="H640" s="63">
        <v>80</v>
      </c>
      <c r="I640" s="65" t="s">
        <v>216</v>
      </c>
      <c r="J640" s="63">
        <v>2556</v>
      </c>
      <c r="K640" s="64">
        <v>756.58</v>
      </c>
      <c r="L640" s="63" t="s">
        <v>1203</v>
      </c>
      <c r="M640" t="s">
        <v>1117</v>
      </c>
      <c r="N640" s="65" t="str">
        <f>queryCARRADAS_20250905_83647[[#This Row],[ORIGEM]]&amp;queryCARRADAS_20250905_83647[[#This Row],[DESTINO]]&amp;queryCARRADAS_20250905_83647[[#This Row],[MATERIAL]]</f>
        <v>GRANORTEARACAGY - SAO LUISBRITA 3</v>
      </c>
      <c r="O640" s="68" t="s">
        <v>164</v>
      </c>
    </row>
    <row r="641" spans="2:15" x14ac:dyDescent="0.25">
      <c r="B641" s="66">
        <v>45897</v>
      </c>
      <c r="C641" s="65">
        <v>1</v>
      </c>
      <c r="D641" s="63" t="s">
        <v>181</v>
      </c>
      <c r="E641" s="65" t="s">
        <v>182</v>
      </c>
      <c r="F641" s="65" t="s">
        <v>166</v>
      </c>
      <c r="G641" s="65" t="s">
        <v>218</v>
      </c>
      <c r="H641" s="63">
        <v>71</v>
      </c>
      <c r="I641" s="65" t="s">
        <v>172</v>
      </c>
      <c r="J641" s="63">
        <v>267</v>
      </c>
      <c r="K641" s="64">
        <v>701.41</v>
      </c>
      <c r="L641" s="63" t="s">
        <v>1204</v>
      </c>
      <c r="M641" t="s">
        <v>1117</v>
      </c>
      <c r="N641" s="65" t="str">
        <f>queryCARRADAS_20250905_83647[[#This Row],[ORIGEM]]&amp;queryCARRADAS_20250905_83647[[#This Row],[DESTINO]]&amp;queryCARRADAS_20250905_83647[[#This Row],[MATERIAL]]</f>
        <v>GRANORTEEXPOEMABICA CORRIDA</v>
      </c>
      <c r="O641" s="68" t="s">
        <v>164</v>
      </c>
    </row>
    <row r="642" spans="2:15" x14ac:dyDescent="0.25">
      <c r="B642" s="66">
        <v>45897</v>
      </c>
      <c r="C642" s="65">
        <v>1</v>
      </c>
      <c r="D642" s="63" t="s">
        <v>1127</v>
      </c>
      <c r="E642" s="65" t="s">
        <v>178</v>
      </c>
      <c r="F642" s="65" t="s">
        <v>166</v>
      </c>
      <c r="G642" s="65" t="s">
        <v>364</v>
      </c>
      <c r="H642" s="63">
        <v>80</v>
      </c>
      <c r="I642" s="65" t="s">
        <v>216</v>
      </c>
      <c r="J642" s="63">
        <v>2714</v>
      </c>
      <c r="K642" s="64">
        <v>803.34</v>
      </c>
      <c r="L642" s="63" t="s">
        <v>1205</v>
      </c>
      <c r="M642" t="s">
        <v>1117</v>
      </c>
      <c r="N642" s="65" t="str">
        <f>queryCARRADAS_20250905_83647[[#This Row],[ORIGEM]]&amp;queryCARRADAS_20250905_83647[[#This Row],[DESTINO]]&amp;queryCARRADAS_20250905_83647[[#This Row],[MATERIAL]]</f>
        <v>GRANORTEARACAGY - SAO LUISBRITA 3</v>
      </c>
      <c r="O642" s="68" t="s">
        <v>164</v>
      </c>
    </row>
    <row r="643" spans="2:15" x14ac:dyDescent="0.25">
      <c r="B643" s="66">
        <v>45897</v>
      </c>
      <c r="C643" s="65">
        <v>1</v>
      </c>
      <c r="D643" s="63" t="s">
        <v>200</v>
      </c>
      <c r="E643" s="65" t="s">
        <v>201</v>
      </c>
      <c r="F643" s="65" t="s">
        <v>190</v>
      </c>
      <c r="G643" s="65" t="s">
        <v>212</v>
      </c>
      <c r="H643" s="63">
        <v>376</v>
      </c>
      <c r="I643" s="65" t="s">
        <v>165</v>
      </c>
      <c r="J643" s="63">
        <v>4952</v>
      </c>
      <c r="K643" s="64">
        <v>5958.25</v>
      </c>
      <c r="L643" s="63" t="s">
        <v>1206</v>
      </c>
      <c r="M643" t="s">
        <v>1117</v>
      </c>
      <c r="N643" s="65" t="str">
        <f>queryCARRADAS_20250905_83647[[#This Row],[ORIGEM]]&amp;queryCARRADAS_20250905_83647[[#This Row],[DESTINO]]&amp;queryCARRADAS_20250905_83647[[#This Row],[MATERIAL]]</f>
        <v>SERVENGUSINA PINHEIROPÓ DE BRITA</v>
      </c>
      <c r="O643" s="68" t="s">
        <v>164</v>
      </c>
    </row>
    <row r="644" spans="2:15" x14ac:dyDescent="0.25">
      <c r="B644" s="66">
        <v>45897</v>
      </c>
      <c r="C644" s="65">
        <v>1</v>
      </c>
      <c r="D644" s="63" t="s">
        <v>1129</v>
      </c>
      <c r="E644" s="65" t="s">
        <v>1130</v>
      </c>
      <c r="F644" s="65" t="s">
        <v>1207</v>
      </c>
      <c r="G644" s="65" t="s">
        <v>1208</v>
      </c>
      <c r="H644" s="63">
        <v>78</v>
      </c>
      <c r="I644" s="65" t="s">
        <v>195</v>
      </c>
      <c r="J644" s="63">
        <v>3406</v>
      </c>
      <c r="K644" s="64">
        <v>982.97</v>
      </c>
      <c r="L644" s="63" t="s">
        <v>1209</v>
      </c>
      <c r="M644" t="s">
        <v>1117</v>
      </c>
      <c r="N644" s="65" t="str">
        <f>queryCARRADAS_20250905_83647[[#This Row],[ORIGEM]]&amp;queryCARRADAS_20250905_83647[[#This Row],[DESTINO]]&amp;queryCARRADAS_20250905_83647[[#This Row],[MATERIAL]]</f>
        <v>JGA MINERADORA - PASTOS BONS/MAMIRADORBRITA 1</v>
      </c>
      <c r="O644" s="68" t="s">
        <v>164</v>
      </c>
    </row>
    <row r="645" spans="2:15" x14ac:dyDescent="0.25">
      <c r="B645" s="66">
        <v>45897</v>
      </c>
      <c r="C645" s="65">
        <v>1</v>
      </c>
      <c r="D645" s="63" t="s">
        <v>162</v>
      </c>
      <c r="E645" s="65" t="s">
        <v>1134</v>
      </c>
      <c r="F645" s="65" t="s">
        <v>166</v>
      </c>
      <c r="G645" s="65" t="s">
        <v>458</v>
      </c>
      <c r="H645" s="63">
        <v>50</v>
      </c>
      <c r="I645" s="65" t="s">
        <v>169</v>
      </c>
      <c r="J645" s="63">
        <v>2604</v>
      </c>
      <c r="K645" s="64">
        <v>481.74</v>
      </c>
      <c r="L645" s="63" t="s">
        <v>1210</v>
      </c>
      <c r="M645" t="s">
        <v>1117</v>
      </c>
      <c r="N645" s="65" t="str">
        <f>queryCARRADAS_20250905_83647[[#This Row],[ORIGEM]]&amp;queryCARRADAS_20250905_83647[[#This Row],[DESTINO]]&amp;queryCARRADAS_20250905_83647[[#This Row],[MATERIAL]]</f>
        <v>GRANORTEDEPOSITO DISTRITOPULMÃOZINHO</v>
      </c>
      <c r="O645" s="68" t="s">
        <v>161</v>
      </c>
    </row>
    <row r="646" spans="2:15" x14ac:dyDescent="0.25">
      <c r="B646" s="66">
        <v>45897</v>
      </c>
      <c r="C646" s="65">
        <v>1</v>
      </c>
      <c r="D646" s="63" t="s">
        <v>183</v>
      </c>
      <c r="E646" s="65" t="s">
        <v>184</v>
      </c>
      <c r="F646" s="65" t="s">
        <v>166</v>
      </c>
      <c r="G646" s="65" t="s">
        <v>364</v>
      </c>
      <c r="H646" s="63">
        <v>80</v>
      </c>
      <c r="I646" s="65" t="s">
        <v>172</v>
      </c>
      <c r="J646" s="63">
        <v>308</v>
      </c>
      <c r="K646" s="64">
        <v>911.68</v>
      </c>
      <c r="L646" s="63" t="s">
        <v>1211</v>
      </c>
      <c r="M646" t="s">
        <v>1117</v>
      </c>
      <c r="N646" s="65" t="str">
        <f>queryCARRADAS_20250905_83647[[#This Row],[ORIGEM]]&amp;queryCARRADAS_20250905_83647[[#This Row],[DESTINO]]&amp;queryCARRADAS_20250905_83647[[#This Row],[MATERIAL]]</f>
        <v>GRANORTEARACAGY - SAO LUISBICA CORRIDA</v>
      </c>
      <c r="O646" s="68" t="s">
        <v>164</v>
      </c>
    </row>
    <row r="647" spans="2:15" x14ac:dyDescent="0.25">
      <c r="B647" s="66">
        <v>45897</v>
      </c>
      <c r="C647" s="65">
        <v>1</v>
      </c>
      <c r="D647" s="63" t="s">
        <v>183</v>
      </c>
      <c r="E647" s="65" t="s">
        <v>184</v>
      </c>
      <c r="F647" s="65" t="s">
        <v>166</v>
      </c>
      <c r="G647" s="65" t="s">
        <v>364</v>
      </c>
      <c r="H647" s="63">
        <v>80</v>
      </c>
      <c r="I647" s="65" t="s">
        <v>216</v>
      </c>
      <c r="J647" s="63">
        <v>2816</v>
      </c>
      <c r="K647" s="64">
        <v>833.54</v>
      </c>
      <c r="L647" s="63" t="s">
        <v>1212</v>
      </c>
      <c r="M647" t="s">
        <v>1117</v>
      </c>
      <c r="N647" s="65" t="str">
        <f>queryCARRADAS_20250905_83647[[#This Row],[ORIGEM]]&amp;queryCARRADAS_20250905_83647[[#This Row],[DESTINO]]&amp;queryCARRADAS_20250905_83647[[#This Row],[MATERIAL]]</f>
        <v>GRANORTEARACAGY - SAO LUISBRITA 3</v>
      </c>
      <c r="O647" s="68" t="s">
        <v>164</v>
      </c>
    </row>
    <row r="648" spans="2:15" x14ac:dyDescent="0.25">
      <c r="B648" s="66">
        <v>45897</v>
      </c>
      <c r="C648" s="65">
        <v>1</v>
      </c>
      <c r="D648" s="63" t="s">
        <v>210</v>
      </c>
      <c r="E648" s="65" t="s">
        <v>211</v>
      </c>
      <c r="F648" s="65" t="s">
        <v>1213</v>
      </c>
      <c r="G648" s="65" t="s">
        <v>164</v>
      </c>
      <c r="H648" s="63">
        <v>56</v>
      </c>
      <c r="I648" s="65" t="s">
        <v>165</v>
      </c>
      <c r="J648" s="63">
        <v>5724</v>
      </c>
      <c r="K648" s="64">
        <v>1186.01</v>
      </c>
      <c r="L648" s="63" t="s">
        <v>1214</v>
      </c>
      <c r="M648" t="s">
        <v>1117</v>
      </c>
      <c r="N648" s="65" t="str">
        <f>queryCARRADAS_20250905_83647[[#This Row],[ORIGEM]]&amp;queryCARRADAS_20250905_83647[[#This Row],[DESTINO]]&amp;queryCARRADAS_20250905_83647[[#This Row],[MATERIAL]]</f>
        <v>POLIMIX -BACABEIRAUA SAO LUISPÓ DE BRITA</v>
      </c>
      <c r="O648" s="68" t="s">
        <v>164</v>
      </c>
    </row>
    <row r="649" spans="2:15" x14ac:dyDescent="0.25">
      <c r="B649" s="66">
        <v>45897</v>
      </c>
      <c r="C649" s="65">
        <v>1</v>
      </c>
      <c r="D649" s="63" t="s">
        <v>270</v>
      </c>
      <c r="E649" s="65" t="s">
        <v>1146</v>
      </c>
      <c r="F649" s="65" t="s">
        <v>166</v>
      </c>
      <c r="G649" s="65" t="s">
        <v>164</v>
      </c>
      <c r="H649" s="63">
        <v>58</v>
      </c>
      <c r="I649" s="65" t="s">
        <v>165</v>
      </c>
      <c r="J649" s="63">
        <v>454</v>
      </c>
      <c r="K649" s="64">
        <v>974.28</v>
      </c>
      <c r="L649" s="63" t="s">
        <v>1215</v>
      </c>
      <c r="M649" t="s">
        <v>1216</v>
      </c>
      <c r="N649" s="65" t="str">
        <f>queryCARRADAS_20250905_83647[[#This Row],[ORIGEM]]&amp;queryCARRADAS_20250905_83647[[#This Row],[DESTINO]]&amp;queryCARRADAS_20250905_83647[[#This Row],[MATERIAL]]</f>
        <v>GRANORTEUA SAO LUISPÓ DE BRITA</v>
      </c>
      <c r="O649" s="68" t="s">
        <v>164</v>
      </c>
    </row>
    <row r="650" spans="2:15" x14ac:dyDescent="0.25">
      <c r="B650" s="66">
        <v>45897</v>
      </c>
      <c r="C650" s="65">
        <v>1</v>
      </c>
      <c r="D650" s="63" t="s">
        <v>193</v>
      </c>
      <c r="E650" s="65" t="s">
        <v>194</v>
      </c>
      <c r="F650" s="65" t="s">
        <v>166</v>
      </c>
      <c r="G650" s="65" t="s">
        <v>164</v>
      </c>
      <c r="H650" s="63">
        <v>58</v>
      </c>
      <c r="I650" s="65" t="s">
        <v>172</v>
      </c>
      <c r="J650" s="63">
        <v>284</v>
      </c>
      <c r="K650" s="64">
        <v>609.46</v>
      </c>
      <c r="L650" s="63" t="s">
        <v>1217</v>
      </c>
      <c r="M650" t="s">
        <v>1117</v>
      </c>
      <c r="N650" s="65" t="str">
        <f>queryCARRADAS_20250905_83647[[#This Row],[ORIGEM]]&amp;queryCARRADAS_20250905_83647[[#This Row],[DESTINO]]&amp;queryCARRADAS_20250905_83647[[#This Row],[MATERIAL]]</f>
        <v>GRANORTEUA SAO LUISBICA CORRIDA</v>
      </c>
      <c r="O650" s="68" t="s">
        <v>164</v>
      </c>
    </row>
    <row r="651" spans="2:15" x14ac:dyDescent="0.25">
      <c r="B651" s="66">
        <v>45897</v>
      </c>
      <c r="C651" s="65">
        <v>1</v>
      </c>
      <c r="D651" s="63" t="s">
        <v>193</v>
      </c>
      <c r="E651" s="65" t="s">
        <v>194</v>
      </c>
      <c r="F651" s="65" t="s">
        <v>166</v>
      </c>
      <c r="G651" s="65" t="s">
        <v>364</v>
      </c>
      <c r="H651" s="63">
        <v>80</v>
      </c>
      <c r="I651" s="65" t="s">
        <v>216</v>
      </c>
      <c r="J651" s="63">
        <v>2938</v>
      </c>
      <c r="K651" s="64">
        <v>869.65</v>
      </c>
      <c r="L651" s="63" t="s">
        <v>1218</v>
      </c>
      <c r="M651" t="s">
        <v>1117</v>
      </c>
      <c r="N651" s="65" t="str">
        <f>queryCARRADAS_20250905_83647[[#This Row],[ORIGEM]]&amp;queryCARRADAS_20250905_83647[[#This Row],[DESTINO]]&amp;queryCARRADAS_20250905_83647[[#This Row],[MATERIAL]]</f>
        <v>GRANORTEARACAGY - SAO LUISBRITA 3</v>
      </c>
      <c r="O651" s="68" t="s">
        <v>154</v>
      </c>
    </row>
    <row r="652" spans="2:15" x14ac:dyDescent="0.25">
      <c r="B652" s="66">
        <v>45897</v>
      </c>
      <c r="C652" s="65">
        <v>1</v>
      </c>
      <c r="D652" s="63" t="s">
        <v>208</v>
      </c>
      <c r="E652" s="65" t="s">
        <v>209</v>
      </c>
      <c r="F652" s="65" t="s">
        <v>190</v>
      </c>
      <c r="G652" s="65" t="s">
        <v>212</v>
      </c>
      <c r="H652" s="63">
        <v>376</v>
      </c>
      <c r="I652" s="65" t="s">
        <v>165</v>
      </c>
      <c r="J652" s="63">
        <v>800</v>
      </c>
      <c r="K652" s="64">
        <v>9625.6</v>
      </c>
      <c r="L652" s="63" t="s">
        <v>1219</v>
      </c>
      <c r="M652" t="s">
        <v>1117</v>
      </c>
      <c r="N652" s="65" t="str">
        <f>queryCARRADAS_20250905_83647[[#This Row],[ORIGEM]]&amp;queryCARRADAS_20250905_83647[[#This Row],[DESTINO]]&amp;queryCARRADAS_20250905_83647[[#This Row],[MATERIAL]]</f>
        <v>SERVENGUSINA PINHEIROPÓ DE BRITA</v>
      </c>
      <c r="O652" s="68" t="s">
        <v>164</v>
      </c>
    </row>
    <row r="653" spans="2:15" x14ac:dyDescent="0.25">
      <c r="B653" s="66">
        <v>45897</v>
      </c>
      <c r="C653" s="65">
        <v>1</v>
      </c>
      <c r="D653" s="63" t="s">
        <v>192</v>
      </c>
      <c r="E653" s="65" t="s">
        <v>1144</v>
      </c>
      <c r="F653" s="65" t="s">
        <v>163</v>
      </c>
      <c r="G653" s="65" t="s">
        <v>164</v>
      </c>
      <c r="H653" s="63">
        <v>52</v>
      </c>
      <c r="I653" s="65" t="s">
        <v>175</v>
      </c>
      <c r="J653" s="63">
        <v>5102</v>
      </c>
      <c r="K653" s="64">
        <v>981.62</v>
      </c>
      <c r="L653" s="63" t="s">
        <v>1220</v>
      </c>
      <c r="M653" t="s">
        <v>1117</v>
      </c>
      <c r="N653" s="65" t="str">
        <f>queryCARRADAS_20250905_83647[[#This Row],[ORIGEM]]&amp;queryCARRADAS_20250905_83647[[#This Row],[DESTINO]]&amp;queryCARRADAS_20250905_83647[[#This Row],[MATERIAL]]</f>
        <v>BRASIL MINERACAOUA SAO LUISBRITA 0</v>
      </c>
      <c r="O653" s="68" t="s">
        <v>164</v>
      </c>
    </row>
    <row r="654" spans="2:15" x14ac:dyDescent="0.25">
      <c r="B654" s="66">
        <v>45897</v>
      </c>
      <c r="C654" s="65">
        <v>1</v>
      </c>
      <c r="D654" s="63" t="s">
        <v>192</v>
      </c>
      <c r="E654" s="65" t="s">
        <v>1144</v>
      </c>
      <c r="F654" s="65" t="s">
        <v>1213</v>
      </c>
      <c r="G654" s="65" t="s">
        <v>164</v>
      </c>
      <c r="H654" s="63">
        <v>56</v>
      </c>
      <c r="I654" s="65" t="s">
        <v>165</v>
      </c>
      <c r="J654" s="63">
        <v>5838</v>
      </c>
      <c r="K654" s="64">
        <v>1209.6300000000001</v>
      </c>
      <c r="L654" s="63" t="s">
        <v>1221</v>
      </c>
      <c r="M654" t="s">
        <v>1117</v>
      </c>
      <c r="N654" s="65" t="str">
        <f>queryCARRADAS_20250905_83647[[#This Row],[ORIGEM]]&amp;queryCARRADAS_20250905_83647[[#This Row],[DESTINO]]&amp;queryCARRADAS_20250905_83647[[#This Row],[MATERIAL]]</f>
        <v>POLIMIX -BACABEIRAUA SAO LUISPÓ DE BRITA</v>
      </c>
      <c r="O654" s="68" t="s">
        <v>164</v>
      </c>
    </row>
    <row r="655" spans="2:15" x14ac:dyDescent="0.25">
      <c r="B655" s="66">
        <v>45897</v>
      </c>
      <c r="C655" s="65">
        <v>1</v>
      </c>
      <c r="D655" s="63" t="s">
        <v>179</v>
      </c>
      <c r="E655" s="65" t="s">
        <v>180</v>
      </c>
      <c r="F655" s="65" t="s">
        <v>163</v>
      </c>
      <c r="G655" s="65" t="s">
        <v>164</v>
      </c>
      <c r="H655" s="63">
        <v>52</v>
      </c>
      <c r="I655" s="65" t="s">
        <v>185</v>
      </c>
      <c r="J655" s="63">
        <v>259</v>
      </c>
      <c r="K655" s="64">
        <v>498.32</v>
      </c>
      <c r="L655" s="63" t="s">
        <v>1222</v>
      </c>
      <c r="M655" t="s">
        <v>1117</v>
      </c>
      <c r="N655" s="65" t="str">
        <f>queryCARRADAS_20250905_83647[[#This Row],[ORIGEM]]&amp;queryCARRADAS_20250905_83647[[#This Row],[DESTINO]]&amp;queryCARRADAS_20250905_83647[[#This Row],[MATERIAL]]</f>
        <v>BRASIL MINERACAOUA SAO LUISRACHÃOZINHO</v>
      </c>
      <c r="O655" s="68" t="s">
        <v>164</v>
      </c>
    </row>
    <row r="656" spans="2:15" x14ac:dyDescent="0.25">
      <c r="B656" s="66">
        <v>45897</v>
      </c>
      <c r="C656" s="65">
        <v>1</v>
      </c>
      <c r="D656" s="63" t="s">
        <v>179</v>
      </c>
      <c r="E656" s="65" t="s">
        <v>180</v>
      </c>
      <c r="F656" s="65" t="s">
        <v>163</v>
      </c>
      <c r="G656" s="65" t="s">
        <v>164</v>
      </c>
      <c r="H656" s="63">
        <v>52</v>
      </c>
      <c r="I656" s="65" t="s">
        <v>185</v>
      </c>
      <c r="J656" s="63">
        <v>260</v>
      </c>
      <c r="K656" s="64">
        <v>500.24</v>
      </c>
      <c r="L656" s="63" t="s">
        <v>1223</v>
      </c>
      <c r="M656" t="s">
        <v>1117</v>
      </c>
      <c r="N656" s="65" t="str">
        <f>queryCARRADAS_20250905_83647[[#This Row],[ORIGEM]]&amp;queryCARRADAS_20250905_83647[[#This Row],[DESTINO]]&amp;queryCARRADAS_20250905_83647[[#This Row],[MATERIAL]]</f>
        <v>BRASIL MINERACAOUA SAO LUISRACHÃOZINHO</v>
      </c>
      <c r="O656" s="68" t="s">
        <v>164</v>
      </c>
    </row>
    <row r="657" spans="2:15" x14ac:dyDescent="0.25">
      <c r="B657" s="66">
        <v>45897</v>
      </c>
      <c r="C657" s="65">
        <v>1</v>
      </c>
      <c r="D657" s="63" t="s">
        <v>179</v>
      </c>
      <c r="E657" s="65" t="s">
        <v>180</v>
      </c>
      <c r="F657" s="65" t="s">
        <v>1213</v>
      </c>
      <c r="G657" s="65" t="s">
        <v>164</v>
      </c>
      <c r="H657" s="63">
        <v>56</v>
      </c>
      <c r="I657" s="65" t="s">
        <v>1224</v>
      </c>
      <c r="J657" s="63">
        <v>6052</v>
      </c>
      <c r="K657" s="64">
        <v>1253.97</v>
      </c>
      <c r="L657" s="63" t="s">
        <v>1225</v>
      </c>
      <c r="M657" t="s">
        <v>1117</v>
      </c>
      <c r="N657" s="65" t="str">
        <f>queryCARRADAS_20250905_83647[[#This Row],[ORIGEM]]&amp;queryCARRADAS_20250905_83647[[#This Row],[DESTINO]]&amp;queryCARRADAS_20250905_83647[[#This Row],[MATERIAL]]</f>
        <v>POLIMIX -BACABEIRAUA SAO LUISAREIA</v>
      </c>
      <c r="O657" s="68" t="s">
        <v>164</v>
      </c>
    </row>
    <row r="658" spans="2:15" x14ac:dyDescent="0.25">
      <c r="B658" s="66">
        <v>45898</v>
      </c>
      <c r="C658" s="65">
        <v>1</v>
      </c>
      <c r="D658" s="63" t="s">
        <v>167</v>
      </c>
      <c r="E658" s="65" t="s">
        <v>168</v>
      </c>
      <c r="F658" s="65" t="s">
        <v>166</v>
      </c>
      <c r="G658" s="65" t="s">
        <v>364</v>
      </c>
      <c r="H658" s="63">
        <v>80</v>
      </c>
      <c r="I658" s="65" t="s">
        <v>216</v>
      </c>
      <c r="J658" s="63">
        <v>2694</v>
      </c>
      <c r="K658" s="64">
        <v>797.42</v>
      </c>
      <c r="L658" s="63" t="s">
        <v>1151</v>
      </c>
      <c r="M658" t="s">
        <v>1117</v>
      </c>
      <c r="N658" s="65" t="str">
        <f>queryCARRADAS_20250905_83647[[#This Row],[ORIGEM]]&amp;queryCARRADAS_20250905_83647[[#This Row],[DESTINO]]&amp;queryCARRADAS_20250905_83647[[#This Row],[MATERIAL]]</f>
        <v>GRANORTEARACAGY - SAO LUISBRITA 3</v>
      </c>
      <c r="O658" s="68" t="s">
        <v>164</v>
      </c>
    </row>
    <row r="659" spans="2:15" x14ac:dyDescent="0.25">
      <c r="B659" s="66">
        <v>45898</v>
      </c>
      <c r="C659" s="65">
        <v>1</v>
      </c>
      <c r="D659" s="63" t="s">
        <v>208</v>
      </c>
      <c r="E659" s="65" t="s">
        <v>209</v>
      </c>
      <c r="F659" s="65" t="s">
        <v>166</v>
      </c>
      <c r="G659" s="65" t="s">
        <v>164</v>
      </c>
      <c r="H659" s="63">
        <v>58</v>
      </c>
      <c r="I659" s="65" t="s">
        <v>165</v>
      </c>
      <c r="J659" s="63">
        <v>520</v>
      </c>
      <c r="K659" s="64">
        <v>1115.92</v>
      </c>
      <c r="L659" s="63" t="s">
        <v>1152</v>
      </c>
      <c r="M659" t="s">
        <v>1117</v>
      </c>
      <c r="N659" s="65" t="str">
        <f>queryCARRADAS_20250905_83647[[#This Row],[ORIGEM]]&amp;queryCARRADAS_20250905_83647[[#This Row],[DESTINO]]&amp;queryCARRADAS_20250905_83647[[#This Row],[MATERIAL]]</f>
        <v>GRANORTEUA SAO LUISPÓ DE BRITA</v>
      </c>
      <c r="O659" s="68" t="s">
        <v>164</v>
      </c>
    </row>
    <row r="660" spans="2:15" x14ac:dyDescent="0.25">
      <c r="B660" s="66">
        <v>45898</v>
      </c>
      <c r="C660" s="65">
        <v>1</v>
      </c>
      <c r="D660" s="63" t="s">
        <v>202</v>
      </c>
      <c r="E660" s="65" t="s">
        <v>1153</v>
      </c>
      <c r="F660" s="65" t="s">
        <v>166</v>
      </c>
      <c r="G660" s="65" t="s">
        <v>191</v>
      </c>
      <c r="H660" s="63">
        <v>243</v>
      </c>
      <c r="I660" s="65" t="s">
        <v>165</v>
      </c>
      <c r="J660" s="63">
        <v>539</v>
      </c>
      <c r="K660" s="64">
        <v>4846.1499999999996</v>
      </c>
      <c r="L660" s="63" t="s">
        <v>1154</v>
      </c>
      <c r="M660" t="s">
        <v>1117</v>
      </c>
      <c r="N660" s="65" t="str">
        <f>queryCARRADAS_20250905_83647[[#This Row],[ORIGEM]]&amp;queryCARRADAS_20250905_83647[[#This Row],[DESTINO]]&amp;queryCARRADAS_20250905_83647[[#This Row],[MATERIAL]]</f>
        <v>GRANORTEOLINDA NOVA - MAPÓ DE BRITA</v>
      </c>
      <c r="O660" s="68" t="s">
        <v>164</v>
      </c>
    </row>
    <row r="661" spans="2:15" x14ac:dyDescent="0.25">
      <c r="B661" s="66">
        <v>45898</v>
      </c>
      <c r="C661" s="65">
        <v>1</v>
      </c>
      <c r="D661" s="63" t="s">
        <v>213</v>
      </c>
      <c r="E661" s="65" t="s">
        <v>214</v>
      </c>
      <c r="F661" s="65" t="s">
        <v>166</v>
      </c>
      <c r="G661" s="65" t="s">
        <v>191</v>
      </c>
      <c r="H661" s="63">
        <v>243</v>
      </c>
      <c r="I661" s="65" t="s">
        <v>165</v>
      </c>
      <c r="J661" s="63">
        <v>4724</v>
      </c>
      <c r="K661" s="64">
        <v>4247.3500000000004</v>
      </c>
      <c r="L661" s="63" t="s">
        <v>1155</v>
      </c>
      <c r="M661" t="s">
        <v>1117</v>
      </c>
      <c r="N661" s="65" t="str">
        <f>queryCARRADAS_20250905_83647[[#This Row],[ORIGEM]]&amp;queryCARRADAS_20250905_83647[[#This Row],[DESTINO]]&amp;queryCARRADAS_20250905_83647[[#This Row],[MATERIAL]]</f>
        <v>GRANORTEOLINDA NOVA - MAPÓ DE BRITA</v>
      </c>
      <c r="O661" s="68" t="s">
        <v>164</v>
      </c>
    </row>
    <row r="662" spans="2:15" x14ac:dyDescent="0.25">
      <c r="B662" s="66">
        <v>45898</v>
      </c>
      <c r="C662" s="65">
        <v>1</v>
      </c>
      <c r="D662" s="63" t="s">
        <v>170</v>
      </c>
      <c r="E662" s="65" t="s">
        <v>171</v>
      </c>
      <c r="F662" s="65" t="s">
        <v>166</v>
      </c>
      <c r="G662" s="65" t="s">
        <v>164</v>
      </c>
      <c r="H662" s="63">
        <v>58</v>
      </c>
      <c r="I662" s="65" t="s">
        <v>169</v>
      </c>
      <c r="J662" s="63">
        <v>258</v>
      </c>
      <c r="K662" s="64">
        <v>553.66999999999996</v>
      </c>
      <c r="L662" s="63" t="s">
        <v>1156</v>
      </c>
      <c r="M662" t="s">
        <v>1117</v>
      </c>
      <c r="N662" s="65" t="str">
        <f>queryCARRADAS_20250905_83647[[#This Row],[ORIGEM]]&amp;queryCARRADAS_20250905_83647[[#This Row],[DESTINO]]&amp;queryCARRADAS_20250905_83647[[#This Row],[MATERIAL]]</f>
        <v>GRANORTEUA SAO LUISPULMÃOZINHO</v>
      </c>
      <c r="O662" s="68" t="s">
        <v>164</v>
      </c>
    </row>
    <row r="663" spans="2:15" x14ac:dyDescent="0.25">
      <c r="B663" s="66">
        <v>45898</v>
      </c>
      <c r="C663" s="65">
        <v>1</v>
      </c>
      <c r="D663" s="63" t="s">
        <v>188</v>
      </c>
      <c r="E663" s="65" t="s">
        <v>189</v>
      </c>
      <c r="F663" s="65" t="s">
        <v>166</v>
      </c>
      <c r="G663" s="65" t="s">
        <v>191</v>
      </c>
      <c r="H663" s="63">
        <v>243</v>
      </c>
      <c r="I663" s="65" t="s">
        <v>165</v>
      </c>
      <c r="J663" s="63">
        <v>4954</v>
      </c>
      <c r="K663" s="64">
        <v>4454.1400000000003</v>
      </c>
      <c r="L663" s="63" t="s">
        <v>1157</v>
      </c>
      <c r="M663" t="s">
        <v>1117</v>
      </c>
      <c r="N663" s="65" t="str">
        <f>queryCARRADAS_20250905_83647[[#This Row],[ORIGEM]]&amp;queryCARRADAS_20250905_83647[[#This Row],[DESTINO]]&amp;queryCARRADAS_20250905_83647[[#This Row],[MATERIAL]]</f>
        <v>GRANORTEOLINDA NOVA - MAPÓ DE BRITA</v>
      </c>
      <c r="O663" s="68" t="s">
        <v>164</v>
      </c>
    </row>
    <row r="664" spans="2:15" x14ac:dyDescent="0.25">
      <c r="B664" s="66">
        <v>45898</v>
      </c>
      <c r="C664" s="65">
        <v>1</v>
      </c>
      <c r="D664" s="63" t="s">
        <v>181</v>
      </c>
      <c r="E664" s="65" t="s">
        <v>182</v>
      </c>
      <c r="F664" s="65" t="s">
        <v>166</v>
      </c>
      <c r="G664" s="65" t="s">
        <v>218</v>
      </c>
      <c r="H664" s="63">
        <v>71</v>
      </c>
      <c r="I664" s="65" t="s">
        <v>172</v>
      </c>
      <c r="J664" s="63">
        <v>2494</v>
      </c>
      <c r="K664" s="64">
        <v>655.16999999999996</v>
      </c>
      <c r="L664" s="63" t="s">
        <v>1158</v>
      </c>
      <c r="M664" t="s">
        <v>1117</v>
      </c>
      <c r="N664" s="65" t="str">
        <f>queryCARRADAS_20250905_83647[[#This Row],[ORIGEM]]&amp;queryCARRADAS_20250905_83647[[#This Row],[DESTINO]]&amp;queryCARRADAS_20250905_83647[[#This Row],[MATERIAL]]</f>
        <v>GRANORTEEXPOEMABICA CORRIDA</v>
      </c>
      <c r="O664" s="68" t="s">
        <v>164</v>
      </c>
    </row>
    <row r="665" spans="2:15" x14ac:dyDescent="0.25">
      <c r="B665" s="66">
        <v>45898</v>
      </c>
      <c r="C665" s="65">
        <v>1</v>
      </c>
      <c r="D665" s="63" t="s">
        <v>173</v>
      </c>
      <c r="E665" s="65" t="s">
        <v>174</v>
      </c>
      <c r="F665" s="65" t="s">
        <v>166</v>
      </c>
      <c r="G665" s="65" t="s">
        <v>218</v>
      </c>
      <c r="H665" s="63">
        <v>71</v>
      </c>
      <c r="I665" s="65" t="s">
        <v>172</v>
      </c>
      <c r="J665" s="63">
        <v>2624</v>
      </c>
      <c r="K665" s="64">
        <v>689.32</v>
      </c>
      <c r="L665" s="63" t="s">
        <v>1159</v>
      </c>
      <c r="M665" t="s">
        <v>1117</v>
      </c>
      <c r="N665" s="65" t="str">
        <f>queryCARRADAS_20250905_83647[[#This Row],[ORIGEM]]&amp;queryCARRADAS_20250905_83647[[#This Row],[DESTINO]]&amp;queryCARRADAS_20250905_83647[[#This Row],[MATERIAL]]</f>
        <v>GRANORTEEXPOEMABICA CORRIDA</v>
      </c>
      <c r="O665" s="68" t="s">
        <v>164</v>
      </c>
    </row>
    <row r="666" spans="2:15" x14ac:dyDescent="0.25">
      <c r="B666" s="66">
        <v>45898</v>
      </c>
      <c r="C666" s="65">
        <v>1</v>
      </c>
      <c r="D666" s="63" t="s">
        <v>173</v>
      </c>
      <c r="E666" s="65" t="s">
        <v>174</v>
      </c>
      <c r="F666" s="65" t="s">
        <v>166</v>
      </c>
      <c r="G666" s="65" t="s">
        <v>218</v>
      </c>
      <c r="H666" s="63">
        <v>71</v>
      </c>
      <c r="I666" s="65" t="s">
        <v>172</v>
      </c>
      <c r="J666" s="63">
        <v>2392</v>
      </c>
      <c r="K666" s="64">
        <v>628.38</v>
      </c>
      <c r="L666" s="63" t="s">
        <v>1160</v>
      </c>
      <c r="M666" t="s">
        <v>1117</v>
      </c>
      <c r="N666" s="65" t="str">
        <f>queryCARRADAS_20250905_83647[[#This Row],[ORIGEM]]&amp;queryCARRADAS_20250905_83647[[#This Row],[DESTINO]]&amp;queryCARRADAS_20250905_83647[[#This Row],[MATERIAL]]</f>
        <v>GRANORTEEXPOEMABICA CORRIDA</v>
      </c>
      <c r="O666" s="68" t="s">
        <v>164</v>
      </c>
    </row>
    <row r="667" spans="2:15" x14ac:dyDescent="0.25">
      <c r="B667" s="66">
        <v>45898</v>
      </c>
      <c r="C667" s="65">
        <v>1</v>
      </c>
      <c r="D667" s="63" t="s">
        <v>1127</v>
      </c>
      <c r="E667" s="65" t="s">
        <v>178</v>
      </c>
      <c r="F667" s="65" t="s">
        <v>166</v>
      </c>
      <c r="G667" s="65" t="s">
        <v>364</v>
      </c>
      <c r="H667" s="63">
        <v>80</v>
      </c>
      <c r="I667" s="65" t="s">
        <v>216</v>
      </c>
      <c r="J667" s="63">
        <v>2984</v>
      </c>
      <c r="K667" s="64">
        <v>883.26</v>
      </c>
      <c r="L667" s="63" t="s">
        <v>1161</v>
      </c>
      <c r="M667" t="s">
        <v>1117</v>
      </c>
      <c r="N667" s="65" t="str">
        <f>queryCARRADAS_20250905_83647[[#This Row],[ORIGEM]]&amp;queryCARRADAS_20250905_83647[[#This Row],[DESTINO]]&amp;queryCARRADAS_20250905_83647[[#This Row],[MATERIAL]]</f>
        <v>GRANORTEARACAGY - SAO LUISBRITA 3</v>
      </c>
      <c r="O667" s="68" t="s">
        <v>11</v>
      </c>
    </row>
    <row r="668" spans="2:15" x14ac:dyDescent="0.25">
      <c r="B668" s="66">
        <v>45898</v>
      </c>
      <c r="C668" s="65">
        <v>1</v>
      </c>
      <c r="D668" s="63" t="s">
        <v>167</v>
      </c>
      <c r="E668" s="65" t="s">
        <v>168</v>
      </c>
      <c r="F668" s="65" t="s">
        <v>166</v>
      </c>
      <c r="G668" s="65" t="s">
        <v>364</v>
      </c>
      <c r="H668" s="63">
        <v>80</v>
      </c>
      <c r="I668" s="65" t="s">
        <v>216</v>
      </c>
      <c r="J668" s="63">
        <v>266</v>
      </c>
      <c r="K668" s="64">
        <v>787.36</v>
      </c>
      <c r="L668" s="63" t="s">
        <v>1162</v>
      </c>
      <c r="M668" t="s">
        <v>1117</v>
      </c>
      <c r="N668" s="65" t="str">
        <f>queryCARRADAS_20250905_83647[[#This Row],[ORIGEM]]&amp;queryCARRADAS_20250905_83647[[#This Row],[DESTINO]]&amp;queryCARRADAS_20250905_83647[[#This Row],[MATERIAL]]</f>
        <v>GRANORTEARACAGY - SAO LUISBRITA 3</v>
      </c>
      <c r="O668" s="68" t="s">
        <v>164</v>
      </c>
    </row>
    <row r="669" spans="2:15" x14ac:dyDescent="0.25">
      <c r="B669" s="66">
        <v>45898</v>
      </c>
      <c r="C669" s="65">
        <v>1</v>
      </c>
      <c r="D669" s="63" t="s">
        <v>162</v>
      </c>
      <c r="E669" s="65" t="s">
        <v>1134</v>
      </c>
      <c r="F669" s="65" t="s">
        <v>166</v>
      </c>
      <c r="G669" s="65" t="s">
        <v>458</v>
      </c>
      <c r="H669" s="63">
        <v>50</v>
      </c>
      <c r="I669" s="65" t="s">
        <v>169</v>
      </c>
      <c r="J669" s="63">
        <v>2594</v>
      </c>
      <c r="K669" s="64">
        <v>479.89</v>
      </c>
      <c r="L669" s="63" t="s">
        <v>1163</v>
      </c>
      <c r="M669" t="s">
        <v>1117</v>
      </c>
      <c r="N669" s="65" t="str">
        <f>queryCARRADAS_20250905_83647[[#This Row],[ORIGEM]]&amp;queryCARRADAS_20250905_83647[[#This Row],[DESTINO]]&amp;queryCARRADAS_20250905_83647[[#This Row],[MATERIAL]]</f>
        <v>GRANORTEDEPOSITO DISTRITOPULMÃOZINHO</v>
      </c>
      <c r="O669" s="68" t="s">
        <v>164</v>
      </c>
    </row>
    <row r="670" spans="2:15" x14ac:dyDescent="0.25">
      <c r="B670" s="66">
        <v>45898</v>
      </c>
      <c r="C670" s="65">
        <v>1</v>
      </c>
      <c r="D670" s="63" t="s">
        <v>170</v>
      </c>
      <c r="E670" s="65" t="s">
        <v>171</v>
      </c>
      <c r="F670" s="65" t="s">
        <v>166</v>
      </c>
      <c r="G670" s="65" t="s">
        <v>164</v>
      </c>
      <c r="H670" s="63">
        <v>58</v>
      </c>
      <c r="I670" s="65" t="s">
        <v>169</v>
      </c>
      <c r="J670" s="63">
        <v>2574</v>
      </c>
      <c r="K670" s="64">
        <v>552.38</v>
      </c>
      <c r="L670" s="63" t="s">
        <v>1164</v>
      </c>
      <c r="M670" t="s">
        <v>1117</v>
      </c>
      <c r="N670" s="65" t="str">
        <f>queryCARRADAS_20250905_83647[[#This Row],[ORIGEM]]&amp;queryCARRADAS_20250905_83647[[#This Row],[DESTINO]]&amp;queryCARRADAS_20250905_83647[[#This Row],[MATERIAL]]</f>
        <v>GRANORTEUA SAO LUISPULMÃOZINHO</v>
      </c>
      <c r="O670" s="68" t="s">
        <v>164</v>
      </c>
    </row>
    <row r="671" spans="2:15" x14ac:dyDescent="0.25">
      <c r="B671" s="66">
        <v>45898</v>
      </c>
      <c r="C671" s="65">
        <v>1</v>
      </c>
      <c r="D671" s="63" t="s">
        <v>181</v>
      </c>
      <c r="E671" s="65" t="s">
        <v>182</v>
      </c>
      <c r="F671" s="65" t="s">
        <v>166</v>
      </c>
      <c r="G671" s="65" t="s">
        <v>218</v>
      </c>
      <c r="H671" s="63">
        <v>71</v>
      </c>
      <c r="I671" s="65" t="s">
        <v>172</v>
      </c>
      <c r="J671" s="63">
        <v>2552</v>
      </c>
      <c r="K671" s="64">
        <v>670.41</v>
      </c>
      <c r="L671" s="63" t="s">
        <v>1165</v>
      </c>
      <c r="M671" t="s">
        <v>1117</v>
      </c>
      <c r="N671" s="65" t="str">
        <f>queryCARRADAS_20250905_83647[[#This Row],[ORIGEM]]&amp;queryCARRADAS_20250905_83647[[#This Row],[DESTINO]]&amp;queryCARRADAS_20250905_83647[[#This Row],[MATERIAL]]</f>
        <v>GRANORTEEXPOEMABICA CORRIDA</v>
      </c>
      <c r="O671" s="68" t="s">
        <v>164</v>
      </c>
    </row>
    <row r="672" spans="2:15" x14ac:dyDescent="0.25">
      <c r="B672" s="66">
        <v>45898</v>
      </c>
      <c r="C672" s="65">
        <v>1</v>
      </c>
      <c r="D672" s="63" t="s">
        <v>173</v>
      </c>
      <c r="E672" s="65" t="s">
        <v>174</v>
      </c>
      <c r="F672" s="65" t="s">
        <v>166</v>
      </c>
      <c r="G672" s="65" t="s">
        <v>218</v>
      </c>
      <c r="H672" s="63">
        <v>71</v>
      </c>
      <c r="I672" s="65" t="s">
        <v>172</v>
      </c>
      <c r="J672" s="63">
        <v>3016</v>
      </c>
      <c r="K672" s="64">
        <v>792.3</v>
      </c>
      <c r="L672" s="63" t="s">
        <v>1166</v>
      </c>
      <c r="M672" t="s">
        <v>1117</v>
      </c>
      <c r="N672" s="65" t="str">
        <f>queryCARRADAS_20250905_83647[[#This Row],[ORIGEM]]&amp;queryCARRADAS_20250905_83647[[#This Row],[DESTINO]]&amp;queryCARRADAS_20250905_83647[[#This Row],[MATERIAL]]</f>
        <v>GRANORTEEXPOEMABICA CORRIDA</v>
      </c>
      <c r="O672" s="68" t="s">
        <v>164</v>
      </c>
    </row>
    <row r="673" spans="2:15" x14ac:dyDescent="0.25">
      <c r="B673" s="66">
        <v>45898</v>
      </c>
      <c r="C673" s="65">
        <v>1</v>
      </c>
      <c r="D673" s="63" t="s">
        <v>170</v>
      </c>
      <c r="E673" s="65" t="s">
        <v>171</v>
      </c>
      <c r="F673" s="65" t="s">
        <v>166</v>
      </c>
      <c r="G673" s="65" t="s">
        <v>164</v>
      </c>
      <c r="H673" s="63">
        <v>58</v>
      </c>
      <c r="I673" s="65" t="s">
        <v>169</v>
      </c>
      <c r="J673" s="63">
        <v>2576</v>
      </c>
      <c r="K673" s="64">
        <v>552.80999999999995</v>
      </c>
      <c r="L673" s="63" t="s">
        <v>1167</v>
      </c>
      <c r="M673" t="s">
        <v>1117</v>
      </c>
      <c r="N673" s="65" t="str">
        <f>queryCARRADAS_20250905_83647[[#This Row],[ORIGEM]]&amp;queryCARRADAS_20250905_83647[[#This Row],[DESTINO]]&amp;queryCARRADAS_20250905_83647[[#This Row],[MATERIAL]]</f>
        <v>GRANORTEUA SAO LUISPULMÃOZINHO</v>
      </c>
      <c r="O673" s="68" t="s">
        <v>164</v>
      </c>
    </row>
    <row r="674" spans="2:15" x14ac:dyDescent="0.25">
      <c r="B674" s="66">
        <v>45898</v>
      </c>
      <c r="C674" s="65">
        <v>1</v>
      </c>
      <c r="D674" s="63" t="s">
        <v>1127</v>
      </c>
      <c r="E674" s="65" t="s">
        <v>178</v>
      </c>
      <c r="F674" s="65" t="s">
        <v>166</v>
      </c>
      <c r="G674" s="65" t="s">
        <v>364</v>
      </c>
      <c r="H674" s="63">
        <v>80</v>
      </c>
      <c r="I674" s="65" t="s">
        <v>216</v>
      </c>
      <c r="J674" s="63">
        <v>2888</v>
      </c>
      <c r="K674" s="64">
        <v>854.85</v>
      </c>
      <c r="L674" s="63" t="s">
        <v>1168</v>
      </c>
      <c r="M674" t="s">
        <v>1117</v>
      </c>
      <c r="N674" s="65" t="str">
        <f>queryCARRADAS_20250905_83647[[#This Row],[ORIGEM]]&amp;queryCARRADAS_20250905_83647[[#This Row],[DESTINO]]&amp;queryCARRADAS_20250905_83647[[#This Row],[MATERIAL]]</f>
        <v>GRANORTEARACAGY - SAO LUISBRITA 3</v>
      </c>
      <c r="O674" s="68" t="s">
        <v>164</v>
      </c>
    </row>
    <row r="675" spans="2:15" x14ac:dyDescent="0.25">
      <c r="B675" s="66">
        <v>45898</v>
      </c>
      <c r="C675" s="65">
        <v>1</v>
      </c>
      <c r="D675" s="63" t="s">
        <v>1129</v>
      </c>
      <c r="E675" s="65" t="s">
        <v>1130</v>
      </c>
      <c r="F675" s="65" t="s">
        <v>1131</v>
      </c>
      <c r="G675" s="65" t="s">
        <v>1132</v>
      </c>
      <c r="H675" s="63">
        <v>69</v>
      </c>
      <c r="I675" s="65" t="s">
        <v>175</v>
      </c>
      <c r="J675" s="63">
        <v>3238</v>
      </c>
      <c r="K675" s="64">
        <v>826.66</v>
      </c>
      <c r="L675" s="63" t="s">
        <v>1169</v>
      </c>
      <c r="M675" t="s">
        <v>1117</v>
      </c>
      <c r="N675" s="65" t="str">
        <f>queryCARRADAS_20250905_83647[[#This Row],[ORIGEM]]&amp;queryCARRADAS_20250905_83647[[#This Row],[DESTINO]]&amp;queryCARRADAS_20250905_83647[[#This Row],[MATERIAL]]</f>
        <v>MINERACAO OURO PRETO - COLINAS/MAMIRADOR- MABRITA 0</v>
      </c>
      <c r="O675" s="68" t="s">
        <v>164</v>
      </c>
    </row>
    <row r="676" spans="2:15" x14ac:dyDescent="0.25">
      <c r="B676" s="66">
        <v>45898</v>
      </c>
      <c r="C676" s="65">
        <v>1</v>
      </c>
      <c r="D676" s="63" t="s">
        <v>173</v>
      </c>
      <c r="E676" s="65" t="s">
        <v>174</v>
      </c>
      <c r="F676" s="65" t="s">
        <v>166</v>
      </c>
      <c r="G676" s="65" t="s">
        <v>218</v>
      </c>
      <c r="H676" s="63">
        <v>71</v>
      </c>
      <c r="I676" s="65" t="s">
        <v>172</v>
      </c>
      <c r="J676" s="63">
        <v>2522</v>
      </c>
      <c r="K676" s="64">
        <v>662.53</v>
      </c>
      <c r="L676" s="63" t="s">
        <v>1170</v>
      </c>
      <c r="M676" t="s">
        <v>1117</v>
      </c>
      <c r="N676" s="65" t="str">
        <f>queryCARRADAS_20250905_83647[[#This Row],[ORIGEM]]&amp;queryCARRADAS_20250905_83647[[#This Row],[DESTINO]]&amp;queryCARRADAS_20250905_83647[[#This Row],[MATERIAL]]</f>
        <v>GRANORTEEXPOEMABICA CORRIDA</v>
      </c>
      <c r="O676" s="68" t="s">
        <v>164</v>
      </c>
    </row>
    <row r="677" spans="2:15" x14ac:dyDescent="0.25">
      <c r="B677" s="66">
        <v>45898</v>
      </c>
      <c r="C677" s="65">
        <v>1</v>
      </c>
      <c r="D677" s="63" t="s">
        <v>193</v>
      </c>
      <c r="E677" s="65" t="s">
        <v>194</v>
      </c>
      <c r="F677" s="65" t="s">
        <v>166</v>
      </c>
      <c r="G677" s="65" t="s">
        <v>364</v>
      </c>
      <c r="H677" s="63">
        <v>80</v>
      </c>
      <c r="I677" s="65" t="s">
        <v>216</v>
      </c>
      <c r="J677" s="63">
        <v>2864</v>
      </c>
      <c r="K677" s="64">
        <v>847.74</v>
      </c>
      <c r="L677" s="63" t="s">
        <v>1171</v>
      </c>
      <c r="M677" t="s">
        <v>1117</v>
      </c>
      <c r="N677" s="65" t="str">
        <f>queryCARRADAS_20250905_83647[[#This Row],[ORIGEM]]&amp;queryCARRADAS_20250905_83647[[#This Row],[DESTINO]]&amp;queryCARRADAS_20250905_83647[[#This Row],[MATERIAL]]</f>
        <v>GRANORTEARACAGY - SAO LUISBRITA 3</v>
      </c>
      <c r="O677" s="68" t="s">
        <v>164</v>
      </c>
    </row>
    <row r="678" spans="2:15" x14ac:dyDescent="0.25">
      <c r="B678" s="66">
        <v>45898</v>
      </c>
      <c r="C678" s="65">
        <v>1</v>
      </c>
      <c r="D678" s="63" t="s">
        <v>193</v>
      </c>
      <c r="E678" s="65" t="s">
        <v>194</v>
      </c>
      <c r="F678" s="65" t="s">
        <v>166</v>
      </c>
      <c r="G678" s="65" t="s">
        <v>364</v>
      </c>
      <c r="H678" s="63">
        <v>80</v>
      </c>
      <c r="I678" s="65" t="s">
        <v>216</v>
      </c>
      <c r="J678" s="63">
        <v>286</v>
      </c>
      <c r="K678" s="64">
        <v>846.56</v>
      </c>
      <c r="L678" s="63" t="s">
        <v>1172</v>
      </c>
      <c r="M678" t="s">
        <v>1117</v>
      </c>
      <c r="N678" s="65" t="str">
        <f>queryCARRADAS_20250905_83647[[#This Row],[ORIGEM]]&amp;queryCARRADAS_20250905_83647[[#This Row],[DESTINO]]&amp;queryCARRADAS_20250905_83647[[#This Row],[MATERIAL]]</f>
        <v>GRANORTEARACAGY - SAO LUISBRITA 3</v>
      </c>
      <c r="O678" s="68" t="s">
        <v>164</v>
      </c>
    </row>
    <row r="679" spans="2:15" x14ac:dyDescent="0.25">
      <c r="B679" s="66">
        <v>45898</v>
      </c>
      <c r="C679" s="65">
        <v>1</v>
      </c>
      <c r="D679" s="63" t="s">
        <v>203</v>
      </c>
      <c r="E679" s="65" t="s">
        <v>204</v>
      </c>
      <c r="F679" s="65" t="s">
        <v>166</v>
      </c>
      <c r="G679" s="65" t="s">
        <v>164</v>
      </c>
      <c r="H679" s="63">
        <v>58</v>
      </c>
      <c r="I679" s="65" t="s">
        <v>165</v>
      </c>
      <c r="J679" s="63">
        <v>7348</v>
      </c>
      <c r="K679" s="64">
        <v>1576.88</v>
      </c>
      <c r="L679" s="63" t="s">
        <v>1173</v>
      </c>
      <c r="M679" t="s">
        <v>1117</v>
      </c>
      <c r="N679" s="65" t="str">
        <f>queryCARRADAS_20250905_83647[[#This Row],[ORIGEM]]&amp;queryCARRADAS_20250905_83647[[#This Row],[DESTINO]]&amp;queryCARRADAS_20250905_83647[[#This Row],[MATERIAL]]</f>
        <v>GRANORTEUA SAO LUISPÓ DE BRITA</v>
      </c>
      <c r="O679" s="68" t="s">
        <v>164</v>
      </c>
    </row>
    <row r="680" spans="2:15" x14ac:dyDescent="0.25">
      <c r="B680" s="66">
        <v>45898</v>
      </c>
      <c r="C680" s="65">
        <v>1</v>
      </c>
      <c r="D680" s="63" t="s">
        <v>183</v>
      </c>
      <c r="E680" s="65" t="s">
        <v>184</v>
      </c>
      <c r="F680" s="65" t="s">
        <v>166</v>
      </c>
      <c r="G680" s="65" t="s">
        <v>364</v>
      </c>
      <c r="H680" s="63">
        <v>80</v>
      </c>
      <c r="I680" s="65" t="s">
        <v>216</v>
      </c>
      <c r="J680" s="63">
        <v>3026</v>
      </c>
      <c r="K680" s="64">
        <v>895.7</v>
      </c>
      <c r="L680" s="63" t="s">
        <v>1174</v>
      </c>
      <c r="M680" t="s">
        <v>1117</v>
      </c>
      <c r="N680" s="65" t="str">
        <f>queryCARRADAS_20250905_83647[[#This Row],[ORIGEM]]&amp;queryCARRADAS_20250905_83647[[#This Row],[DESTINO]]&amp;queryCARRADAS_20250905_83647[[#This Row],[MATERIAL]]</f>
        <v>GRANORTEARACAGY - SAO LUISBRITA 3</v>
      </c>
      <c r="O680" s="68" t="s">
        <v>164</v>
      </c>
    </row>
    <row r="681" spans="2:15" x14ac:dyDescent="0.25">
      <c r="B681" s="66">
        <v>45898</v>
      </c>
      <c r="C681" s="65">
        <v>1</v>
      </c>
      <c r="D681" s="63" t="s">
        <v>183</v>
      </c>
      <c r="E681" s="65" t="s">
        <v>184</v>
      </c>
      <c r="F681" s="65" t="s">
        <v>166</v>
      </c>
      <c r="G681" s="65" t="s">
        <v>364</v>
      </c>
      <c r="H681" s="63">
        <v>80</v>
      </c>
      <c r="I681" s="65" t="s">
        <v>216</v>
      </c>
      <c r="J681" s="63">
        <v>286</v>
      </c>
      <c r="K681" s="64">
        <v>846.56</v>
      </c>
      <c r="L681" s="63" t="s">
        <v>1175</v>
      </c>
      <c r="M681" t="s">
        <v>1117</v>
      </c>
      <c r="N681" s="65" t="str">
        <f>queryCARRADAS_20250905_83647[[#This Row],[ORIGEM]]&amp;queryCARRADAS_20250905_83647[[#This Row],[DESTINO]]&amp;queryCARRADAS_20250905_83647[[#This Row],[MATERIAL]]</f>
        <v>GRANORTEARACAGY - SAO LUISBRITA 3</v>
      </c>
      <c r="O681" s="68" t="s">
        <v>164</v>
      </c>
    </row>
    <row r="682" spans="2:15" x14ac:dyDescent="0.25">
      <c r="B682" s="66">
        <v>45898</v>
      </c>
      <c r="C682" s="65">
        <v>1</v>
      </c>
      <c r="D682" s="63" t="s">
        <v>162</v>
      </c>
      <c r="E682" s="65" t="s">
        <v>1134</v>
      </c>
      <c r="F682" s="65" t="s">
        <v>166</v>
      </c>
      <c r="G682" s="65" t="s">
        <v>458</v>
      </c>
      <c r="H682" s="63">
        <v>50</v>
      </c>
      <c r="I682" s="65" t="s">
        <v>169</v>
      </c>
      <c r="J682" s="63">
        <v>2608</v>
      </c>
      <c r="K682" s="64">
        <v>482.48</v>
      </c>
      <c r="L682" s="63" t="s">
        <v>1176</v>
      </c>
      <c r="M682" t="s">
        <v>1117</v>
      </c>
      <c r="N682" s="65" t="str">
        <f>queryCARRADAS_20250905_83647[[#This Row],[ORIGEM]]&amp;queryCARRADAS_20250905_83647[[#This Row],[DESTINO]]&amp;queryCARRADAS_20250905_83647[[#This Row],[MATERIAL]]</f>
        <v>GRANORTEDEPOSITO DISTRITOPULMÃOZINHO</v>
      </c>
      <c r="O682" s="68" t="s">
        <v>164</v>
      </c>
    </row>
    <row r="683" spans="2:15" x14ac:dyDescent="0.25">
      <c r="B683" s="66">
        <v>45898</v>
      </c>
      <c r="C683" s="65">
        <v>1</v>
      </c>
      <c r="D683" s="63" t="s">
        <v>162</v>
      </c>
      <c r="E683" s="65" t="s">
        <v>1134</v>
      </c>
      <c r="F683" s="65" t="s">
        <v>166</v>
      </c>
      <c r="G683" s="65" t="s">
        <v>458</v>
      </c>
      <c r="H683" s="63">
        <v>50</v>
      </c>
      <c r="I683" s="65" t="s">
        <v>169</v>
      </c>
      <c r="J683" s="63">
        <v>2626</v>
      </c>
      <c r="K683" s="64">
        <v>485.81</v>
      </c>
      <c r="L683" s="63" t="s">
        <v>1177</v>
      </c>
      <c r="M683" t="s">
        <v>1117</v>
      </c>
      <c r="N683" s="65" t="str">
        <f>queryCARRADAS_20250905_83647[[#This Row],[ORIGEM]]&amp;queryCARRADAS_20250905_83647[[#This Row],[DESTINO]]&amp;queryCARRADAS_20250905_83647[[#This Row],[MATERIAL]]</f>
        <v>GRANORTEDEPOSITO DISTRITOPULMÃOZINHO</v>
      </c>
      <c r="O683" s="68" t="s">
        <v>164</v>
      </c>
    </row>
    <row r="684" spans="2:15" x14ac:dyDescent="0.25">
      <c r="B684" s="66">
        <v>45898</v>
      </c>
      <c r="C684" s="65">
        <v>1</v>
      </c>
      <c r="D684" s="63" t="s">
        <v>210</v>
      </c>
      <c r="E684" s="65" t="s">
        <v>211</v>
      </c>
      <c r="F684" s="65" t="s">
        <v>166</v>
      </c>
      <c r="G684" s="65" t="s">
        <v>1178</v>
      </c>
      <c r="H684" s="63">
        <v>51</v>
      </c>
      <c r="I684" s="65" t="s">
        <v>165</v>
      </c>
      <c r="J684" s="63">
        <v>5094</v>
      </c>
      <c r="K684" s="64">
        <v>961.24</v>
      </c>
      <c r="L684" s="63" t="s">
        <v>1179</v>
      </c>
      <c r="M684" t="s">
        <v>1117</v>
      </c>
      <c r="N684" s="65" t="str">
        <f>queryCARRADAS_20250905_83647[[#This Row],[ORIGEM]]&amp;queryCARRADAS_20250905_83647[[#This Row],[DESTINO]]&amp;queryCARRADAS_20250905_83647[[#This Row],[MATERIAL]]</f>
        <v>GRANORTEVETORPÓ DE BRITA</v>
      </c>
      <c r="O684" s="68" t="s">
        <v>164</v>
      </c>
    </row>
    <row r="685" spans="2:15" x14ac:dyDescent="0.25">
      <c r="B685" s="66">
        <v>45898</v>
      </c>
      <c r="C685" s="65">
        <v>1</v>
      </c>
      <c r="D685" s="63" t="s">
        <v>176</v>
      </c>
      <c r="E685" s="65" t="s">
        <v>177</v>
      </c>
      <c r="F685" s="65" t="s">
        <v>166</v>
      </c>
      <c r="G685" s="65" t="s">
        <v>164</v>
      </c>
      <c r="H685" s="63">
        <v>58</v>
      </c>
      <c r="I685" s="65" t="s">
        <v>165</v>
      </c>
      <c r="J685" s="63">
        <v>6112</v>
      </c>
      <c r="K685" s="64">
        <v>1311.64</v>
      </c>
      <c r="L685" s="63" t="s">
        <v>1180</v>
      </c>
      <c r="M685" t="s">
        <v>1117</v>
      </c>
      <c r="N685" s="65" t="str">
        <f>queryCARRADAS_20250905_83647[[#This Row],[ORIGEM]]&amp;queryCARRADAS_20250905_83647[[#This Row],[DESTINO]]&amp;queryCARRADAS_20250905_83647[[#This Row],[MATERIAL]]</f>
        <v>GRANORTEUA SAO LUISPÓ DE BRITA</v>
      </c>
      <c r="O685" s="68" t="s">
        <v>164</v>
      </c>
    </row>
    <row r="686" spans="2:15" x14ac:dyDescent="0.25">
      <c r="B686" s="66">
        <v>45898</v>
      </c>
      <c r="C686" s="65">
        <v>1</v>
      </c>
      <c r="D686" s="63" t="s">
        <v>275</v>
      </c>
      <c r="E686" s="65" t="s">
        <v>217</v>
      </c>
      <c r="F686" s="65" t="s">
        <v>190</v>
      </c>
      <c r="G686" s="65" t="s">
        <v>212</v>
      </c>
      <c r="H686" s="63">
        <v>376</v>
      </c>
      <c r="I686" s="65" t="s">
        <v>165</v>
      </c>
      <c r="J686" s="63">
        <v>750</v>
      </c>
      <c r="K686" s="64">
        <v>9024</v>
      </c>
      <c r="L686" s="63" t="s">
        <v>1181</v>
      </c>
      <c r="M686" t="s">
        <v>1117</v>
      </c>
      <c r="N686" s="65" t="str">
        <f>queryCARRADAS_20250905_83647[[#This Row],[ORIGEM]]&amp;queryCARRADAS_20250905_83647[[#This Row],[DESTINO]]&amp;queryCARRADAS_20250905_83647[[#This Row],[MATERIAL]]</f>
        <v>SERVENGUSINA PINHEIROPÓ DE BRITA</v>
      </c>
      <c r="O686" s="68" t="s">
        <v>164</v>
      </c>
    </row>
    <row r="687" spans="2:15" x14ac:dyDescent="0.25">
      <c r="B687" s="66">
        <v>45898</v>
      </c>
      <c r="C687" s="65">
        <v>1</v>
      </c>
      <c r="D687" s="63" t="s">
        <v>270</v>
      </c>
      <c r="E687" s="65" t="s">
        <v>1146</v>
      </c>
      <c r="F687" s="65" t="s">
        <v>166</v>
      </c>
      <c r="G687" s="65" t="s">
        <v>164</v>
      </c>
      <c r="H687" s="63">
        <v>58</v>
      </c>
      <c r="I687" s="65" t="s">
        <v>165</v>
      </c>
      <c r="J687" s="63">
        <v>7474</v>
      </c>
      <c r="K687" s="64">
        <v>1603.92</v>
      </c>
      <c r="L687" s="63" t="s">
        <v>1182</v>
      </c>
      <c r="M687" t="s">
        <v>1183</v>
      </c>
      <c r="N687" s="65" t="str">
        <f>queryCARRADAS_20250905_83647[[#This Row],[ORIGEM]]&amp;queryCARRADAS_20250905_83647[[#This Row],[DESTINO]]&amp;queryCARRADAS_20250905_83647[[#This Row],[MATERIAL]]</f>
        <v>GRANORTEUA SAO LUISPÓ DE BRITA</v>
      </c>
      <c r="O687" s="68" t="s">
        <v>164</v>
      </c>
    </row>
    <row r="688" spans="2:15" x14ac:dyDescent="0.25">
      <c r="B688" s="66">
        <v>45898</v>
      </c>
      <c r="C688" s="65">
        <v>1</v>
      </c>
      <c r="D688" s="63" t="s">
        <v>179</v>
      </c>
      <c r="E688" s="65" t="s">
        <v>180</v>
      </c>
      <c r="F688" s="65" t="s">
        <v>166</v>
      </c>
      <c r="G688" s="65" t="s">
        <v>164</v>
      </c>
      <c r="H688" s="63">
        <v>58</v>
      </c>
      <c r="I688" s="65" t="s">
        <v>169</v>
      </c>
      <c r="J688" s="63">
        <v>270</v>
      </c>
      <c r="K688" s="64">
        <v>579.41999999999996</v>
      </c>
      <c r="L688" s="63" t="s">
        <v>1184</v>
      </c>
      <c r="M688" t="s">
        <v>1117</v>
      </c>
      <c r="N688" s="65" t="str">
        <f>queryCARRADAS_20250905_83647[[#This Row],[ORIGEM]]&amp;queryCARRADAS_20250905_83647[[#This Row],[DESTINO]]&amp;queryCARRADAS_20250905_83647[[#This Row],[MATERIAL]]</f>
        <v>GRANORTEUA SAO LUISPULMÃOZINHO</v>
      </c>
      <c r="O688" s="68" t="s">
        <v>164</v>
      </c>
    </row>
    <row r="689" spans="2:15" x14ac:dyDescent="0.25">
      <c r="B689" s="66">
        <v>45898</v>
      </c>
      <c r="C689" s="65">
        <v>1</v>
      </c>
      <c r="D689" s="63" t="s">
        <v>179</v>
      </c>
      <c r="E689" s="65" t="s">
        <v>180</v>
      </c>
      <c r="F689" s="65" t="s">
        <v>166</v>
      </c>
      <c r="G689" s="65" t="s">
        <v>164</v>
      </c>
      <c r="H689" s="63">
        <v>58</v>
      </c>
      <c r="I689" s="65" t="s">
        <v>169</v>
      </c>
      <c r="J689" s="63">
        <v>321</v>
      </c>
      <c r="K689" s="64">
        <v>688.87</v>
      </c>
      <c r="L689" s="63" t="s">
        <v>1185</v>
      </c>
      <c r="M689" t="s">
        <v>1117</v>
      </c>
      <c r="N689" s="65" t="str">
        <f>queryCARRADAS_20250905_83647[[#This Row],[ORIGEM]]&amp;queryCARRADAS_20250905_83647[[#This Row],[DESTINO]]&amp;queryCARRADAS_20250905_83647[[#This Row],[MATERIAL]]</f>
        <v>GRANORTEUA SAO LUISPULMÃOZINHO</v>
      </c>
      <c r="O689" s="68" t="s">
        <v>164</v>
      </c>
    </row>
    <row r="690" spans="2:15" x14ac:dyDescent="0.25">
      <c r="B690" s="66">
        <v>45898</v>
      </c>
      <c r="C690" s="65">
        <v>1</v>
      </c>
      <c r="D690" s="63" t="s">
        <v>179</v>
      </c>
      <c r="E690" s="65" t="s">
        <v>180</v>
      </c>
      <c r="F690" s="65" t="s">
        <v>166</v>
      </c>
      <c r="G690" s="65" t="s">
        <v>164</v>
      </c>
      <c r="H690" s="63">
        <v>58</v>
      </c>
      <c r="I690" s="65" t="s">
        <v>169</v>
      </c>
      <c r="J690" s="63">
        <v>319</v>
      </c>
      <c r="K690" s="64">
        <v>684.57</v>
      </c>
      <c r="L690" s="63" t="s">
        <v>1186</v>
      </c>
      <c r="M690" t="s">
        <v>1117</v>
      </c>
      <c r="N690" s="65" t="str">
        <f>queryCARRADAS_20250905_83647[[#This Row],[ORIGEM]]&amp;queryCARRADAS_20250905_83647[[#This Row],[DESTINO]]&amp;queryCARRADAS_20250905_83647[[#This Row],[MATERIAL]]</f>
        <v>GRANORTEUA SAO LUISPULMÃOZINHO</v>
      </c>
      <c r="O690" s="68" t="s">
        <v>164</v>
      </c>
    </row>
    <row r="691" spans="2:15" x14ac:dyDescent="0.25">
      <c r="B691" s="66">
        <v>45899</v>
      </c>
      <c r="C691" s="65">
        <v>1</v>
      </c>
      <c r="D691" s="63" t="s">
        <v>167</v>
      </c>
      <c r="E691" s="65" t="s">
        <v>168</v>
      </c>
      <c r="F691" s="65" t="s">
        <v>166</v>
      </c>
      <c r="G691" s="65" t="s">
        <v>218</v>
      </c>
      <c r="H691" s="63">
        <v>71</v>
      </c>
      <c r="I691" s="65" t="s">
        <v>172</v>
      </c>
      <c r="J691" s="63">
        <v>2638</v>
      </c>
      <c r="K691" s="64">
        <v>693</v>
      </c>
      <c r="L691" s="63" t="s">
        <v>1123</v>
      </c>
      <c r="M691" t="s">
        <v>1117</v>
      </c>
      <c r="N691" s="65" t="str">
        <f>queryCARRADAS_20250905_83647[[#This Row],[ORIGEM]]&amp;queryCARRADAS_20250905_83647[[#This Row],[DESTINO]]&amp;queryCARRADAS_20250905_83647[[#This Row],[MATERIAL]]</f>
        <v>GRANORTEEXPOEMABICA CORRIDA</v>
      </c>
      <c r="O691" s="68" t="s">
        <v>164</v>
      </c>
    </row>
    <row r="692" spans="2:15" x14ac:dyDescent="0.25">
      <c r="B692" s="66">
        <v>45899</v>
      </c>
      <c r="C692" s="65">
        <v>1</v>
      </c>
      <c r="D692" s="63" t="s">
        <v>181</v>
      </c>
      <c r="E692" s="65" t="s">
        <v>182</v>
      </c>
      <c r="F692" s="65" t="s">
        <v>166</v>
      </c>
      <c r="G692" s="65" t="s">
        <v>218</v>
      </c>
      <c r="H692" s="63">
        <v>71</v>
      </c>
      <c r="I692" s="65" t="s">
        <v>172</v>
      </c>
      <c r="J692" s="63">
        <v>2648</v>
      </c>
      <c r="K692" s="64">
        <v>695.63</v>
      </c>
      <c r="L692" s="63" t="s">
        <v>1124</v>
      </c>
      <c r="M692" t="s">
        <v>1117</v>
      </c>
      <c r="N692" s="65" t="str">
        <f>queryCARRADAS_20250905_83647[[#This Row],[ORIGEM]]&amp;queryCARRADAS_20250905_83647[[#This Row],[DESTINO]]&amp;queryCARRADAS_20250905_83647[[#This Row],[MATERIAL]]</f>
        <v>GRANORTEEXPOEMABICA CORRIDA</v>
      </c>
      <c r="O692" s="68" t="s">
        <v>164</v>
      </c>
    </row>
    <row r="693" spans="2:15" x14ac:dyDescent="0.25">
      <c r="B693" s="66">
        <v>45899</v>
      </c>
      <c r="C693" s="65">
        <v>1</v>
      </c>
      <c r="D693" s="63" t="s">
        <v>213</v>
      </c>
      <c r="E693" s="65" t="s">
        <v>214</v>
      </c>
      <c r="F693" s="65" t="s">
        <v>190</v>
      </c>
      <c r="G693" s="65" t="s">
        <v>191</v>
      </c>
      <c r="H693" s="63">
        <v>217</v>
      </c>
      <c r="I693" s="65" t="s">
        <v>165</v>
      </c>
      <c r="J693" s="63">
        <v>5208</v>
      </c>
      <c r="K693" s="64">
        <v>4181.5</v>
      </c>
      <c r="L693" s="63" t="s">
        <v>1125</v>
      </c>
      <c r="M693" t="s">
        <v>1117</v>
      </c>
      <c r="N693" s="65" t="str">
        <f>queryCARRADAS_20250905_83647[[#This Row],[ORIGEM]]&amp;queryCARRADAS_20250905_83647[[#This Row],[DESTINO]]&amp;queryCARRADAS_20250905_83647[[#This Row],[MATERIAL]]</f>
        <v>SERVENGOLINDA NOVA - MAPÓ DE BRITA</v>
      </c>
      <c r="O693" s="68" t="s">
        <v>164</v>
      </c>
    </row>
    <row r="694" spans="2:15" x14ac:dyDescent="0.25">
      <c r="B694" s="66">
        <v>45899</v>
      </c>
      <c r="C694" s="65">
        <v>1</v>
      </c>
      <c r="D694" s="63" t="s">
        <v>170</v>
      </c>
      <c r="E694" s="65" t="s">
        <v>171</v>
      </c>
      <c r="F694" s="65" t="s">
        <v>166</v>
      </c>
      <c r="G694" s="65" t="s">
        <v>164</v>
      </c>
      <c r="H694" s="63">
        <v>58</v>
      </c>
      <c r="I694" s="65" t="s">
        <v>169</v>
      </c>
      <c r="J694" s="63">
        <v>2574</v>
      </c>
      <c r="K694" s="64">
        <v>552.38</v>
      </c>
      <c r="L694" s="63" t="s">
        <v>1126</v>
      </c>
      <c r="M694" t="s">
        <v>1117</v>
      </c>
      <c r="N694" s="65" t="str">
        <f>queryCARRADAS_20250905_83647[[#This Row],[ORIGEM]]&amp;queryCARRADAS_20250905_83647[[#This Row],[DESTINO]]&amp;queryCARRADAS_20250905_83647[[#This Row],[MATERIAL]]</f>
        <v>GRANORTEUA SAO LUISPULMÃOZINHO</v>
      </c>
      <c r="O694" s="68" t="s">
        <v>164</v>
      </c>
    </row>
    <row r="695" spans="2:15" x14ac:dyDescent="0.25">
      <c r="B695" s="66">
        <v>45899</v>
      </c>
      <c r="C695" s="65">
        <v>1</v>
      </c>
      <c r="D695" s="63" t="s">
        <v>1127</v>
      </c>
      <c r="E695" s="65" t="s">
        <v>178</v>
      </c>
      <c r="F695" s="65" t="s">
        <v>166</v>
      </c>
      <c r="G695" s="65" t="s">
        <v>364</v>
      </c>
      <c r="H695" s="63">
        <v>80</v>
      </c>
      <c r="I695" s="65" t="s">
        <v>216</v>
      </c>
      <c r="J695" s="63">
        <v>3102</v>
      </c>
      <c r="K695" s="64">
        <v>918.19</v>
      </c>
      <c r="L695" s="63" t="s">
        <v>1128</v>
      </c>
      <c r="M695" t="s">
        <v>1117</v>
      </c>
      <c r="N695" s="65" t="str">
        <f>queryCARRADAS_20250905_83647[[#This Row],[ORIGEM]]&amp;queryCARRADAS_20250905_83647[[#This Row],[DESTINO]]&amp;queryCARRADAS_20250905_83647[[#This Row],[MATERIAL]]</f>
        <v>GRANORTEARACAGY - SAO LUISBRITA 3</v>
      </c>
      <c r="O695" s="68" t="s">
        <v>164</v>
      </c>
    </row>
    <row r="696" spans="2:15" x14ac:dyDescent="0.25">
      <c r="B696" s="66">
        <v>45899</v>
      </c>
      <c r="C696" s="65">
        <v>1</v>
      </c>
      <c r="D696" s="63" t="s">
        <v>1129</v>
      </c>
      <c r="E696" s="65" t="s">
        <v>1130</v>
      </c>
      <c r="F696" s="65" t="s">
        <v>1131</v>
      </c>
      <c r="G696" s="65" t="s">
        <v>1132</v>
      </c>
      <c r="H696" s="63">
        <v>69</v>
      </c>
      <c r="I696" s="65" t="s">
        <v>195</v>
      </c>
      <c r="J696" s="63">
        <v>3087</v>
      </c>
      <c r="K696" s="64">
        <v>788.11</v>
      </c>
      <c r="L696" s="63" t="s">
        <v>1133</v>
      </c>
      <c r="M696" t="s">
        <v>1117</v>
      </c>
      <c r="N696" s="65" t="str">
        <f>queryCARRADAS_20250905_83647[[#This Row],[ORIGEM]]&amp;queryCARRADAS_20250905_83647[[#This Row],[DESTINO]]&amp;queryCARRADAS_20250905_83647[[#This Row],[MATERIAL]]</f>
        <v>MINERACAO OURO PRETO - COLINAS/MAMIRADOR- MABRITA 1</v>
      </c>
      <c r="O696" s="68" t="s">
        <v>161</v>
      </c>
    </row>
    <row r="697" spans="2:15" x14ac:dyDescent="0.25">
      <c r="B697" s="66">
        <v>45899</v>
      </c>
      <c r="C697" s="65">
        <v>1</v>
      </c>
      <c r="D697" s="63" t="s">
        <v>162</v>
      </c>
      <c r="E697" s="65" t="s">
        <v>1134</v>
      </c>
      <c r="F697" s="65" t="s">
        <v>166</v>
      </c>
      <c r="G697" s="65" t="s">
        <v>458</v>
      </c>
      <c r="H697" s="63">
        <v>50</v>
      </c>
      <c r="I697" s="65" t="s">
        <v>185</v>
      </c>
      <c r="J697" s="63">
        <v>274</v>
      </c>
      <c r="K697" s="64">
        <v>506.9</v>
      </c>
      <c r="L697" s="63" t="s">
        <v>1135</v>
      </c>
      <c r="M697" t="s">
        <v>1117</v>
      </c>
      <c r="N697" s="65" t="str">
        <f>queryCARRADAS_20250905_83647[[#This Row],[ORIGEM]]&amp;queryCARRADAS_20250905_83647[[#This Row],[DESTINO]]&amp;queryCARRADAS_20250905_83647[[#This Row],[MATERIAL]]</f>
        <v>GRANORTEDEPOSITO DISTRITORACHÃOZINHO</v>
      </c>
      <c r="O697" s="68" t="s">
        <v>161</v>
      </c>
    </row>
    <row r="698" spans="2:15" x14ac:dyDescent="0.25">
      <c r="B698" s="66">
        <v>45899</v>
      </c>
      <c r="C698" s="65">
        <v>1</v>
      </c>
      <c r="D698" s="63" t="s">
        <v>181</v>
      </c>
      <c r="E698" s="65" t="s">
        <v>182</v>
      </c>
      <c r="F698" s="65" t="s">
        <v>166</v>
      </c>
      <c r="G698" s="65" t="s">
        <v>218</v>
      </c>
      <c r="H698" s="63">
        <v>71</v>
      </c>
      <c r="I698" s="65" t="s">
        <v>172</v>
      </c>
      <c r="J698" s="63">
        <v>2582</v>
      </c>
      <c r="K698" s="64">
        <v>678.29</v>
      </c>
      <c r="L698" s="63" t="s">
        <v>1136</v>
      </c>
      <c r="M698" t="s">
        <v>1117</v>
      </c>
      <c r="N698" s="65" t="str">
        <f>queryCARRADAS_20250905_83647[[#This Row],[ORIGEM]]&amp;queryCARRADAS_20250905_83647[[#This Row],[DESTINO]]&amp;queryCARRADAS_20250905_83647[[#This Row],[MATERIAL]]</f>
        <v>GRANORTEEXPOEMABICA CORRIDA</v>
      </c>
      <c r="O698" s="68" t="s">
        <v>164</v>
      </c>
    </row>
    <row r="699" spans="2:15" x14ac:dyDescent="0.25">
      <c r="B699" s="66">
        <v>45899</v>
      </c>
      <c r="C699" s="65">
        <v>1</v>
      </c>
      <c r="D699" s="63" t="s">
        <v>173</v>
      </c>
      <c r="E699" s="65" t="s">
        <v>174</v>
      </c>
      <c r="F699" s="65" t="s">
        <v>166</v>
      </c>
      <c r="G699" s="65" t="s">
        <v>164</v>
      </c>
      <c r="H699" s="63">
        <v>58</v>
      </c>
      <c r="I699" s="65" t="s">
        <v>185</v>
      </c>
      <c r="J699" s="63">
        <v>3012</v>
      </c>
      <c r="K699" s="64">
        <v>646.38</v>
      </c>
      <c r="L699" s="63" t="s">
        <v>1137</v>
      </c>
      <c r="M699" t="s">
        <v>1117</v>
      </c>
      <c r="N699" s="65" t="str">
        <f>queryCARRADAS_20250905_83647[[#This Row],[ORIGEM]]&amp;queryCARRADAS_20250905_83647[[#This Row],[DESTINO]]&amp;queryCARRADAS_20250905_83647[[#This Row],[MATERIAL]]</f>
        <v>GRANORTEUA SAO LUISRACHÃOZINHO</v>
      </c>
      <c r="O699" s="68" t="s">
        <v>164</v>
      </c>
    </row>
    <row r="700" spans="2:15" x14ac:dyDescent="0.25">
      <c r="B700" s="66">
        <v>45899</v>
      </c>
      <c r="C700" s="65">
        <v>1</v>
      </c>
      <c r="D700" s="63" t="s">
        <v>183</v>
      </c>
      <c r="E700" s="65" t="s">
        <v>184</v>
      </c>
      <c r="F700" s="65" t="s">
        <v>166</v>
      </c>
      <c r="G700" s="65" t="s">
        <v>364</v>
      </c>
      <c r="H700" s="63">
        <v>80</v>
      </c>
      <c r="I700" s="65" t="s">
        <v>172</v>
      </c>
      <c r="J700" s="63">
        <v>3064</v>
      </c>
      <c r="K700" s="64">
        <v>906.94</v>
      </c>
      <c r="L700" s="63" t="s">
        <v>1138</v>
      </c>
      <c r="M700" t="s">
        <v>1117</v>
      </c>
      <c r="N700" s="65" t="str">
        <f>queryCARRADAS_20250905_83647[[#This Row],[ORIGEM]]&amp;queryCARRADAS_20250905_83647[[#This Row],[DESTINO]]&amp;queryCARRADAS_20250905_83647[[#This Row],[MATERIAL]]</f>
        <v>GRANORTEARACAGY - SAO LUISBICA CORRIDA</v>
      </c>
      <c r="O700" s="68" t="s">
        <v>164</v>
      </c>
    </row>
    <row r="701" spans="2:15" x14ac:dyDescent="0.25">
      <c r="B701" s="66">
        <v>45899</v>
      </c>
      <c r="C701" s="65">
        <v>1</v>
      </c>
      <c r="D701" s="63" t="s">
        <v>188</v>
      </c>
      <c r="E701" s="65" t="s">
        <v>189</v>
      </c>
      <c r="F701" s="65" t="s">
        <v>166</v>
      </c>
      <c r="G701" s="65" t="s">
        <v>191</v>
      </c>
      <c r="H701" s="63">
        <v>243</v>
      </c>
      <c r="I701" s="65" t="s">
        <v>165</v>
      </c>
      <c r="J701" s="63">
        <v>5122</v>
      </c>
      <c r="K701" s="64">
        <v>4605.1899999999996</v>
      </c>
      <c r="L701" s="63" t="s">
        <v>1139</v>
      </c>
      <c r="M701" t="s">
        <v>1117</v>
      </c>
      <c r="N701" s="65" t="str">
        <f>queryCARRADAS_20250905_83647[[#This Row],[ORIGEM]]&amp;queryCARRADAS_20250905_83647[[#This Row],[DESTINO]]&amp;queryCARRADAS_20250905_83647[[#This Row],[MATERIAL]]</f>
        <v>GRANORTEOLINDA NOVA - MAPÓ DE BRITA</v>
      </c>
      <c r="O701" s="68" t="s">
        <v>164</v>
      </c>
    </row>
    <row r="702" spans="2:15" x14ac:dyDescent="0.25">
      <c r="B702" s="66">
        <v>45899</v>
      </c>
      <c r="C702" s="65">
        <v>1</v>
      </c>
      <c r="D702" s="63" t="s">
        <v>162</v>
      </c>
      <c r="E702" s="65" t="s">
        <v>1134</v>
      </c>
      <c r="F702" s="65" t="s">
        <v>166</v>
      </c>
      <c r="G702" s="65" t="s">
        <v>458</v>
      </c>
      <c r="H702" s="63">
        <v>50</v>
      </c>
      <c r="I702" s="65" t="s">
        <v>185</v>
      </c>
      <c r="J702" s="63">
        <v>2568</v>
      </c>
      <c r="K702" s="64">
        <v>475.08</v>
      </c>
      <c r="L702" s="63" t="s">
        <v>1140</v>
      </c>
      <c r="M702" t="s">
        <v>1117</v>
      </c>
      <c r="N702" s="65" t="str">
        <f>queryCARRADAS_20250905_83647[[#This Row],[ORIGEM]]&amp;queryCARRADAS_20250905_83647[[#This Row],[DESTINO]]&amp;queryCARRADAS_20250905_83647[[#This Row],[MATERIAL]]</f>
        <v>GRANORTEDEPOSITO DISTRITORACHÃOZINHO</v>
      </c>
      <c r="O702" s="68" t="s">
        <v>11</v>
      </c>
    </row>
    <row r="703" spans="2:15" x14ac:dyDescent="0.25">
      <c r="B703" s="66">
        <v>45899</v>
      </c>
      <c r="C703" s="65">
        <v>1</v>
      </c>
      <c r="D703" s="63" t="s">
        <v>210</v>
      </c>
      <c r="E703" s="65" t="s">
        <v>211</v>
      </c>
      <c r="F703" s="65" t="s">
        <v>166</v>
      </c>
      <c r="G703" s="65" t="s">
        <v>164</v>
      </c>
      <c r="H703" s="63">
        <v>58</v>
      </c>
      <c r="I703" s="65" t="s">
        <v>172</v>
      </c>
      <c r="J703" s="63">
        <v>7024</v>
      </c>
      <c r="K703" s="64">
        <v>1507.35</v>
      </c>
      <c r="L703" s="63" t="s">
        <v>1141</v>
      </c>
      <c r="M703" t="s">
        <v>1117</v>
      </c>
      <c r="N703" s="65" t="str">
        <f>queryCARRADAS_20250905_83647[[#This Row],[ORIGEM]]&amp;queryCARRADAS_20250905_83647[[#This Row],[DESTINO]]&amp;queryCARRADAS_20250905_83647[[#This Row],[MATERIAL]]</f>
        <v>GRANORTEUA SAO LUISBICA CORRIDA</v>
      </c>
      <c r="O703" s="68" t="s">
        <v>11</v>
      </c>
    </row>
    <row r="704" spans="2:15" x14ac:dyDescent="0.25">
      <c r="B704" s="66">
        <v>45899</v>
      </c>
      <c r="C704" s="65">
        <v>1</v>
      </c>
      <c r="D704" s="63" t="s">
        <v>203</v>
      </c>
      <c r="E704" s="65" t="s">
        <v>204</v>
      </c>
      <c r="F704" s="65" t="s">
        <v>166</v>
      </c>
      <c r="G704" s="65" t="s">
        <v>164</v>
      </c>
      <c r="H704" s="63">
        <v>58</v>
      </c>
      <c r="I704" s="65" t="s">
        <v>165</v>
      </c>
      <c r="J704" s="63">
        <v>719</v>
      </c>
      <c r="K704" s="64">
        <v>1542.97</v>
      </c>
      <c r="L704" s="63" t="s">
        <v>1142</v>
      </c>
      <c r="M704" t="s">
        <v>1117</v>
      </c>
      <c r="N704" s="65" t="str">
        <f>queryCARRADAS_20250905_83647[[#This Row],[ORIGEM]]&amp;queryCARRADAS_20250905_83647[[#This Row],[DESTINO]]&amp;queryCARRADAS_20250905_83647[[#This Row],[MATERIAL]]</f>
        <v>GRANORTEUA SAO LUISPÓ DE BRITA</v>
      </c>
      <c r="O704" s="68" t="s">
        <v>11</v>
      </c>
    </row>
    <row r="705" spans="2:15" x14ac:dyDescent="0.25">
      <c r="B705" s="66">
        <v>45899</v>
      </c>
      <c r="C705" s="65">
        <v>1</v>
      </c>
      <c r="D705" s="63" t="s">
        <v>208</v>
      </c>
      <c r="E705" s="65" t="s">
        <v>209</v>
      </c>
      <c r="F705" s="65" t="s">
        <v>190</v>
      </c>
      <c r="G705" s="65" t="s">
        <v>212</v>
      </c>
      <c r="H705" s="63">
        <v>376</v>
      </c>
      <c r="I705" s="65" t="s">
        <v>165</v>
      </c>
      <c r="J705" s="63">
        <v>900</v>
      </c>
      <c r="K705" s="64">
        <v>10828.8</v>
      </c>
      <c r="L705" s="63" t="s">
        <v>999</v>
      </c>
      <c r="M705" t="s">
        <v>1117</v>
      </c>
      <c r="N705" s="65" t="str">
        <f>queryCARRADAS_20250905_83647[[#This Row],[ORIGEM]]&amp;queryCARRADAS_20250905_83647[[#This Row],[DESTINO]]&amp;queryCARRADAS_20250905_83647[[#This Row],[MATERIAL]]</f>
        <v>SERVENGUSINA PINHEIROPÓ DE BRITA</v>
      </c>
      <c r="O705" s="68" t="s">
        <v>164</v>
      </c>
    </row>
    <row r="706" spans="2:15" x14ac:dyDescent="0.25">
      <c r="B706" s="66">
        <v>45899</v>
      </c>
      <c r="C706" s="65">
        <v>1</v>
      </c>
      <c r="D706" s="63" t="s">
        <v>200</v>
      </c>
      <c r="E706" s="65" t="s">
        <v>201</v>
      </c>
      <c r="F706" s="65" t="s">
        <v>190</v>
      </c>
      <c r="G706" s="65" t="s">
        <v>212</v>
      </c>
      <c r="H706" s="63">
        <v>376</v>
      </c>
      <c r="I706" s="65" t="s">
        <v>165</v>
      </c>
      <c r="J706" s="63">
        <v>4928</v>
      </c>
      <c r="K706" s="64">
        <v>5929.37</v>
      </c>
      <c r="L706" s="63" t="s">
        <v>1143</v>
      </c>
      <c r="M706" t="s">
        <v>1117</v>
      </c>
      <c r="N706" s="65" t="str">
        <f>queryCARRADAS_20250905_83647[[#This Row],[ORIGEM]]&amp;queryCARRADAS_20250905_83647[[#This Row],[DESTINO]]&amp;queryCARRADAS_20250905_83647[[#This Row],[MATERIAL]]</f>
        <v>SERVENGUSINA PINHEIROPÓ DE BRITA</v>
      </c>
      <c r="O706" s="68" t="s">
        <v>164</v>
      </c>
    </row>
    <row r="707" spans="2:15" x14ac:dyDescent="0.25">
      <c r="B707" s="66">
        <v>45899</v>
      </c>
      <c r="C707" s="65">
        <v>1</v>
      </c>
      <c r="D707" s="63" t="s">
        <v>192</v>
      </c>
      <c r="E707" s="65" t="s">
        <v>1144</v>
      </c>
      <c r="F707" s="65" t="s">
        <v>166</v>
      </c>
      <c r="G707" s="65" t="s">
        <v>164</v>
      </c>
      <c r="H707" s="63">
        <v>58</v>
      </c>
      <c r="I707" s="65" t="s">
        <v>165</v>
      </c>
      <c r="J707" s="63">
        <v>7166</v>
      </c>
      <c r="K707" s="64">
        <v>1537.82</v>
      </c>
      <c r="L707" s="63" t="s">
        <v>1145</v>
      </c>
      <c r="M707" t="s">
        <v>1117</v>
      </c>
      <c r="N707" s="65" t="str">
        <f>queryCARRADAS_20250905_83647[[#This Row],[ORIGEM]]&amp;queryCARRADAS_20250905_83647[[#This Row],[DESTINO]]&amp;queryCARRADAS_20250905_83647[[#This Row],[MATERIAL]]</f>
        <v>GRANORTEUA SAO LUISPÓ DE BRITA</v>
      </c>
      <c r="O707" s="68" t="s">
        <v>164</v>
      </c>
    </row>
    <row r="708" spans="2:15" x14ac:dyDescent="0.25">
      <c r="B708" s="66">
        <v>45899</v>
      </c>
      <c r="C708" s="65">
        <v>1</v>
      </c>
      <c r="D708" s="63" t="s">
        <v>270</v>
      </c>
      <c r="E708" s="65" t="s">
        <v>1146</v>
      </c>
      <c r="F708" s="65" t="s">
        <v>166</v>
      </c>
      <c r="G708" s="65" t="s">
        <v>164</v>
      </c>
      <c r="H708" s="63">
        <v>58</v>
      </c>
      <c r="I708" s="65" t="s">
        <v>165</v>
      </c>
      <c r="J708" s="63">
        <v>7314</v>
      </c>
      <c r="K708" s="64">
        <v>1569.58</v>
      </c>
      <c r="L708" s="63" t="s">
        <v>1147</v>
      </c>
      <c r="M708" t="s">
        <v>1148</v>
      </c>
      <c r="N708" s="65" t="str">
        <f>queryCARRADAS_20250905_83647[[#This Row],[ORIGEM]]&amp;queryCARRADAS_20250905_83647[[#This Row],[DESTINO]]&amp;queryCARRADAS_20250905_83647[[#This Row],[MATERIAL]]</f>
        <v>GRANORTEUA SAO LUISPÓ DE BRITA</v>
      </c>
      <c r="O708" s="68" t="s">
        <v>11</v>
      </c>
    </row>
    <row r="709" spans="2:15" x14ac:dyDescent="0.25">
      <c r="B709" s="66">
        <v>45899</v>
      </c>
      <c r="C709" s="65">
        <v>1</v>
      </c>
      <c r="D709" s="63" t="s">
        <v>179</v>
      </c>
      <c r="E709" s="65" t="s">
        <v>180</v>
      </c>
      <c r="F709" s="65" t="s">
        <v>166</v>
      </c>
      <c r="G709" s="65" t="s">
        <v>164</v>
      </c>
      <c r="H709" s="63">
        <v>58</v>
      </c>
      <c r="I709" s="65" t="s">
        <v>169</v>
      </c>
      <c r="J709" s="63">
        <v>268</v>
      </c>
      <c r="K709" s="64">
        <v>575.13</v>
      </c>
      <c r="L709" s="63" t="s">
        <v>1149</v>
      </c>
      <c r="M709" t="s">
        <v>1117</v>
      </c>
      <c r="N709" s="65" t="str">
        <f>queryCARRADAS_20250905_83647[[#This Row],[ORIGEM]]&amp;queryCARRADAS_20250905_83647[[#This Row],[DESTINO]]&amp;queryCARRADAS_20250905_83647[[#This Row],[MATERIAL]]</f>
        <v>GRANORTEUA SAO LUISPULMÃOZINHO</v>
      </c>
      <c r="O709" s="68" t="s">
        <v>11</v>
      </c>
    </row>
    <row r="710" spans="2:15" x14ac:dyDescent="0.25">
      <c r="B710" s="66">
        <v>45899</v>
      </c>
      <c r="C710" s="65">
        <v>1</v>
      </c>
      <c r="D710" s="63" t="s">
        <v>179</v>
      </c>
      <c r="E710" s="65" t="s">
        <v>180</v>
      </c>
      <c r="F710" s="65" t="s">
        <v>166</v>
      </c>
      <c r="G710" s="65" t="s">
        <v>164</v>
      </c>
      <c r="H710" s="63">
        <v>58</v>
      </c>
      <c r="I710" s="65" t="s">
        <v>169</v>
      </c>
      <c r="J710" s="63">
        <v>267</v>
      </c>
      <c r="K710" s="64">
        <v>572.98</v>
      </c>
      <c r="L710" s="63" t="s">
        <v>1150</v>
      </c>
      <c r="M710" t="s">
        <v>1117</v>
      </c>
      <c r="N710" s="65" t="str">
        <f>queryCARRADAS_20250905_83647[[#This Row],[ORIGEM]]&amp;queryCARRADAS_20250905_83647[[#This Row],[DESTINO]]&amp;queryCARRADAS_20250905_83647[[#This Row],[MATERIAL]]</f>
        <v>GRANORTEUA SAO LUISPULMÃOZINHO</v>
      </c>
      <c r="O710" s="68" t="s">
        <v>164</v>
      </c>
    </row>
    <row r="711" spans="2:15" x14ac:dyDescent="0.25">
      <c r="B711" s="66">
        <v>45900</v>
      </c>
      <c r="C711" s="65">
        <v>1</v>
      </c>
      <c r="D711" s="63" t="s">
        <v>208</v>
      </c>
      <c r="E711" s="65" t="s">
        <v>209</v>
      </c>
      <c r="F711" s="65" t="s">
        <v>190</v>
      </c>
      <c r="G711" s="65" t="s">
        <v>212</v>
      </c>
      <c r="H711" s="63">
        <v>376</v>
      </c>
      <c r="I711" s="65" t="s">
        <v>165</v>
      </c>
      <c r="J711" s="63">
        <v>800</v>
      </c>
      <c r="K711" s="64">
        <v>9625.6</v>
      </c>
      <c r="L711" s="63" t="s">
        <v>1116</v>
      </c>
      <c r="M711" t="s">
        <v>1117</v>
      </c>
      <c r="N711" s="65" t="str">
        <f>queryCARRADAS_20250905_83647[[#This Row],[ORIGEM]]&amp;queryCARRADAS_20250905_83647[[#This Row],[DESTINO]]&amp;queryCARRADAS_20250905_83647[[#This Row],[MATERIAL]]</f>
        <v>SERVENGUSINA PINHEIROPÓ DE BRITA</v>
      </c>
      <c r="O711" s="68" t="s">
        <v>164</v>
      </c>
    </row>
    <row r="712" spans="2:15" x14ac:dyDescent="0.25">
      <c r="B712" s="66">
        <v>45900</v>
      </c>
      <c r="C712" s="65">
        <v>1</v>
      </c>
      <c r="D712" s="63" t="s">
        <v>200</v>
      </c>
      <c r="E712" s="65" t="s">
        <v>201</v>
      </c>
      <c r="F712" s="65" t="s">
        <v>191</v>
      </c>
      <c r="G712" s="65" t="s">
        <v>1118</v>
      </c>
      <c r="H712" s="63">
        <v>111</v>
      </c>
      <c r="I712" s="65" t="s">
        <v>165</v>
      </c>
      <c r="J712" s="63">
        <v>750</v>
      </c>
      <c r="K712" s="64">
        <v>3080.25</v>
      </c>
      <c r="L712" s="63" t="s">
        <v>1119</v>
      </c>
      <c r="M712" t="s">
        <v>1117</v>
      </c>
      <c r="N712" s="65" t="str">
        <f>queryCARRADAS_20250905_83647[[#This Row],[ORIGEM]]&amp;queryCARRADAS_20250905_83647[[#This Row],[DESTINO]]&amp;queryCARRADAS_20250905_83647[[#This Row],[MATERIAL]]</f>
        <v>OLINDA NOVA - MAPINHEIRO - MAPÓ DE BRITA</v>
      </c>
      <c r="O712" s="68" t="s">
        <v>164</v>
      </c>
    </row>
    <row r="713" spans="2:15" x14ac:dyDescent="0.25">
      <c r="B713" s="66">
        <v>45900</v>
      </c>
      <c r="C713" s="65">
        <v>1</v>
      </c>
      <c r="D713" s="63" t="s">
        <v>210</v>
      </c>
      <c r="E713" s="65" t="s">
        <v>1120</v>
      </c>
      <c r="F713" s="65" t="s">
        <v>191</v>
      </c>
      <c r="G713" s="65" t="s">
        <v>1118</v>
      </c>
      <c r="H713" s="63">
        <v>111</v>
      </c>
      <c r="I713" s="65" t="s">
        <v>165</v>
      </c>
      <c r="J713" s="63">
        <v>750</v>
      </c>
      <c r="K713" s="64">
        <v>3080.25</v>
      </c>
      <c r="L713" s="63" t="s">
        <v>1119</v>
      </c>
      <c r="M713" t="s">
        <v>1117</v>
      </c>
      <c r="N713" s="65" t="str">
        <f>queryCARRADAS_20250905_83647[[#This Row],[ORIGEM]]&amp;queryCARRADAS_20250905_83647[[#This Row],[DESTINO]]&amp;queryCARRADAS_20250905_83647[[#This Row],[MATERIAL]]</f>
        <v>OLINDA NOVA - MAPINHEIRO - MAPÓ DE BRITA</v>
      </c>
      <c r="O713" s="68" t="s">
        <v>164</v>
      </c>
    </row>
    <row r="714" spans="2:15" x14ac:dyDescent="0.25">
      <c r="B714" s="66">
        <v>45900</v>
      </c>
      <c r="C714" s="65">
        <v>1</v>
      </c>
      <c r="D714" s="63" t="s">
        <v>193</v>
      </c>
      <c r="E714" s="65" t="s">
        <v>194</v>
      </c>
      <c r="F714" s="65" t="s">
        <v>166</v>
      </c>
      <c r="G714" s="65" t="s">
        <v>364</v>
      </c>
      <c r="H714" s="63">
        <v>80</v>
      </c>
      <c r="I714" s="65" t="s">
        <v>172</v>
      </c>
      <c r="J714" s="63">
        <v>2838</v>
      </c>
      <c r="K714" s="64">
        <v>840.05</v>
      </c>
      <c r="L714" s="63" t="s">
        <v>1121</v>
      </c>
      <c r="M714" t="s">
        <v>1117</v>
      </c>
      <c r="N714" s="65" t="str">
        <f>queryCARRADAS_20250905_83647[[#This Row],[ORIGEM]]&amp;queryCARRADAS_20250905_83647[[#This Row],[DESTINO]]&amp;queryCARRADAS_20250905_83647[[#This Row],[MATERIAL]]</f>
        <v>GRANORTEARACAGY - SAO LUISBICA CORRIDA</v>
      </c>
      <c r="O714" s="68" t="s">
        <v>164</v>
      </c>
    </row>
    <row r="715" spans="2:15" x14ac:dyDescent="0.25">
      <c r="B715" s="66">
        <v>45900</v>
      </c>
      <c r="C715" s="65">
        <v>1</v>
      </c>
      <c r="D715" s="63" t="s">
        <v>208</v>
      </c>
      <c r="E715" s="65" t="s">
        <v>209</v>
      </c>
      <c r="F715" s="65" t="s">
        <v>191</v>
      </c>
      <c r="G715" s="65" t="s">
        <v>1118</v>
      </c>
      <c r="H715" s="63">
        <v>111</v>
      </c>
      <c r="I715" s="65" t="s">
        <v>165</v>
      </c>
      <c r="J715" s="63">
        <v>800</v>
      </c>
      <c r="K715" s="64">
        <v>3285.6</v>
      </c>
      <c r="L715" s="63" t="s">
        <v>1122</v>
      </c>
      <c r="M715" t="s">
        <v>1117</v>
      </c>
      <c r="N715" s="65" t="str">
        <f>queryCARRADAS_20250905_83647[[#This Row],[ORIGEM]]&amp;queryCARRADAS_20250905_83647[[#This Row],[DESTINO]]&amp;queryCARRADAS_20250905_83647[[#This Row],[MATERIAL]]</f>
        <v>OLINDA NOVA - MAPINHEIRO - MAPÓ DE BRITA</v>
      </c>
      <c r="O715" s="68" t="s">
        <v>164</v>
      </c>
    </row>
    <row r="716" spans="2:15" x14ac:dyDescent="0.25">
      <c r="B716" s="67"/>
      <c r="C716" s="63"/>
      <c r="D716" s="63"/>
      <c r="E716" s="68"/>
      <c r="F716" s="68"/>
      <c r="G716" s="68"/>
      <c r="H716" s="63"/>
      <c r="I716" s="63"/>
      <c r="J716" s="63"/>
      <c r="K716" s="69">
        <f>SUM(K4:K715)</f>
        <v>1308362.1000000008</v>
      </c>
      <c r="L716" s="63"/>
      <c r="M716"/>
      <c r="N716" s="70"/>
      <c r="O716" s="71"/>
    </row>
  </sheetData>
  <mergeCells count="1">
    <mergeCell ref="B2:O2"/>
  </mergeCells>
  <phoneticPr fontId="20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0A77-3493-4A03-AB68-633925F6DF54}">
  <dimension ref="B1:L518"/>
  <sheetViews>
    <sheetView showGridLines="0" workbookViewId="0">
      <pane ySplit="3" topLeftCell="A4" activePane="bottomLeft" state="frozen"/>
      <selection pane="bottomLeft" activeCell="B2" sqref="B2:L2"/>
    </sheetView>
  </sheetViews>
  <sheetFormatPr defaultRowHeight="15" x14ac:dyDescent="0.25"/>
  <cols>
    <col min="1" max="1" width="2.5703125" customWidth="1"/>
    <col min="2" max="2" width="26.42578125" customWidth="1"/>
    <col min="3" max="3" width="12.85546875" customWidth="1"/>
    <col min="4" max="4" width="13.5703125" bestFit="1" customWidth="1"/>
    <col min="5" max="5" width="22.42578125" bestFit="1" customWidth="1"/>
    <col min="6" max="6" width="20.28515625" bestFit="1" customWidth="1"/>
    <col min="7" max="7" width="15.28515625" customWidth="1"/>
    <col min="8" max="8" width="15.42578125" bestFit="1" customWidth="1"/>
    <col min="9" max="9" width="15.85546875" bestFit="1" customWidth="1"/>
    <col min="10" max="10" width="13.140625" bestFit="1" customWidth="1"/>
    <col min="11" max="11" width="14.140625" style="1" customWidth="1"/>
    <col min="12" max="12" width="17.28515625" bestFit="1" customWidth="1"/>
  </cols>
  <sheetData>
    <row r="1" spans="2:12" ht="9" customHeight="1" x14ac:dyDescent="0.25"/>
    <row r="2" spans="2:12" ht="21" x14ac:dyDescent="0.35">
      <c r="B2" s="174" t="s">
        <v>272</v>
      </c>
      <c r="C2" s="175"/>
      <c r="D2" s="175"/>
      <c r="E2" s="175"/>
      <c r="F2" s="175"/>
      <c r="G2" s="175"/>
      <c r="H2" s="175"/>
      <c r="I2" s="175"/>
      <c r="J2" s="175"/>
      <c r="K2" s="175"/>
      <c r="L2" s="176"/>
    </row>
    <row r="3" spans="2:12" x14ac:dyDescent="0.25">
      <c r="B3" s="57" t="s">
        <v>273</v>
      </c>
      <c r="C3" s="58" t="s">
        <v>1</v>
      </c>
      <c r="D3" s="58" t="s">
        <v>2</v>
      </c>
      <c r="E3" s="58" t="s">
        <v>3</v>
      </c>
      <c r="F3" s="58" t="s">
        <v>4</v>
      </c>
      <c r="G3" s="58" t="s">
        <v>5</v>
      </c>
      <c r="H3" s="58" t="s">
        <v>6</v>
      </c>
      <c r="I3" s="58" t="s">
        <v>7</v>
      </c>
      <c r="J3" s="58" t="s">
        <v>8</v>
      </c>
      <c r="K3" s="59" t="s">
        <v>9</v>
      </c>
      <c r="L3" s="60" t="s">
        <v>10</v>
      </c>
    </row>
    <row r="4" spans="2:12" x14ac:dyDescent="0.25">
      <c r="B4" s="49"/>
      <c r="C4" s="45"/>
      <c r="D4" s="50"/>
      <c r="E4" s="50"/>
      <c r="F4" s="50"/>
      <c r="G4" s="50"/>
      <c r="H4" s="46"/>
      <c r="I4" s="51"/>
      <c r="J4" s="52"/>
      <c r="K4" s="47"/>
      <c r="L4" s="54"/>
    </row>
    <row r="5" spans="2:12" x14ac:dyDescent="0.25">
      <c r="B5" s="49"/>
      <c r="C5" s="45"/>
      <c r="D5" s="50"/>
      <c r="E5" s="50"/>
      <c r="F5" s="50"/>
      <c r="G5" s="50"/>
      <c r="H5" s="46"/>
      <c r="I5" s="51"/>
      <c r="J5" s="52"/>
      <c r="K5" s="47"/>
      <c r="L5" s="54"/>
    </row>
    <row r="6" spans="2:12" x14ac:dyDescent="0.25">
      <c r="B6" s="49"/>
      <c r="C6" s="45"/>
      <c r="D6" s="50"/>
      <c r="E6" s="50"/>
      <c r="F6" s="50"/>
      <c r="G6" s="50"/>
      <c r="H6" s="46"/>
      <c r="I6" s="51"/>
      <c r="J6" s="52"/>
      <c r="K6" s="47"/>
      <c r="L6" s="54"/>
    </row>
    <row r="7" spans="2:12" x14ac:dyDescent="0.25">
      <c r="B7" s="49"/>
      <c r="C7" s="45"/>
      <c r="D7" s="50"/>
      <c r="E7" s="50"/>
      <c r="F7" s="50"/>
      <c r="G7" s="50"/>
      <c r="H7" s="46"/>
      <c r="I7" s="51"/>
      <c r="J7" s="52"/>
      <c r="K7" s="47"/>
      <c r="L7" s="54"/>
    </row>
    <row r="8" spans="2:12" x14ac:dyDescent="0.25">
      <c r="B8" s="49"/>
      <c r="C8" s="45"/>
      <c r="D8" s="50"/>
      <c r="E8" s="50"/>
      <c r="F8" s="50"/>
      <c r="G8" s="50"/>
      <c r="H8" s="46"/>
      <c r="I8" s="51"/>
      <c r="J8" s="52"/>
      <c r="K8" s="47"/>
      <c r="L8" s="54"/>
    </row>
    <row r="9" spans="2:12" x14ac:dyDescent="0.25">
      <c r="B9" s="49"/>
      <c r="C9" s="45"/>
      <c r="D9" s="50"/>
      <c r="E9" s="50"/>
      <c r="F9" s="50"/>
      <c r="G9" s="50"/>
      <c r="H9" s="46"/>
      <c r="I9" s="51"/>
      <c r="J9" s="52"/>
      <c r="K9" s="47"/>
      <c r="L9" s="56"/>
    </row>
    <row r="10" spans="2:12" x14ac:dyDescent="0.25">
      <c r="B10" s="49"/>
      <c r="C10" s="45"/>
      <c r="D10" s="50"/>
      <c r="E10" s="50"/>
      <c r="F10" s="50"/>
      <c r="G10" s="50"/>
      <c r="H10" s="46"/>
      <c r="I10" s="51"/>
      <c r="J10" s="52"/>
      <c r="K10" s="47"/>
      <c r="L10" s="54"/>
    </row>
    <row r="11" spans="2:12" x14ac:dyDescent="0.25">
      <c r="B11" s="49"/>
      <c r="C11" s="45"/>
      <c r="D11" s="50"/>
      <c r="E11" s="50"/>
      <c r="F11" s="50"/>
      <c r="G11" s="50"/>
      <c r="H11" s="46"/>
      <c r="I11" s="51"/>
      <c r="J11" s="52"/>
      <c r="K11" s="47"/>
      <c r="L11" s="54"/>
    </row>
    <row r="12" spans="2:12" x14ac:dyDescent="0.25">
      <c r="B12" s="49"/>
      <c r="C12" s="45"/>
      <c r="D12" s="50"/>
      <c r="E12" s="50"/>
      <c r="F12" s="50"/>
      <c r="G12" s="50"/>
      <c r="H12" s="46"/>
      <c r="I12" s="51"/>
      <c r="J12" s="52"/>
      <c r="K12" s="47"/>
      <c r="L12" s="54"/>
    </row>
    <row r="13" spans="2:12" x14ac:dyDescent="0.25">
      <c r="B13" s="49"/>
      <c r="C13" s="45"/>
      <c r="D13" s="50"/>
      <c r="E13" s="50"/>
      <c r="F13" s="50"/>
      <c r="G13" s="50"/>
      <c r="H13" s="46"/>
      <c r="I13" s="51"/>
      <c r="J13" s="52"/>
      <c r="K13" s="47"/>
      <c r="L13" s="54"/>
    </row>
    <row r="14" spans="2:12" x14ac:dyDescent="0.25">
      <c r="B14" s="49"/>
      <c r="C14" s="45"/>
      <c r="D14" s="50"/>
      <c r="E14" s="50"/>
      <c r="F14" s="50"/>
      <c r="G14" s="50"/>
      <c r="H14" s="46"/>
      <c r="I14" s="51"/>
      <c r="J14" s="52"/>
      <c r="K14" s="47"/>
      <c r="L14" s="54"/>
    </row>
    <row r="15" spans="2:12" x14ac:dyDescent="0.25">
      <c r="B15" s="49"/>
      <c r="C15" s="45"/>
      <c r="D15" s="50"/>
      <c r="E15" s="50"/>
      <c r="F15" s="50"/>
      <c r="G15" s="50"/>
      <c r="H15" s="46"/>
      <c r="I15" s="51"/>
      <c r="J15" s="52"/>
      <c r="K15" s="47"/>
      <c r="L15" s="54"/>
    </row>
    <row r="16" spans="2:12" x14ac:dyDescent="0.25">
      <c r="B16" s="49"/>
      <c r="C16" s="45"/>
      <c r="D16" s="50"/>
      <c r="E16" s="50"/>
      <c r="F16" s="50"/>
      <c r="G16" s="50"/>
      <c r="H16" s="46"/>
      <c r="I16" s="51"/>
      <c r="J16" s="52"/>
      <c r="K16" s="47"/>
      <c r="L16" s="54"/>
    </row>
    <row r="17" spans="2:12" x14ac:dyDescent="0.25">
      <c r="B17" s="49"/>
      <c r="C17" s="45"/>
      <c r="D17" s="50"/>
      <c r="E17" s="50"/>
      <c r="F17" s="50"/>
      <c r="G17" s="50"/>
      <c r="H17" s="46"/>
      <c r="I17" s="51"/>
      <c r="J17" s="52"/>
      <c r="K17" s="47"/>
      <c r="L17" s="54"/>
    </row>
    <row r="18" spans="2:12" x14ac:dyDescent="0.25">
      <c r="B18" s="49"/>
      <c r="C18" s="45"/>
      <c r="D18" s="50"/>
      <c r="E18" s="50"/>
      <c r="F18" s="50"/>
      <c r="G18" s="50"/>
      <c r="H18" s="46"/>
      <c r="I18" s="51"/>
      <c r="J18" s="52"/>
      <c r="K18" s="47"/>
      <c r="L18" s="54"/>
    </row>
    <row r="19" spans="2:12" x14ac:dyDescent="0.25">
      <c r="B19" s="49"/>
      <c r="C19" s="45"/>
      <c r="D19" s="50"/>
      <c r="E19" s="50"/>
      <c r="F19" s="50"/>
      <c r="G19" s="50"/>
      <c r="H19" s="46"/>
      <c r="I19" s="51"/>
      <c r="J19" s="52"/>
      <c r="K19" s="47"/>
      <c r="L19" s="54"/>
    </row>
    <row r="20" spans="2:12" x14ac:dyDescent="0.25">
      <c r="B20" s="49"/>
      <c r="C20" s="45"/>
      <c r="D20" s="50"/>
      <c r="E20" s="50"/>
      <c r="F20" s="50"/>
      <c r="G20" s="50"/>
      <c r="H20" s="46"/>
      <c r="I20" s="51"/>
      <c r="J20" s="52"/>
      <c r="K20" s="47"/>
      <c r="L20" s="54"/>
    </row>
    <row r="21" spans="2:12" x14ac:dyDescent="0.25">
      <c r="B21" s="49"/>
      <c r="C21" s="45"/>
      <c r="D21" s="50"/>
      <c r="E21" s="50"/>
      <c r="F21" s="50"/>
      <c r="G21" s="50"/>
      <c r="H21" s="46"/>
      <c r="I21" s="51"/>
      <c r="J21" s="52"/>
      <c r="K21" s="47"/>
      <c r="L21" s="54"/>
    </row>
    <row r="22" spans="2:12" x14ac:dyDescent="0.25">
      <c r="B22" s="49"/>
      <c r="C22" s="45"/>
      <c r="D22" s="50"/>
      <c r="E22" s="50"/>
      <c r="F22" s="50"/>
      <c r="G22" s="50"/>
      <c r="H22" s="46"/>
      <c r="I22" s="51"/>
      <c r="J22" s="52"/>
      <c r="K22" s="47"/>
      <c r="L22" s="54"/>
    </row>
    <row r="23" spans="2:12" x14ac:dyDescent="0.25">
      <c r="B23" s="49"/>
      <c r="C23" s="45"/>
      <c r="D23" s="50"/>
      <c r="E23" s="50"/>
      <c r="F23" s="50"/>
      <c r="G23" s="50"/>
      <c r="H23" s="46"/>
      <c r="I23" s="51"/>
      <c r="J23" s="52"/>
      <c r="K23" s="47"/>
      <c r="L23" s="54"/>
    </row>
    <row r="24" spans="2:12" x14ac:dyDescent="0.25">
      <c r="B24" s="49"/>
      <c r="C24" s="45"/>
      <c r="D24" s="50"/>
      <c r="E24" s="50"/>
      <c r="F24" s="50"/>
      <c r="G24" s="50"/>
      <c r="H24" s="46"/>
      <c r="I24" s="51"/>
      <c r="J24" s="52"/>
      <c r="K24" s="47"/>
      <c r="L24" s="54"/>
    </row>
    <row r="25" spans="2:12" x14ac:dyDescent="0.25">
      <c r="B25" s="49"/>
      <c r="C25" s="45"/>
      <c r="D25" s="50"/>
      <c r="E25" s="50"/>
      <c r="F25" s="50"/>
      <c r="G25" s="50"/>
      <c r="H25" s="46"/>
      <c r="I25" s="51"/>
      <c r="J25" s="52"/>
      <c r="K25" s="47"/>
      <c r="L25" s="54"/>
    </row>
    <row r="26" spans="2:12" x14ac:dyDescent="0.25">
      <c r="B26" s="49"/>
      <c r="C26" s="45"/>
      <c r="D26" s="50"/>
      <c r="E26" s="50"/>
      <c r="F26" s="50"/>
      <c r="G26" s="50"/>
      <c r="H26" s="46"/>
      <c r="I26" s="51"/>
      <c r="J26" s="52"/>
      <c r="K26" s="47"/>
      <c r="L26" s="54"/>
    </row>
    <row r="27" spans="2:12" x14ac:dyDescent="0.25">
      <c r="B27" s="49"/>
      <c r="C27" s="45"/>
      <c r="D27" s="50"/>
      <c r="E27" s="50"/>
      <c r="F27" s="50"/>
      <c r="G27" s="50"/>
      <c r="H27" s="46"/>
      <c r="I27" s="51"/>
      <c r="J27" s="52"/>
      <c r="K27" s="47"/>
      <c r="L27" s="54"/>
    </row>
    <row r="28" spans="2:12" x14ac:dyDescent="0.25">
      <c r="B28" s="49"/>
      <c r="C28" s="45"/>
      <c r="D28" s="50"/>
      <c r="E28" s="50"/>
      <c r="F28" s="50"/>
      <c r="G28" s="50"/>
      <c r="H28" s="46"/>
      <c r="I28" s="51"/>
      <c r="J28" s="52"/>
      <c r="K28" s="47"/>
      <c r="L28" s="54"/>
    </row>
    <row r="29" spans="2:12" x14ac:dyDescent="0.25">
      <c r="B29" s="49"/>
      <c r="C29" s="45"/>
      <c r="D29" s="50"/>
      <c r="E29" s="50"/>
      <c r="F29" s="50"/>
      <c r="G29" s="50"/>
      <c r="H29" s="46"/>
      <c r="I29" s="51"/>
      <c r="J29" s="52"/>
      <c r="K29" s="47"/>
      <c r="L29" s="54"/>
    </row>
    <row r="30" spans="2:12" x14ac:dyDescent="0.25">
      <c r="B30" s="49"/>
      <c r="C30" s="45"/>
      <c r="D30" s="50"/>
      <c r="E30" s="50"/>
      <c r="F30" s="50"/>
      <c r="G30" s="50"/>
      <c r="H30" s="46"/>
      <c r="I30" s="51"/>
      <c r="J30" s="52"/>
      <c r="K30" s="47"/>
      <c r="L30" s="54"/>
    </row>
    <row r="31" spans="2:12" x14ac:dyDescent="0.25">
      <c r="B31" s="49"/>
      <c r="C31" s="45"/>
      <c r="D31" s="50"/>
      <c r="E31" s="50"/>
      <c r="F31" s="50"/>
      <c r="G31" s="50"/>
      <c r="H31" s="46"/>
      <c r="I31" s="51"/>
      <c r="J31" s="52"/>
      <c r="K31" s="47"/>
      <c r="L31" s="54"/>
    </row>
    <row r="32" spans="2:12" x14ac:dyDescent="0.25">
      <c r="B32" s="49"/>
      <c r="C32" s="45"/>
      <c r="D32" s="50"/>
      <c r="E32" s="50"/>
      <c r="F32" s="50"/>
      <c r="G32" s="50"/>
      <c r="H32" s="46"/>
      <c r="I32" s="51"/>
      <c r="J32" s="52"/>
      <c r="K32" s="47"/>
      <c r="L32" s="54"/>
    </row>
    <row r="33" spans="2:12" x14ac:dyDescent="0.25">
      <c r="B33" s="49"/>
      <c r="C33" s="45"/>
      <c r="D33" s="50"/>
      <c r="E33" s="50"/>
      <c r="F33" s="50"/>
      <c r="G33" s="50"/>
      <c r="H33" s="46"/>
      <c r="I33" s="51"/>
      <c r="J33" s="52"/>
      <c r="K33" s="47"/>
      <c r="L33" s="54"/>
    </row>
    <row r="34" spans="2:12" x14ac:dyDescent="0.25">
      <c r="B34" s="49"/>
      <c r="C34" s="45"/>
      <c r="D34" s="50"/>
      <c r="E34" s="50"/>
      <c r="F34" s="50"/>
      <c r="G34" s="50"/>
      <c r="H34" s="46"/>
      <c r="I34" s="51"/>
      <c r="J34" s="52"/>
      <c r="K34" s="47"/>
      <c r="L34" s="54"/>
    </row>
    <row r="35" spans="2:12" x14ac:dyDescent="0.25">
      <c r="B35" s="49"/>
      <c r="C35" s="45"/>
      <c r="D35" s="50"/>
      <c r="E35" s="50"/>
      <c r="F35" s="50"/>
      <c r="G35" s="50"/>
      <c r="H35" s="46"/>
      <c r="I35" s="51"/>
      <c r="J35" s="52"/>
      <c r="K35" s="47"/>
      <c r="L35" s="54"/>
    </row>
    <row r="36" spans="2:12" x14ac:dyDescent="0.25">
      <c r="B36" s="49"/>
      <c r="C36" s="45"/>
      <c r="D36" s="50"/>
      <c r="E36" s="50"/>
      <c r="F36" s="50"/>
      <c r="G36" s="50"/>
      <c r="H36" s="46"/>
      <c r="I36" s="51"/>
      <c r="J36" s="52"/>
      <c r="K36" s="47"/>
      <c r="L36" s="54"/>
    </row>
    <row r="37" spans="2:12" x14ac:dyDescent="0.25">
      <c r="B37" s="49"/>
      <c r="C37" s="45"/>
      <c r="D37" s="50"/>
      <c r="E37" s="50"/>
      <c r="F37" s="50"/>
      <c r="G37" s="50"/>
      <c r="H37" s="46"/>
      <c r="I37" s="51"/>
      <c r="J37" s="52"/>
      <c r="K37" s="47"/>
      <c r="L37" s="54"/>
    </row>
    <row r="38" spans="2:12" x14ac:dyDescent="0.25">
      <c r="B38" s="49"/>
      <c r="C38" s="45"/>
      <c r="D38" s="50"/>
      <c r="E38" s="50"/>
      <c r="F38" s="50"/>
      <c r="G38" s="50"/>
      <c r="H38" s="46"/>
      <c r="I38" s="51"/>
      <c r="J38" s="52"/>
      <c r="K38" s="47"/>
      <c r="L38" s="54"/>
    </row>
    <row r="39" spans="2:12" x14ac:dyDescent="0.25">
      <c r="B39" s="49"/>
      <c r="C39" s="45"/>
      <c r="D39" s="50"/>
      <c r="E39" s="50"/>
      <c r="F39" s="50"/>
      <c r="G39" s="50"/>
      <c r="H39" s="46"/>
      <c r="I39" s="51"/>
      <c r="J39" s="52"/>
      <c r="K39" s="47"/>
      <c r="L39" s="54"/>
    </row>
    <row r="40" spans="2:12" x14ac:dyDescent="0.25">
      <c r="B40" s="49"/>
      <c r="C40" s="45"/>
      <c r="D40" s="50"/>
      <c r="E40" s="50"/>
      <c r="F40" s="50"/>
      <c r="G40" s="50"/>
      <c r="H40" s="46"/>
      <c r="I40" s="51"/>
      <c r="J40" s="52"/>
      <c r="K40" s="47"/>
      <c r="L40" s="54"/>
    </row>
    <row r="41" spans="2:12" x14ac:dyDescent="0.25">
      <c r="B41" s="49"/>
      <c r="C41" s="45"/>
      <c r="D41" s="50"/>
      <c r="E41" s="50"/>
      <c r="F41" s="50"/>
      <c r="G41" s="50"/>
      <c r="H41" s="46"/>
      <c r="I41" s="51"/>
      <c r="J41" s="52"/>
      <c r="K41" s="47"/>
      <c r="L41" s="54"/>
    </row>
    <row r="42" spans="2:12" x14ac:dyDescent="0.25">
      <c r="B42" s="49"/>
      <c r="C42" s="45"/>
      <c r="D42" s="50"/>
      <c r="E42" s="50"/>
      <c r="F42" s="50"/>
      <c r="G42" s="50"/>
      <c r="H42" s="46"/>
      <c r="I42" s="51"/>
      <c r="J42" s="52"/>
      <c r="K42" s="47"/>
      <c r="L42" s="54"/>
    </row>
    <row r="43" spans="2:12" x14ac:dyDescent="0.25">
      <c r="B43" s="49"/>
      <c r="C43" s="45"/>
      <c r="D43" s="50"/>
      <c r="E43" s="50"/>
      <c r="F43" s="50"/>
      <c r="G43" s="50"/>
      <c r="H43" s="46"/>
      <c r="I43" s="51"/>
      <c r="J43" s="52"/>
      <c r="K43" s="47"/>
      <c r="L43" s="54"/>
    </row>
    <row r="44" spans="2:12" x14ac:dyDescent="0.25">
      <c r="B44" s="49"/>
      <c r="C44" s="45"/>
      <c r="D44" s="50"/>
      <c r="E44" s="50"/>
      <c r="F44" s="50"/>
      <c r="G44" s="50"/>
      <c r="H44" s="46"/>
      <c r="I44" s="51"/>
      <c r="J44" s="52"/>
      <c r="K44" s="47"/>
      <c r="L44" s="54"/>
    </row>
    <row r="45" spans="2:12" x14ac:dyDescent="0.25">
      <c r="B45" s="49"/>
      <c r="C45" s="45"/>
      <c r="D45" s="51"/>
      <c r="E45" s="51"/>
      <c r="F45" s="51"/>
      <c r="G45" s="51"/>
      <c r="H45" s="46"/>
      <c r="I45" s="51"/>
      <c r="J45" s="53"/>
      <c r="K45" s="47"/>
      <c r="L45" s="55"/>
    </row>
    <row r="46" spans="2:12" x14ac:dyDescent="0.25">
      <c r="B46" s="49"/>
      <c r="C46" s="45"/>
      <c r="D46" s="50"/>
      <c r="E46" s="50"/>
      <c r="F46" s="50"/>
      <c r="G46" s="50"/>
      <c r="H46" s="46"/>
      <c r="I46" s="51"/>
      <c r="J46" s="52"/>
      <c r="K46" s="47"/>
      <c r="L46" s="54"/>
    </row>
    <row r="47" spans="2:12" x14ac:dyDescent="0.25">
      <c r="B47" s="49"/>
      <c r="C47" s="45"/>
      <c r="D47" s="50"/>
      <c r="E47" s="50"/>
      <c r="F47" s="50"/>
      <c r="G47" s="50"/>
      <c r="H47" s="46"/>
      <c r="I47" s="51"/>
      <c r="J47" s="52"/>
      <c r="K47" s="47"/>
      <c r="L47" s="54"/>
    </row>
    <row r="48" spans="2:12" x14ac:dyDescent="0.25">
      <c r="B48" s="49"/>
      <c r="C48" s="45"/>
      <c r="D48" s="50"/>
      <c r="E48" s="50"/>
      <c r="F48" s="50"/>
      <c r="G48" s="50"/>
      <c r="H48" s="46"/>
      <c r="I48" s="51"/>
      <c r="J48" s="52"/>
      <c r="K48" s="47"/>
      <c r="L48" s="54"/>
    </row>
    <row r="49" spans="2:12" x14ac:dyDescent="0.25">
      <c r="B49" s="49"/>
      <c r="C49" s="45"/>
      <c r="D49" s="50"/>
      <c r="E49" s="50"/>
      <c r="F49" s="50"/>
      <c r="G49" s="50"/>
      <c r="H49" s="46"/>
      <c r="I49" s="51"/>
      <c r="J49" s="52"/>
      <c r="K49" s="47"/>
      <c r="L49" s="54"/>
    </row>
    <row r="50" spans="2:12" x14ac:dyDescent="0.25">
      <c r="B50" s="49"/>
      <c r="C50" s="45"/>
      <c r="D50" s="50"/>
      <c r="E50" s="50"/>
      <c r="F50" s="50"/>
      <c r="G50" s="50"/>
      <c r="H50" s="46"/>
      <c r="I50" s="51"/>
      <c r="J50" s="52"/>
      <c r="K50" s="47"/>
      <c r="L50" s="54"/>
    </row>
    <row r="51" spans="2:12" x14ac:dyDescent="0.25">
      <c r="B51" s="49"/>
      <c r="C51" s="45"/>
      <c r="D51" s="50"/>
      <c r="E51" s="50"/>
      <c r="F51" s="50"/>
      <c r="G51" s="50"/>
      <c r="H51" s="46"/>
      <c r="I51" s="51"/>
      <c r="J51" s="52"/>
      <c r="K51" s="47"/>
      <c r="L51" s="54"/>
    </row>
    <row r="52" spans="2:12" x14ac:dyDescent="0.25">
      <c r="B52" s="49"/>
      <c r="C52" s="45"/>
      <c r="D52" s="50"/>
      <c r="E52" s="50"/>
      <c r="F52" s="50"/>
      <c r="G52" s="50"/>
      <c r="H52" s="46"/>
      <c r="I52" s="51"/>
      <c r="J52" s="52"/>
      <c r="K52" s="47"/>
      <c r="L52" s="54"/>
    </row>
    <row r="53" spans="2:12" x14ac:dyDescent="0.25">
      <c r="B53" s="49"/>
      <c r="C53" s="45"/>
      <c r="D53" s="50"/>
      <c r="E53" s="50"/>
      <c r="F53" s="50"/>
      <c r="G53" s="50"/>
      <c r="H53" s="46"/>
      <c r="I53" s="51"/>
      <c r="J53" s="52"/>
      <c r="K53" s="47"/>
      <c r="L53" s="54"/>
    </row>
    <row r="54" spans="2:12" x14ac:dyDescent="0.25">
      <c r="B54" s="49"/>
      <c r="C54" s="45"/>
      <c r="D54" s="50"/>
      <c r="E54" s="50"/>
      <c r="F54" s="50"/>
      <c r="G54" s="50"/>
      <c r="H54" s="46"/>
      <c r="I54" s="51"/>
      <c r="J54" s="52"/>
      <c r="K54" s="47"/>
      <c r="L54" s="54"/>
    </row>
    <row r="55" spans="2:12" x14ac:dyDescent="0.25">
      <c r="B55" s="49"/>
      <c r="C55" s="45"/>
      <c r="D55" s="50"/>
      <c r="E55" s="50"/>
      <c r="F55" s="50"/>
      <c r="G55" s="50"/>
      <c r="H55" s="46"/>
      <c r="I55" s="51"/>
      <c r="J55" s="52"/>
      <c r="K55" s="47"/>
      <c r="L55" s="54"/>
    </row>
    <row r="56" spans="2:12" x14ac:dyDescent="0.25">
      <c r="B56" s="49"/>
      <c r="C56" s="45"/>
      <c r="D56" s="50"/>
      <c r="E56" s="50"/>
      <c r="F56" s="50"/>
      <c r="G56" s="50"/>
      <c r="H56" s="46"/>
      <c r="I56" s="51"/>
      <c r="J56" s="52"/>
      <c r="K56" s="47"/>
      <c r="L56" s="54"/>
    </row>
    <row r="57" spans="2:12" x14ac:dyDescent="0.25">
      <c r="B57" s="49"/>
      <c r="C57" s="45"/>
      <c r="D57" s="50"/>
      <c r="E57" s="50"/>
      <c r="F57" s="50"/>
      <c r="G57" s="50"/>
      <c r="H57" s="46"/>
      <c r="I57" s="51"/>
      <c r="J57" s="52"/>
      <c r="K57" s="47"/>
      <c r="L57" s="54"/>
    </row>
    <row r="58" spans="2:12" x14ac:dyDescent="0.25">
      <c r="B58" s="49"/>
      <c r="C58" s="45"/>
      <c r="D58" s="50"/>
      <c r="E58" s="50"/>
      <c r="F58" s="50"/>
      <c r="G58" s="50"/>
      <c r="H58" s="46"/>
      <c r="I58" s="51"/>
      <c r="J58" s="52"/>
      <c r="K58" s="47"/>
      <c r="L58" s="54"/>
    </row>
    <row r="59" spans="2:12" x14ac:dyDescent="0.25">
      <c r="B59" s="49"/>
      <c r="C59" s="45"/>
      <c r="D59" s="50"/>
      <c r="E59" s="50"/>
      <c r="F59" s="50"/>
      <c r="G59" s="50"/>
      <c r="H59" s="46"/>
      <c r="I59" s="51"/>
      <c r="J59" s="52"/>
      <c r="K59" s="47"/>
      <c r="L59" s="54"/>
    </row>
    <row r="60" spans="2:12" x14ac:dyDescent="0.25">
      <c r="B60" s="49"/>
      <c r="C60" s="45"/>
      <c r="D60" s="50"/>
      <c r="E60" s="50"/>
      <c r="F60" s="50"/>
      <c r="G60" s="50"/>
      <c r="H60" s="46"/>
      <c r="I60" s="51"/>
      <c r="J60" s="52"/>
      <c r="K60" s="47"/>
      <c r="L60" s="54"/>
    </row>
    <row r="61" spans="2:12" x14ac:dyDescent="0.25">
      <c r="B61" s="49"/>
      <c r="C61" s="45"/>
      <c r="D61" s="50"/>
      <c r="E61" s="50"/>
      <c r="F61" s="50"/>
      <c r="G61" s="50"/>
      <c r="H61" s="46"/>
      <c r="I61" s="51"/>
      <c r="J61" s="52"/>
      <c r="K61" s="47"/>
      <c r="L61" s="54"/>
    </row>
    <row r="62" spans="2:12" x14ac:dyDescent="0.25">
      <c r="B62" s="49"/>
      <c r="C62" s="45"/>
      <c r="D62" s="50"/>
      <c r="E62" s="50"/>
      <c r="F62" s="50"/>
      <c r="G62" s="50"/>
      <c r="H62" s="46"/>
      <c r="I62" s="51"/>
      <c r="J62" s="52"/>
      <c r="K62" s="47"/>
      <c r="L62" s="54"/>
    </row>
    <row r="63" spans="2:12" x14ac:dyDescent="0.25">
      <c r="B63" s="49"/>
      <c r="C63" s="45"/>
      <c r="D63" s="50"/>
      <c r="E63" s="50"/>
      <c r="F63" s="50"/>
      <c r="G63" s="50"/>
      <c r="H63" s="46"/>
      <c r="I63" s="51"/>
      <c r="J63" s="52"/>
      <c r="K63" s="47"/>
      <c r="L63" s="54"/>
    </row>
    <row r="64" spans="2:12" x14ac:dyDescent="0.25">
      <c r="B64" s="49"/>
      <c r="C64" s="45"/>
      <c r="D64" s="50"/>
      <c r="E64" s="50"/>
      <c r="F64" s="50"/>
      <c r="G64" s="50"/>
      <c r="H64" s="46"/>
      <c r="I64" s="51"/>
      <c r="J64" s="52"/>
      <c r="K64" s="47"/>
      <c r="L64" s="54"/>
    </row>
    <row r="65" spans="2:12" x14ac:dyDescent="0.25">
      <c r="B65" s="49"/>
      <c r="C65" s="45"/>
      <c r="D65" s="50"/>
      <c r="E65" s="50"/>
      <c r="F65" s="50"/>
      <c r="G65" s="50"/>
      <c r="H65" s="46"/>
      <c r="I65" s="51"/>
      <c r="J65" s="52"/>
      <c r="K65" s="47"/>
      <c r="L65" s="54"/>
    </row>
    <row r="66" spans="2:12" x14ac:dyDescent="0.25">
      <c r="B66" s="49"/>
      <c r="C66" s="45"/>
      <c r="D66" s="50"/>
      <c r="E66" s="50"/>
      <c r="F66" s="50"/>
      <c r="G66" s="50"/>
      <c r="H66" s="46"/>
      <c r="I66" s="51"/>
      <c r="J66" s="52"/>
      <c r="K66" s="47"/>
      <c r="L66" s="54"/>
    </row>
    <row r="67" spans="2:12" x14ac:dyDescent="0.25">
      <c r="B67" s="49"/>
      <c r="C67" s="45"/>
      <c r="D67" s="50"/>
      <c r="E67" s="50"/>
      <c r="F67" s="50"/>
      <c r="G67" s="50"/>
      <c r="H67" s="46"/>
      <c r="I67" s="51"/>
      <c r="J67" s="52"/>
      <c r="K67" s="47"/>
      <c r="L67" s="54"/>
    </row>
    <row r="68" spans="2:12" x14ac:dyDescent="0.25">
      <c r="B68" s="49"/>
      <c r="C68" s="45"/>
      <c r="D68" s="50"/>
      <c r="E68" s="50"/>
      <c r="F68" s="50"/>
      <c r="G68" s="50"/>
      <c r="H68" s="46"/>
      <c r="I68" s="51"/>
      <c r="J68" s="52"/>
      <c r="K68" s="47"/>
      <c r="L68" s="54"/>
    </row>
    <row r="69" spans="2:12" x14ac:dyDescent="0.25">
      <c r="B69" s="49"/>
      <c r="C69" s="45"/>
      <c r="D69" s="50"/>
      <c r="E69" s="50"/>
      <c r="F69" s="50"/>
      <c r="G69" s="50"/>
      <c r="H69" s="46"/>
      <c r="I69" s="51"/>
      <c r="J69" s="52"/>
      <c r="K69" s="47"/>
      <c r="L69" s="54"/>
    </row>
    <row r="70" spans="2:12" x14ac:dyDescent="0.25">
      <c r="B70" s="49"/>
      <c r="C70" s="45"/>
      <c r="D70" s="50"/>
      <c r="E70" s="50"/>
      <c r="F70" s="50"/>
      <c r="G70" s="50"/>
      <c r="H70" s="46"/>
      <c r="I70" s="51"/>
      <c r="J70" s="52"/>
      <c r="K70" s="47"/>
      <c r="L70" s="54"/>
    </row>
    <row r="71" spans="2:12" x14ac:dyDescent="0.25">
      <c r="B71" s="49"/>
      <c r="C71" s="45"/>
      <c r="D71" s="50"/>
      <c r="E71" s="50"/>
      <c r="F71" s="50"/>
      <c r="G71" s="50"/>
      <c r="H71" s="46"/>
      <c r="I71" s="51"/>
      <c r="J71" s="52"/>
      <c r="K71" s="47"/>
      <c r="L71" s="54"/>
    </row>
    <row r="72" spans="2:12" x14ac:dyDescent="0.25">
      <c r="B72" s="49"/>
      <c r="C72" s="45"/>
      <c r="D72" s="50"/>
      <c r="E72" s="50"/>
      <c r="F72" s="50"/>
      <c r="G72" s="50"/>
      <c r="H72" s="46"/>
      <c r="I72" s="51"/>
      <c r="J72" s="52"/>
      <c r="K72" s="47"/>
      <c r="L72" s="54"/>
    </row>
    <row r="73" spans="2:12" x14ac:dyDescent="0.25">
      <c r="B73" s="49"/>
      <c r="C73" s="45"/>
      <c r="D73" s="50"/>
      <c r="E73" s="50"/>
      <c r="F73" s="50"/>
      <c r="G73" s="50"/>
      <c r="H73" s="46"/>
      <c r="I73" s="51"/>
      <c r="J73" s="52"/>
      <c r="K73" s="47"/>
      <c r="L73" s="54"/>
    </row>
    <row r="74" spans="2:12" x14ac:dyDescent="0.25">
      <c r="B74" s="49"/>
      <c r="C74" s="45"/>
      <c r="D74" s="50"/>
      <c r="E74" s="50"/>
      <c r="F74" s="50"/>
      <c r="G74" s="50"/>
      <c r="H74" s="46"/>
      <c r="I74" s="51"/>
      <c r="J74" s="52"/>
      <c r="K74" s="47"/>
      <c r="L74" s="54"/>
    </row>
    <row r="75" spans="2:12" x14ac:dyDescent="0.25">
      <c r="B75" s="49"/>
      <c r="C75" s="45"/>
      <c r="D75" s="50"/>
      <c r="E75" s="50"/>
      <c r="F75" s="50"/>
      <c r="G75" s="50"/>
      <c r="H75" s="46"/>
      <c r="I75" s="51"/>
      <c r="J75" s="52"/>
      <c r="K75" s="47"/>
      <c r="L75" s="54"/>
    </row>
    <row r="76" spans="2:12" x14ac:dyDescent="0.25">
      <c r="B76" s="49"/>
      <c r="C76" s="45"/>
      <c r="D76" s="50"/>
      <c r="E76" s="50"/>
      <c r="F76" s="50"/>
      <c r="G76" s="50"/>
      <c r="H76" s="46"/>
      <c r="I76" s="51"/>
      <c r="J76" s="52"/>
      <c r="K76" s="47"/>
      <c r="L76" s="54"/>
    </row>
    <row r="77" spans="2:12" x14ac:dyDescent="0.25">
      <c r="B77" s="49"/>
      <c r="C77" s="45"/>
      <c r="D77" s="50"/>
      <c r="E77" s="50"/>
      <c r="F77" s="50"/>
      <c r="G77" s="50"/>
      <c r="H77" s="46"/>
      <c r="I77" s="51"/>
      <c r="J77" s="52"/>
      <c r="K77" s="47"/>
      <c r="L77" s="54"/>
    </row>
    <row r="78" spans="2:12" x14ac:dyDescent="0.25">
      <c r="B78" s="49"/>
      <c r="C78" s="45"/>
      <c r="D78" s="50"/>
      <c r="E78" s="50"/>
      <c r="F78" s="50"/>
      <c r="G78" s="50"/>
      <c r="H78" s="46"/>
      <c r="I78" s="51"/>
      <c r="J78" s="52"/>
      <c r="K78" s="47"/>
      <c r="L78" s="54"/>
    </row>
    <row r="79" spans="2:12" x14ac:dyDescent="0.25">
      <c r="B79" s="49"/>
      <c r="C79" s="45"/>
      <c r="D79" s="50"/>
      <c r="E79" s="50"/>
      <c r="F79" s="50"/>
      <c r="G79" s="50"/>
      <c r="H79" s="46"/>
      <c r="I79" s="51"/>
      <c r="J79" s="52"/>
      <c r="K79" s="47"/>
      <c r="L79" s="54"/>
    </row>
    <row r="80" spans="2:12" x14ac:dyDescent="0.25">
      <c r="B80" s="49"/>
      <c r="C80" s="45"/>
      <c r="D80" s="50"/>
      <c r="E80" s="50"/>
      <c r="F80" s="50"/>
      <c r="G80" s="50"/>
      <c r="H80" s="46"/>
      <c r="I80" s="51"/>
      <c r="J80" s="52"/>
      <c r="K80" s="47"/>
      <c r="L80" s="54"/>
    </row>
    <row r="81" spans="2:12" x14ac:dyDescent="0.25">
      <c r="B81" s="49"/>
      <c r="C81" s="45"/>
      <c r="D81" s="50"/>
      <c r="E81" s="50"/>
      <c r="F81" s="50"/>
      <c r="G81" s="50"/>
      <c r="H81" s="46"/>
      <c r="I81" s="51"/>
      <c r="J81" s="52"/>
      <c r="K81" s="47"/>
      <c r="L81" s="54"/>
    </row>
    <row r="82" spans="2:12" x14ac:dyDescent="0.25">
      <c r="B82" s="49"/>
      <c r="C82" s="45"/>
      <c r="D82" s="50"/>
      <c r="E82" s="50"/>
      <c r="F82" s="50"/>
      <c r="G82" s="50"/>
      <c r="H82" s="46"/>
      <c r="I82" s="51"/>
      <c r="J82" s="52"/>
      <c r="K82" s="47"/>
      <c r="L82" s="54"/>
    </row>
    <row r="83" spans="2:12" x14ac:dyDescent="0.25">
      <c r="B83" s="49"/>
      <c r="C83" s="45"/>
      <c r="D83" s="50"/>
      <c r="E83" s="50"/>
      <c r="F83" s="50"/>
      <c r="G83" s="50"/>
      <c r="H83" s="46"/>
      <c r="I83" s="51"/>
      <c r="J83" s="52"/>
      <c r="K83" s="47"/>
      <c r="L83" s="54"/>
    </row>
    <row r="84" spans="2:12" x14ac:dyDescent="0.25">
      <c r="B84" s="49"/>
      <c r="C84" s="45"/>
      <c r="D84" s="50"/>
      <c r="E84" s="50"/>
      <c r="F84" s="50"/>
      <c r="G84" s="50"/>
      <c r="H84" s="46"/>
      <c r="I84" s="51"/>
      <c r="J84" s="52"/>
      <c r="K84" s="47"/>
      <c r="L84" s="54"/>
    </row>
    <row r="85" spans="2:12" x14ac:dyDescent="0.25">
      <c r="B85" s="49"/>
      <c r="C85" s="45"/>
      <c r="D85" s="50"/>
      <c r="E85" s="50"/>
      <c r="F85" s="50"/>
      <c r="G85" s="50"/>
      <c r="H85" s="46"/>
      <c r="I85" s="51"/>
      <c r="J85" s="52"/>
      <c r="K85" s="47"/>
      <c r="L85" s="54"/>
    </row>
    <row r="86" spans="2:12" x14ac:dyDescent="0.25">
      <c r="B86" s="49"/>
      <c r="C86" s="45"/>
      <c r="D86" s="50"/>
      <c r="E86" s="50"/>
      <c r="F86" s="50"/>
      <c r="G86" s="50"/>
      <c r="H86" s="46"/>
      <c r="I86" s="51"/>
      <c r="J86" s="52"/>
      <c r="K86" s="47"/>
      <c r="L86" s="54"/>
    </row>
    <row r="87" spans="2:12" x14ac:dyDescent="0.25">
      <c r="B87" s="49"/>
      <c r="C87" s="45"/>
      <c r="D87" s="50"/>
      <c r="E87" s="50"/>
      <c r="F87" s="50"/>
      <c r="G87" s="50"/>
      <c r="H87" s="46"/>
      <c r="I87" s="51"/>
      <c r="J87" s="52"/>
      <c r="K87" s="47"/>
      <c r="L87" s="54"/>
    </row>
    <row r="88" spans="2:12" x14ac:dyDescent="0.25">
      <c r="B88" s="49"/>
      <c r="C88" s="45"/>
      <c r="D88" s="50"/>
      <c r="E88" s="50"/>
      <c r="F88" s="50"/>
      <c r="G88" s="50"/>
      <c r="H88" s="46"/>
      <c r="I88" s="51"/>
      <c r="J88" s="52"/>
      <c r="K88" s="47"/>
      <c r="L88" s="54"/>
    </row>
    <row r="89" spans="2:12" x14ac:dyDescent="0.25">
      <c r="B89" s="49"/>
      <c r="C89" s="45"/>
      <c r="D89" s="50"/>
      <c r="E89" s="50"/>
      <c r="F89" s="50"/>
      <c r="G89" s="50"/>
      <c r="H89" s="46"/>
      <c r="I89" s="51"/>
      <c r="J89" s="52"/>
      <c r="K89" s="47"/>
      <c r="L89" s="54"/>
    </row>
    <row r="90" spans="2:12" x14ac:dyDescent="0.25">
      <c r="B90" s="49"/>
      <c r="C90" s="45"/>
      <c r="D90" s="50"/>
      <c r="E90" s="50"/>
      <c r="F90" s="50"/>
      <c r="G90" s="50"/>
      <c r="H90" s="46"/>
      <c r="I90" s="51"/>
      <c r="J90" s="52"/>
      <c r="K90" s="47"/>
      <c r="L90" s="54"/>
    </row>
    <row r="91" spans="2:12" x14ac:dyDescent="0.25">
      <c r="B91" s="49"/>
      <c r="C91" s="45"/>
      <c r="D91" s="50"/>
      <c r="E91" s="50"/>
      <c r="F91" s="50"/>
      <c r="G91" s="50"/>
      <c r="H91" s="46"/>
      <c r="I91" s="51"/>
      <c r="J91" s="52"/>
      <c r="K91" s="47"/>
      <c r="L91" s="54"/>
    </row>
    <row r="92" spans="2:12" x14ac:dyDescent="0.25">
      <c r="B92" s="49"/>
      <c r="C92" s="45"/>
      <c r="D92" s="50"/>
      <c r="E92" s="50"/>
      <c r="F92" s="50"/>
      <c r="G92" s="50"/>
      <c r="H92" s="46"/>
      <c r="I92" s="51"/>
      <c r="J92" s="52"/>
      <c r="K92" s="47"/>
      <c r="L92" s="54"/>
    </row>
    <row r="93" spans="2:12" x14ac:dyDescent="0.25">
      <c r="B93" s="49"/>
      <c r="C93" s="45"/>
      <c r="D93" s="50"/>
      <c r="E93" s="50"/>
      <c r="F93" s="50"/>
      <c r="G93" s="50"/>
      <c r="H93" s="46"/>
      <c r="I93" s="51"/>
      <c r="J93" s="52"/>
      <c r="K93" s="47"/>
      <c r="L93" s="54"/>
    </row>
    <row r="94" spans="2:12" x14ac:dyDescent="0.25">
      <c r="B94" s="49"/>
      <c r="C94" s="45"/>
      <c r="D94" s="50"/>
      <c r="E94" s="50"/>
      <c r="F94" s="50"/>
      <c r="G94" s="50"/>
      <c r="H94" s="46"/>
      <c r="I94" s="51"/>
      <c r="J94" s="52"/>
      <c r="K94" s="47"/>
      <c r="L94" s="54"/>
    </row>
    <row r="95" spans="2:12" x14ac:dyDescent="0.25">
      <c r="B95" s="49"/>
      <c r="C95" s="45"/>
      <c r="D95" s="50"/>
      <c r="E95" s="50"/>
      <c r="F95" s="50"/>
      <c r="G95" s="50"/>
      <c r="H95" s="46"/>
      <c r="I95" s="51"/>
      <c r="J95" s="52"/>
      <c r="K95" s="47"/>
      <c r="L95" s="54"/>
    </row>
    <row r="96" spans="2:12" x14ac:dyDescent="0.25">
      <c r="B96" s="49"/>
      <c r="C96" s="45"/>
      <c r="D96" s="50"/>
      <c r="E96" s="50"/>
      <c r="F96" s="50"/>
      <c r="G96" s="50"/>
      <c r="H96" s="46"/>
      <c r="I96" s="51"/>
      <c r="J96" s="52"/>
      <c r="K96" s="47"/>
      <c r="L96" s="54"/>
    </row>
    <row r="97" spans="2:12" x14ac:dyDescent="0.25">
      <c r="B97" s="49"/>
      <c r="C97" s="45"/>
      <c r="D97" s="50"/>
      <c r="E97" s="50"/>
      <c r="F97" s="50"/>
      <c r="G97" s="50"/>
      <c r="H97" s="46"/>
      <c r="I97" s="51"/>
      <c r="J97" s="52"/>
      <c r="K97" s="47"/>
      <c r="L97" s="54"/>
    </row>
    <row r="98" spans="2:12" x14ac:dyDescent="0.25">
      <c r="B98" s="49"/>
      <c r="C98" s="45"/>
      <c r="D98" s="50"/>
      <c r="E98" s="50"/>
      <c r="F98" s="50"/>
      <c r="G98" s="50"/>
      <c r="H98" s="46"/>
      <c r="I98" s="51"/>
      <c r="J98" s="52"/>
      <c r="K98" s="47"/>
      <c r="L98" s="54"/>
    </row>
    <row r="99" spans="2:12" x14ac:dyDescent="0.25">
      <c r="B99" s="49"/>
      <c r="C99" s="45"/>
      <c r="D99" s="50"/>
      <c r="E99" s="50"/>
      <c r="F99" s="50"/>
      <c r="G99" s="50"/>
      <c r="H99" s="46"/>
      <c r="I99" s="51"/>
      <c r="J99" s="52"/>
      <c r="K99" s="47"/>
      <c r="L99" s="54"/>
    </row>
    <row r="100" spans="2:12" x14ac:dyDescent="0.25">
      <c r="B100" s="49"/>
      <c r="C100" s="45"/>
      <c r="D100" s="50"/>
      <c r="E100" s="50"/>
      <c r="F100" s="50"/>
      <c r="G100" s="50"/>
      <c r="H100" s="46"/>
      <c r="I100" s="51"/>
      <c r="J100" s="52"/>
      <c r="K100" s="47"/>
      <c r="L100" s="54"/>
    </row>
    <row r="101" spans="2:12" x14ac:dyDescent="0.25">
      <c r="B101" s="49"/>
      <c r="C101" s="45"/>
      <c r="D101" s="50"/>
      <c r="E101" s="50"/>
      <c r="F101" s="50"/>
      <c r="G101" s="50"/>
      <c r="H101" s="46"/>
      <c r="I101" s="51"/>
      <c r="J101" s="52"/>
      <c r="K101" s="47"/>
      <c r="L101" s="54"/>
    </row>
    <row r="102" spans="2:12" x14ac:dyDescent="0.25">
      <c r="B102" s="49"/>
      <c r="C102" s="45"/>
      <c r="D102" s="50"/>
      <c r="E102" s="50"/>
      <c r="F102" s="50"/>
      <c r="G102" s="50"/>
      <c r="H102" s="46"/>
      <c r="I102" s="51"/>
      <c r="J102" s="52"/>
      <c r="K102" s="47"/>
      <c r="L102" s="54"/>
    </row>
    <row r="103" spans="2:12" x14ac:dyDescent="0.25">
      <c r="B103" s="49"/>
      <c r="C103" s="45"/>
      <c r="D103" s="50"/>
      <c r="E103" s="50"/>
      <c r="F103" s="50"/>
      <c r="G103" s="50"/>
      <c r="H103" s="46"/>
      <c r="I103" s="51"/>
      <c r="J103" s="52"/>
      <c r="K103" s="47"/>
      <c r="L103" s="54"/>
    </row>
    <row r="104" spans="2:12" x14ac:dyDescent="0.25">
      <c r="B104" s="49"/>
      <c r="C104" s="45"/>
      <c r="D104" s="50"/>
      <c r="E104" s="50"/>
      <c r="F104" s="50"/>
      <c r="G104" s="50"/>
      <c r="H104" s="46"/>
      <c r="I104" s="51"/>
      <c r="J104" s="52"/>
      <c r="K104" s="47"/>
      <c r="L104" s="54"/>
    </row>
    <row r="105" spans="2:12" x14ac:dyDescent="0.25">
      <c r="B105" s="49"/>
      <c r="C105" s="45"/>
      <c r="D105" s="50"/>
      <c r="E105" s="50"/>
      <c r="F105" s="50"/>
      <c r="G105" s="50"/>
      <c r="H105" s="46"/>
      <c r="I105" s="51"/>
      <c r="J105" s="52"/>
      <c r="K105" s="47"/>
      <c r="L105" s="54"/>
    </row>
    <row r="106" spans="2:12" x14ac:dyDescent="0.25">
      <c r="B106" s="49"/>
      <c r="C106" s="45"/>
      <c r="D106" s="50"/>
      <c r="E106" s="50"/>
      <c r="F106" s="50"/>
      <c r="G106" s="50"/>
      <c r="H106" s="46"/>
      <c r="I106" s="51"/>
      <c r="J106" s="52"/>
      <c r="K106" s="47"/>
      <c r="L106" s="54"/>
    </row>
    <row r="107" spans="2:12" x14ac:dyDescent="0.25">
      <c r="B107" s="49"/>
      <c r="C107" s="45"/>
      <c r="D107" s="50"/>
      <c r="E107" s="50"/>
      <c r="F107" s="50"/>
      <c r="G107" s="50"/>
      <c r="H107" s="46"/>
      <c r="I107" s="51"/>
      <c r="J107" s="52"/>
      <c r="K107" s="47"/>
      <c r="L107" s="54"/>
    </row>
    <row r="108" spans="2:12" x14ac:dyDescent="0.25">
      <c r="B108" s="49"/>
      <c r="C108" s="45"/>
      <c r="D108" s="50"/>
      <c r="E108" s="50"/>
      <c r="F108" s="50"/>
      <c r="G108" s="50"/>
      <c r="H108" s="46"/>
      <c r="I108" s="51"/>
      <c r="J108" s="52"/>
      <c r="K108" s="47"/>
      <c r="L108" s="54"/>
    </row>
    <row r="109" spans="2:12" x14ac:dyDescent="0.25">
      <c r="B109" s="49"/>
      <c r="C109" s="45"/>
      <c r="D109" s="50"/>
      <c r="E109" s="50"/>
      <c r="F109" s="50"/>
      <c r="G109" s="50"/>
      <c r="H109" s="46"/>
      <c r="I109" s="51"/>
      <c r="J109" s="52"/>
      <c r="K109" s="47"/>
      <c r="L109" s="54"/>
    </row>
    <row r="110" spans="2:12" x14ac:dyDescent="0.25">
      <c r="B110" s="49"/>
      <c r="C110" s="45"/>
      <c r="D110" s="50"/>
      <c r="E110" s="50"/>
      <c r="F110" s="50"/>
      <c r="G110" s="50"/>
      <c r="H110" s="46"/>
      <c r="I110" s="51"/>
      <c r="J110" s="52"/>
      <c r="K110" s="47"/>
      <c r="L110" s="54"/>
    </row>
    <row r="111" spans="2:12" x14ac:dyDescent="0.25">
      <c r="B111" s="49"/>
      <c r="C111" s="45"/>
      <c r="D111" s="50"/>
      <c r="E111" s="50"/>
      <c r="F111" s="50"/>
      <c r="G111" s="50"/>
      <c r="H111" s="46"/>
      <c r="I111" s="51"/>
      <c r="J111" s="52"/>
      <c r="K111" s="47"/>
      <c r="L111" s="54"/>
    </row>
    <row r="112" spans="2:12" x14ac:dyDescent="0.25">
      <c r="B112" s="49"/>
      <c r="C112" s="45"/>
      <c r="D112" s="50"/>
      <c r="E112" s="50"/>
      <c r="F112" s="50"/>
      <c r="G112" s="50"/>
      <c r="H112" s="46"/>
      <c r="I112" s="51"/>
      <c r="J112" s="52"/>
      <c r="K112" s="47"/>
      <c r="L112" s="54"/>
    </row>
    <row r="113" spans="2:12" x14ac:dyDescent="0.25">
      <c r="B113" s="49"/>
      <c r="C113" s="45"/>
      <c r="D113" s="50"/>
      <c r="E113" s="50"/>
      <c r="F113" s="50"/>
      <c r="G113" s="50"/>
      <c r="H113" s="46"/>
      <c r="I113" s="51"/>
      <c r="J113" s="52"/>
      <c r="K113" s="47"/>
      <c r="L113" s="54"/>
    </row>
    <row r="114" spans="2:12" x14ac:dyDescent="0.25">
      <c r="B114" s="49"/>
      <c r="C114" s="45"/>
      <c r="D114" s="50"/>
      <c r="E114" s="50"/>
      <c r="F114" s="50"/>
      <c r="G114" s="50"/>
      <c r="H114" s="46"/>
      <c r="I114" s="51"/>
      <c r="J114" s="52"/>
      <c r="K114" s="47"/>
      <c r="L114" s="54"/>
    </row>
    <row r="115" spans="2:12" x14ac:dyDescent="0.25">
      <c r="B115" s="49"/>
      <c r="C115" s="45"/>
      <c r="D115" s="50"/>
      <c r="E115" s="50"/>
      <c r="F115" s="50"/>
      <c r="G115" s="50"/>
      <c r="H115" s="46"/>
      <c r="I115" s="51"/>
      <c r="J115" s="52"/>
      <c r="K115" s="47"/>
      <c r="L115" s="54"/>
    </row>
    <row r="116" spans="2:12" x14ac:dyDescent="0.25">
      <c r="B116" s="49"/>
      <c r="C116" s="45"/>
      <c r="D116" s="50"/>
      <c r="E116" s="50"/>
      <c r="F116" s="50"/>
      <c r="G116" s="50"/>
      <c r="H116" s="46"/>
      <c r="I116" s="51"/>
      <c r="J116" s="52"/>
      <c r="K116" s="47"/>
      <c r="L116" s="54"/>
    </row>
    <row r="117" spans="2:12" x14ac:dyDescent="0.25">
      <c r="B117" s="49"/>
      <c r="C117" s="45"/>
      <c r="D117" s="50"/>
      <c r="E117" s="50"/>
      <c r="F117" s="50"/>
      <c r="G117" s="50"/>
      <c r="H117" s="46"/>
      <c r="I117" s="51"/>
      <c r="J117" s="52"/>
      <c r="K117" s="47"/>
      <c r="L117" s="54"/>
    </row>
    <row r="118" spans="2:12" x14ac:dyDescent="0.25">
      <c r="B118" s="49"/>
      <c r="C118" s="45"/>
      <c r="D118" s="50"/>
      <c r="E118" s="50"/>
      <c r="F118" s="50"/>
      <c r="G118" s="50"/>
      <c r="H118" s="46"/>
      <c r="I118" s="51"/>
      <c r="J118" s="52"/>
      <c r="K118" s="47"/>
      <c r="L118" s="54"/>
    </row>
    <row r="119" spans="2:12" x14ac:dyDescent="0.25">
      <c r="B119" s="49"/>
      <c r="C119" s="45"/>
      <c r="D119" s="50"/>
      <c r="E119" s="50"/>
      <c r="F119" s="50"/>
      <c r="G119" s="50"/>
      <c r="H119" s="46"/>
      <c r="I119" s="51"/>
      <c r="J119" s="52"/>
      <c r="K119" s="47"/>
      <c r="L119" s="54"/>
    </row>
    <row r="120" spans="2:12" x14ac:dyDescent="0.25">
      <c r="B120" s="49"/>
      <c r="C120" s="45"/>
      <c r="D120" s="50"/>
      <c r="E120" s="50"/>
      <c r="F120" s="50"/>
      <c r="G120" s="50"/>
      <c r="H120" s="46"/>
      <c r="I120" s="51"/>
      <c r="J120" s="52"/>
      <c r="K120" s="47"/>
      <c r="L120" s="54"/>
    </row>
    <row r="121" spans="2:12" x14ac:dyDescent="0.25">
      <c r="B121" s="49"/>
      <c r="C121" s="45"/>
      <c r="D121" s="50"/>
      <c r="E121" s="50"/>
      <c r="F121" s="50"/>
      <c r="G121" s="50"/>
      <c r="H121" s="46"/>
      <c r="I121" s="51"/>
      <c r="J121" s="52"/>
      <c r="K121" s="47"/>
      <c r="L121" s="54"/>
    </row>
    <row r="122" spans="2:12" x14ac:dyDescent="0.25">
      <c r="B122" s="49"/>
      <c r="C122" s="45"/>
      <c r="D122" s="50"/>
      <c r="E122" s="50"/>
      <c r="F122" s="50"/>
      <c r="G122" s="50"/>
      <c r="H122" s="46"/>
      <c r="I122" s="51"/>
      <c r="J122" s="52"/>
      <c r="K122" s="47"/>
      <c r="L122" s="54"/>
    </row>
    <row r="123" spans="2:12" x14ac:dyDescent="0.25">
      <c r="B123" s="49"/>
      <c r="C123" s="45"/>
      <c r="D123" s="50"/>
      <c r="E123" s="50"/>
      <c r="F123" s="50"/>
      <c r="G123" s="50"/>
      <c r="H123" s="46"/>
      <c r="I123" s="51"/>
      <c r="J123" s="52"/>
      <c r="K123" s="47"/>
      <c r="L123" s="54"/>
    </row>
    <row r="124" spans="2:12" x14ac:dyDescent="0.25">
      <c r="B124" s="49"/>
      <c r="C124" s="45"/>
      <c r="D124" s="50"/>
      <c r="E124" s="50"/>
      <c r="F124" s="50"/>
      <c r="G124" s="50"/>
      <c r="H124" s="46"/>
      <c r="I124" s="51"/>
      <c r="J124" s="52"/>
      <c r="K124" s="47"/>
      <c r="L124" s="54"/>
    </row>
    <row r="125" spans="2:12" x14ac:dyDescent="0.25">
      <c r="B125" s="49"/>
      <c r="C125" s="45"/>
      <c r="D125" s="50"/>
      <c r="E125" s="50"/>
      <c r="F125" s="50"/>
      <c r="G125" s="50"/>
      <c r="H125" s="46"/>
      <c r="I125" s="51"/>
      <c r="J125" s="52"/>
      <c r="K125" s="47"/>
      <c r="L125" s="54"/>
    </row>
    <row r="126" spans="2:12" x14ac:dyDescent="0.25">
      <c r="B126" s="49"/>
      <c r="C126" s="45"/>
      <c r="D126" s="50"/>
      <c r="E126" s="50"/>
      <c r="F126" s="50"/>
      <c r="G126" s="50"/>
      <c r="H126" s="46"/>
      <c r="I126" s="51"/>
      <c r="J126" s="52"/>
      <c r="K126" s="47"/>
      <c r="L126" s="54"/>
    </row>
    <row r="127" spans="2:12" x14ac:dyDescent="0.25">
      <c r="B127" s="49"/>
      <c r="C127" s="45"/>
      <c r="D127" s="50"/>
      <c r="E127" s="50"/>
      <c r="F127" s="50"/>
      <c r="G127" s="50"/>
      <c r="H127" s="46"/>
      <c r="I127" s="51"/>
      <c r="J127" s="52"/>
      <c r="K127" s="47"/>
      <c r="L127" s="54"/>
    </row>
    <row r="128" spans="2:12" x14ac:dyDescent="0.25">
      <c r="B128" s="49"/>
      <c r="C128" s="45"/>
      <c r="D128" s="50"/>
      <c r="E128" s="50"/>
      <c r="F128" s="50"/>
      <c r="G128" s="50"/>
      <c r="H128" s="46"/>
      <c r="I128" s="51"/>
      <c r="J128" s="52"/>
      <c r="K128" s="47"/>
      <c r="L128" s="54"/>
    </row>
    <row r="129" spans="2:12" x14ac:dyDescent="0.25">
      <c r="B129" s="49"/>
      <c r="C129" s="45"/>
      <c r="D129" s="50"/>
      <c r="E129" s="50"/>
      <c r="F129" s="50"/>
      <c r="G129" s="50"/>
      <c r="H129" s="46"/>
      <c r="I129" s="51"/>
      <c r="J129" s="52"/>
      <c r="K129" s="47"/>
      <c r="L129" s="54"/>
    </row>
    <row r="130" spans="2:12" x14ac:dyDescent="0.25">
      <c r="B130" s="49"/>
      <c r="C130" s="45"/>
      <c r="D130" s="50"/>
      <c r="E130" s="50"/>
      <c r="F130" s="50"/>
      <c r="G130" s="50"/>
      <c r="H130" s="46"/>
      <c r="I130" s="51"/>
      <c r="J130" s="52"/>
      <c r="K130" s="47"/>
      <c r="L130" s="54"/>
    </row>
    <row r="131" spans="2:12" x14ac:dyDescent="0.25">
      <c r="B131" s="49"/>
      <c r="C131" s="45"/>
      <c r="D131" s="50"/>
      <c r="E131" s="50"/>
      <c r="F131" s="50"/>
      <c r="G131" s="50"/>
      <c r="H131" s="46"/>
      <c r="I131" s="51"/>
      <c r="J131" s="52"/>
      <c r="K131" s="47"/>
      <c r="L131" s="54"/>
    </row>
    <row r="132" spans="2:12" x14ac:dyDescent="0.25">
      <c r="B132" s="49"/>
      <c r="C132" s="45"/>
      <c r="D132" s="50"/>
      <c r="E132" s="50"/>
      <c r="F132" s="50"/>
      <c r="G132" s="50"/>
      <c r="H132" s="46"/>
      <c r="I132" s="51"/>
      <c r="J132" s="52"/>
      <c r="K132" s="47"/>
      <c r="L132" s="54"/>
    </row>
    <row r="133" spans="2:12" x14ac:dyDescent="0.25">
      <c r="B133" s="49"/>
      <c r="C133" s="45"/>
      <c r="D133" s="50"/>
      <c r="E133" s="50"/>
      <c r="F133" s="50"/>
      <c r="G133" s="50"/>
      <c r="H133" s="46"/>
      <c r="I133" s="51"/>
      <c r="J133" s="52"/>
      <c r="K133" s="47"/>
      <c r="L133" s="54"/>
    </row>
    <row r="134" spans="2:12" x14ac:dyDescent="0.25">
      <c r="B134" s="49"/>
      <c r="C134" s="45"/>
      <c r="D134" s="50"/>
      <c r="E134" s="50"/>
      <c r="F134" s="50"/>
      <c r="G134" s="50"/>
      <c r="H134" s="46"/>
      <c r="I134" s="51"/>
      <c r="J134" s="52"/>
      <c r="K134" s="47"/>
      <c r="L134" s="54"/>
    </row>
    <row r="135" spans="2:12" x14ac:dyDescent="0.25">
      <c r="B135" s="49"/>
      <c r="C135" s="45"/>
      <c r="D135" s="50"/>
      <c r="E135" s="50"/>
      <c r="F135" s="50"/>
      <c r="G135" s="50"/>
      <c r="H135" s="46"/>
      <c r="I135" s="51"/>
      <c r="J135" s="52"/>
      <c r="K135" s="47"/>
      <c r="L135" s="54"/>
    </row>
    <row r="136" spans="2:12" x14ac:dyDescent="0.25">
      <c r="B136" s="49"/>
      <c r="C136" s="45"/>
      <c r="D136" s="50"/>
      <c r="E136" s="50"/>
      <c r="F136" s="50"/>
      <c r="G136" s="50"/>
      <c r="H136" s="46"/>
      <c r="I136" s="51"/>
      <c r="J136" s="52"/>
      <c r="K136" s="47"/>
      <c r="L136" s="54"/>
    </row>
    <row r="137" spans="2:12" x14ac:dyDescent="0.25">
      <c r="B137" s="49"/>
      <c r="C137" s="45"/>
      <c r="D137" s="50"/>
      <c r="E137" s="50"/>
      <c r="F137" s="50"/>
      <c r="G137" s="50"/>
      <c r="H137" s="46"/>
      <c r="I137" s="51"/>
      <c r="J137" s="52"/>
      <c r="K137" s="47"/>
      <c r="L137" s="54"/>
    </row>
    <row r="138" spans="2:12" x14ac:dyDescent="0.25">
      <c r="B138" s="49"/>
      <c r="C138" s="45"/>
      <c r="D138" s="50"/>
      <c r="E138" s="50"/>
      <c r="F138" s="50"/>
      <c r="G138" s="50"/>
      <c r="H138" s="46"/>
      <c r="I138" s="51"/>
      <c r="J138" s="52"/>
      <c r="K138" s="47"/>
      <c r="L138" s="54"/>
    </row>
    <row r="139" spans="2:12" x14ac:dyDescent="0.25">
      <c r="B139" s="49"/>
      <c r="C139" s="45"/>
      <c r="D139" s="50"/>
      <c r="E139" s="50"/>
      <c r="F139" s="50"/>
      <c r="G139" s="50"/>
      <c r="H139" s="46"/>
      <c r="I139" s="51"/>
      <c r="J139" s="52"/>
      <c r="K139" s="47"/>
      <c r="L139" s="54"/>
    </row>
    <row r="140" spans="2:12" x14ac:dyDescent="0.25">
      <c r="B140" s="49"/>
      <c r="C140" s="45"/>
      <c r="D140" s="50"/>
      <c r="E140" s="50"/>
      <c r="F140" s="50"/>
      <c r="G140" s="50"/>
      <c r="H140" s="46"/>
      <c r="I140" s="51"/>
      <c r="J140" s="52"/>
      <c r="K140" s="47"/>
      <c r="L140" s="54"/>
    </row>
    <row r="141" spans="2:12" x14ac:dyDescent="0.25">
      <c r="B141" s="49"/>
      <c r="C141" s="45"/>
      <c r="D141" s="50"/>
      <c r="E141" s="50"/>
      <c r="F141" s="50"/>
      <c r="G141" s="50"/>
      <c r="H141" s="46"/>
      <c r="I141" s="51"/>
      <c r="J141" s="52"/>
      <c r="K141" s="47"/>
      <c r="L141" s="54"/>
    </row>
    <row r="142" spans="2:12" x14ac:dyDescent="0.25">
      <c r="B142" s="49"/>
      <c r="C142" s="45"/>
      <c r="D142" s="50"/>
      <c r="E142" s="50"/>
      <c r="F142" s="50"/>
      <c r="G142" s="50"/>
      <c r="H142" s="46"/>
      <c r="I142" s="51"/>
      <c r="J142" s="52"/>
      <c r="K142" s="47"/>
      <c r="L142" s="54"/>
    </row>
    <row r="143" spans="2:12" x14ac:dyDescent="0.25">
      <c r="B143" s="49"/>
      <c r="C143" s="45"/>
      <c r="D143" s="50"/>
      <c r="E143" s="50"/>
      <c r="F143" s="50"/>
      <c r="G143" s="50"/>
      <c r="H143" s="46"/>
      <c r="I143" s="51"/>
      <c r="J143" s="52"/>
      <c r="K143" s="47"/>
      <c r="L143" s="54"/>
    </row>
    <row r="144" spans="2:12" x14ac:dyDescent="0.25">
      <c r="B144" s="49"/>
      <c r="C144" s="45"/>
      <c r="D144" s="50"/>
      <c r="E144" s="50"/>
      <c r="F144" s="50"/>
      <c r="G144" s="50"/>
      <c r="H144" s="46"/>
      <c r="I144" s="51"/>
      <c r="J144" s="52"/>
      <c r="K144" s="47"/>
      <c r="L144" s="54"/>
    </row>
    <row r="145" spans="2:12" x14ac:dyDescent="0.25">
      <c r="B145" s="49"/>
      <c r="C145" s="45"/>
      <c r="D145" s="50"/>
      <c r="E145" s="50"/>
      <c r="F145" s="50"/>
      <c r="G145" s="50"/>
      <c r="H145" s="46"/>
      <c r="I145" s="51"/>
      <c r="J145" s="52"/>
      <c r="K145" s="47"/>
      <c r="L145" s="54"/>
    </row>
    <row r="146" spans="2:12" x14ac:dyDescent="0.25">
      <c r="B146" s="49"/>
      <c r="C146" s="45"/>
      <c r="D146" s="50"/>
      <c r="E146" s="50"/>
      <c r="F146" s="50"/>
      <c r="G146" s="50"/>
      <c r="H146" s="46"/>
      <c r="I146" s="51"/>
      <c r="J146" s="52"/>
      <c r="K146" s="47"/>
      <c r="L146" s="54"/>
    </row>
    <row r="147" spans="2:12" x14ac:dyDescent="0.25">
      <c r="B147" s="49"/>
      <c r="C147" s="45"/>
      <c r="D147" s="50"/>
      <c r="E147" s="50"/>
      <c r="F147" s="50"/>
      <c r="G147" s="50"/>
      <c r="H147" s="46"/>
      <c r="I147" s="51"/>
      <c r="J147" s="52"/>
      <c r="K147" s="47"/>
      <c r="L147" s="54"/>
    </row>
    <row r="148" spans="2:12" x14ac:dyDescent="0.25">
      <c r="B148" s="49"/>
      <c r="C148" s="45"/>
      <c r="D148" s="50"/>
      <c r="E148" s="50"/>
      <c r="F148" s="50"/>
      <c r="G148" s="50"/>
      <c r="H148" s="46"/>
      <c r="I148" s="51"/>
      <c r="J148" s="52"/>
      <c r="K148" s="47"/>
      <c r="L148" s="54"/>
    </row>
    <row r="149" spans="2:12" x14ac:dyDescent="0.25">
      <c r="B149" s="49"/>
      <c r="C149" s="45"/>
      <c r="D149" s="50"/>
      <c r="E149" s="50"/>
      <c r="F149" s="50"/>
      <c r="G149" s="50"/>
      <c r="H149" s="46"/>
      <c r="I149" s="51"/>
      <c r="J149" s="52"/>
      <c r="K149" s="47"/>
      <c r="L149" s="54"/>
    </row>
    <row r="150" spans="2:12" x14ac:dyDescent="0.25">
      <c r="B150" s="49"/>
      <c r="C150" s="45"/>
      <c r="D150" s="50"/>
      <c r="E150" s="50"/>
      <c r="F150" s="50"/>
      <c r="G150" s="50"/>
      <c r="H150" s="46"/>
      <c r="I150" s="51"/>
      <c r="J150" s="52"/>
      <c r="K150" s="47"/>
      <c r="L150" s="54"/>
    </row>
    <row r="151" spans="2:12" x14ac:dyDescent="0.25">
      <c r="B151" s="49"/>
      <c r="C151" s="45"/>
      <c r="D151" s="50"/>
      <c r="E151" s="50"/>
      <c r="F151" s="50"/>
      <c r="G151" s="50"/>
      <c r="H151" s="46"/>
      <c r="I151" s="51"/>
      <c r="J151" s="50"/>
      <c r="K151" s="47"/>
      <c r="L151" s="54"/>
    </row>
    <row r="152" spans="2:12" x14ac:dyDescent="0.25">
      <c r="B152" s="49"/>
      <c r="C152" s="45"/>
      <c r="D152" s="50"/>
      <c r="E152" s="50"/>
      <c r="F152" s="50"/>
      <c r="G152" s="50"/>
      <c r="H152" s="46"/>
      <c r="I152" s="51"/>
      <c r="J152" s="52"/>
      <c r="K152" s="47"/>
      <c r="L152" s="54"/>
    </row>
    <row r="153" spans="2:12" x14ac:dyDescent="0.25">
      <c r="B153" s="49"/>
      <c r="C153" s="45"/>
      <c r="D153" s="50"/>
      <c r="E153" s="50"/>
      <c r="F153" s="50"/>
      <c r="G153" s="50"/>
      <c r="H153" s="46"/>
      <c r="I153" s="51"/>
      <c r="J153" s="52"/>
      <c r="K153" s="47"/>
      <c r="L153" s="54"/>
    </row>
    <row r="154" spans="2:12" x14ac:dyDescent="0.25">
      <c r="B154" s="49"/>
      <c r="C154" s="45"/>
      <c r="D154" s="50"/>
      <c r="E154" s="50"/>
      <c r="F154" s="50"/>
      <c r="G154" s="50"/>
      <c r="H154" s="46"/>
      <c r="I154" s="51"/>
      <c r="J154" s="52"/>
      <c r="K154" s="47"/>
      <c r="L154" s="54"/>
    </row>
    <row r="155" spans="2:12" x14ac:dyDescent="0.25">
      <c r="B155" s="49"/>
      <c r="C155" s="45"/>
      <c r="D155" s="50"/>
      <c r="E155" s="50"/>
      <c r="F155" s="50"/>
      <c r="G155" s="50"/>
      <c r="H155" s="46"/>
      <c r="I155" s="51"/>
      <c r="J155" s="52"/>
      <c r="K155" s="47"/>
      <c r="L155" s="54"/>
    </row>
    <row r="156" spans="2:12" x14ac:dyDescent="0.25">
      <c r="B156" s="49"/>
      <c r="C156" s="45"/>
      <c r="D156" s="50"/>
      <c r="E156" s="50"/>
      <c r="F156" s="50"/>
      <c r="G156" s="50"/>
      <c r="H156" s="46"/>
      <c r="I156" s="51"/>
      <c r="J156" s="52"/>
      <c r="K156" s="47"/>
      <c r="L156" s="54"/>
    </row>
    <row r="157" spans="2:12" x14ac:dyDescent="0.25">
      <c r="B157" s="49"/>
      <c r="C157" s="45"/>
      <c r="D157" s="50"/>
      <c r="E157" s="50"/>
      <c r="F157" s="50"/>
      <c r="G157" s="50"/>
      <c r="H157" s="46"/>
      <c r="I157" s="51"/>
      <c r="J157" s="52"/>
      <c r="K157" s="47"/>
      <c r="L157" s="54"/>
    </row>
    <row r="158" spans="2:12" x14ac:dyDescent="0.25">
      <c r="B158" s="49"/>
      <c r="C158" s="45"/>
      <c r="D158" s="50"/>
      <c r="E158" s="50"/>
      <c r="F158" s="50"/>
      <c r="G158" s="50"/>
      <c r="H158" s="46"/>
      <c r="I158" s="51"/>
      <c r="J158" s="52"/>
      <c r="K158" s="47"/>
      <c r="L158" s="54"/>
    </row>
    <row r="159" spans="2:12" x14ac:dyDescent="0.25">
      <c r="B159" s="49"/>
      <c r="C159" s="45"/>
      <c r="D159" s="50"/>
      <c r="E159" s="50"/>
      <c r="F159" s="50"/>
      <c r="G159" s="50"/>
      <c r="H159" s="46"/>
      <c r="I159" s="51"/>
      <c r="J159" s="52"/>
      <c r="K159" s="47"/>
      <c r="L159" s="54"/>
    </row>
    <row r="160" spans="2:12" x14ac:dyDescent="0.25">
      <c r="B160" s="49"/>
      <c r="C160" s="45"/>
      <c r="D160" s="50"/>
      <c r="E160" s="50"/>
      <c r="F160" s="50"/>
      <c r="G160" s="50"/>
      <c r="H160" s="46"/>
      <c r="I160" s="51"/>
      <c r="J160" s="52"/>
      <c r="K160" s="47"/>
      <c r="L160" s="54"/>
    </row>
    <row r="161" spans="2:12" x14ac:dyDescent="0.25">
      <c r="B161" s="49"/>
      <c r="C161" s="45"/>
      <c r="D161" s="50"/>
      <c r="E161" s="50"/>
      <c r="F161" s="50"/>
      <c r="G161" s="50"/>
      <c r="H161" s="46"/>
      <c r="I161" s="51"/>
      <c r="J161" s="52"/>
      <c r="K161" s="47"/>
      <c r="L161" s="54"/>
    </row>
    <row r="162" spans="2:12" x14ac:dyDescent="0.25">
      <c r="B162" s="49"/>
      <c r="C162" s="45"/>
      <c r="D162" s="50"/>
      <c r="E162" s="50"/>
      <c r="F162" s="50"/>
      <c r="G162" s="50"/>
      <c r="H162" s="46"/>
      <c r="I162" s="51"/>
      <c r="J162" s="52"/>
      <c r="K162" s="47"/>
      <c r="L162" s="54"/>
    </row>
    <row r="163" spans="2:12" x14ac:dyDescent="0.25">
      <c r="B163" s="49"/>
      <c r="C163" s="45"/>
      <c r="D163" s="50"/>
      <c r="E163" s="50"/>
      <c r="F163" s="50"/>
      <c r="G163" s="50"/>
      <c r="H163" s="46"/>
      <c r="I163" s="51"/>
      <c r="J163" s="52"/>
      <c r="K163" s="47"/>
      <c r="L163" s="54"/>
    </row>
    <row r="164" spans="2:12" x14ac:dyDescent="0.25">
      <c r="B164" s="49"/>
      <c r="C164" s="45"/>
      <c r="D164" s="50"/>
      <c r="E164" s="50"/>
      <c r="F164" s="50"/>
      <c r="G164" s="50"/>
      <c r="H164" s="46"/>
      <c r="I164" s="51"/>
      <c r="J164" s="52"/>
      <c r="K164" s="47"/>
      <c r="L164" s="54"/>
    </row>
    <row r="165" spans="2:12" x14ac:dyDescent="0.25">
      <c r="B165" s="49"/>
      <c r="C165" s="45"/>
      <c r="D165" s="50"/>
      <c r="E165" s="50"/>
      <c r="F165" s="50"/>
      <c r="G165" s="50"/>
      <c r="H165" s="46"/>
      <c r="I165" s="51"/>
      <c r="J165" s="52"/>
      <c r="K165" s="47"/>
      <c r="L165" s="54"/>
    </row>
    <row r="166" spans="2:12" x14ac:dyDescent="0.25">
      <c r="B166" s="49"/>
      <c r="C166" s="45"/>
      <c r="D166" s="50"/>
      <c r="E166" s="50"/>
      <c r="F166" s="50"/>
      <c r="G166" s="50"/>
      <c r="H166" s="46"/>
      <c r="I166" s="51"/>
      <c r="J166" s="52"/>
      <c r="K166" s="47"/>
      <c r="L166" s="54"/>
    </row>
    <row r="167" spans="2:12" x14ac:dyDescent="0.25">
      <c r="B167" s="49"/>
      <c r="C167" s="45"/>
      <c r="D167" s="50"/>
      <c r="E167" s="50"/>
      <c r="F167" s="50"/>
      <c r="G167" s="50"/>
      <c r="H167" s="46"/>
      <c r="I167" s="51"/>
      <c r="J167" s="52"/>
      <c r="K167" s="47"/>
      <c r="L167" s="54"/>
    </row>
    <row r="168" spans="2:12" x14ac:dyDescent="0.25">
      <c r="B168" s="49"/>
      <c r="C168" s="45"/>
      <c r="D168" s="50"/>
      <c r="E168" s="50"/>
      <c r="F168" s="50"/>
      <c r="G168" s="50"/>
      <c r="H168" s="46"/>
      <c r="I168" s="51"/>
      <c r="J168" s="52"/>
      <c r="K168" s="47"/>
      <c r="L168" s="54"/>
    </row>
    <row r="169" spans="2:12" x14ac:dyDescent="0.25">
      <c r="B169" s="49"/>
      <c r="C169" s="45"/>
      <c r="D169" s="50"/>
      <c r="E169" s="50"/>
      <c r="F169" s="50"/>
      <c r="G169" s="50"/>
      <c r="H169" s="46"/>
      <c r="I169" s="51"/>
      <c r="J169" s="52"/>
      <c r="K169" s="47"/>
      <c r="L169" s="54"/>
    </row>
    <row r="170" spans="2:12" x14ac:dyDescent="0.25">
      <c r="B170" s="49"/>
      <c r="C170" s="45"/>
      <c r="D170" s="50"/>
      <c r="E170" s="50"/>
      <c r="F170" s="50"/>
      <c r="G170" s="50"/>
      <c r="H170" s="46"/>
      <c r="I170" s="51"/>
      <c r="J170" s="52"/>
      <c r="K170" s="47"/>
      <c r="L170" s="54"/>
    </row>
    <row r="171" spans="2:12" x14ac:dyDescent="0.25">
      <c r="B171" s="49"/>
      <c r="C171" s="45"/>
      <c r="D171" s="50"/>
      <c r="E171" s="50"/>
      <c r="F171" s="50"/>
      <c r="G171" s="50"/>
      <c r="H171" s="46"/>
      <c r="I171" s="51"/>
      <c r="J171" s="52"/>
      <c r="K171" s="47"/>
      <c r="L171" s="54"/>
    </row>
    <row r="172" spans="2:12" x14ac:dyDescent="0.25">
      <c r="B172" s="49"/>
      <c r="C172" s="45"/>
      <c r="D172" s="50"/>
      <c r="E172" s="50"/>
      <c r="F172" s="50"/>
      <c r="G172" s="50"/>
      <c r="H172" s="46"/>
      <c r="I172" s="51"/>
      <c r="J172" s="52"/>
      <c r="K172" s="47"/>
      <c r="L172" s="54"/>
    </row>
    <row r="173" spans="2:12" x14ac:dyDescent="0.25">
      <c r="B173" s="49"/>
      <c r="C173" s="45"/>
      <c r="D173" s="50"/>
      <c r="E173" s="50"/>
      <c r="F173" s="50"/>
      <c r="G173" s="50"/>
      <c r="H173" s="46"/>
      <c r="I173" s="51"/>
      <c r="J173" s="52"/>
      <c r="K173" s="47"/>
      <c r="L173" s="54"/>
    </row>
    <row r="174" spans="2:12" x14ac:dyDescent="0.25">
      <c r="B174" s="49"/>
      <c r="C174" s="45"/>
      <c r="D174" s="50"/>
      <c r="E174" s="50"/>
      <c r="F174" s="50"/>
      <c r="G174" s="50"/>
      <c r="H174" s="46"/>
      <c r="I174" s="51"/>
      <c r="J174" s="52"/>
      <c r="K174" s="47"/>
      <c r="L174" s="54"/>
    </row>
    <row r="175" spans="2:12" x14ac:dyDescent="0.25">
      <c r="B175" s="49"/>
      <c r="C175" s="45"/>
      <c r="D175" s="50"/>
      <c r="E175" s="50"/>
      <c r="F175" s="50"/>
      <c r="G175" s="50"/>
      <c r="H175" s="46"/>
      <c r="I175" s="51"/>
      <c r="J175" s="52"/>
      <c r="K175" s="47"/>
      <c r="L175" s="54"/>
    </row>
    <row r="176" spans="2:12" x14ac:dyDescent="0.25">
      <c r="B176" s="49"/>
      <c r="C176" s="45"/>
      <c r="D176" s="50"/>
      <c r="E176" s="50"/>
      <c r="F176" s="50"/>
      <c r="G176" s="50"/>
      <c r="H176" s="46"/>
      <c r="I176" s="51"/>
      <c r="J176" s="52"/>
      <c r="K176" s="47"/>
      <c r="L176" s="54"/>
    </row>
    <row r="177" spans="2:12" x14ac:dyDescent="0.25">
      <c r="B177" s="49"/>
      <c r="C177" s="45"/>
      <c r="D177" s="50"/>
      <c r="E177" s="50"/>
      <c r="F177" s="50"/>
      <c r="G177" s="50"/>
      <c r="H177" s="46"/>
      <c r="I177" s="51"/>
      <c r="J177" s="52"/>
      <c r="K177" s="47"/>
      <c r="L177" s="54"/>
    </row>
    <row r="178" spans="2:12" x14ac:dyDescent="0.25">
      <c r="B178" s="49"/>
      <c r="C178" s="45"/>
      <c r="D178" s="50"/>
      <c r="E178" s="50"/>
      <c r="F178" s="50"/>
      <c r="G178" s="50"/>
      <c r="H178" s="46"/>
      <c r="I178" s="51"/>
      <c r="J178" s="52"/>
      <c r="K178" s="47"/>
      <c r="L178" s="54"/>
    </row>
    <row r="179" spans="2:12" x14ac:dyDescent="0.25">
      <c r="B179" s="49"/>
      <c r="C179" s="45"/>
      <c r="D179" s="50"/>
      <c r="E179" s="50"/>
      <c r="F179" s="50"/>
      <c r="G179" s="50"/>
      <c r="H179" s="46"/>
      <c r="I179" s="51"/>
      <c r="J179" s="52"/>
      <c r="K179" s="47"/>
      <c r="L179" s="54"/>
    </row>
    <row r="180" spans="2:12" x14ac:dyDescent="0.25">
      <c r="B180" s="49"/>
      <c r="C180" s="45"/>
      <c r="D180" s="50"/>
      <c r="E180" s="50"/>
      <c r="F180" s="50"/>
      <c r="G180" s="50"/>
      <c r="H180" s="46"/>
      <c r="I180" s="51"/>
      <c r="J180" s="52"/>
      <c r="K180" s="47"/>
      <c r="L180" s="54"/>
    </row>
    <row r="181" spans="2:12" x14ac:dyDescent="0.25">
      <c r="B181" s="49"/>
      <c r="C181" s="45"/>
      <c r="D181" s="50"/>
      <c r="E181" s="50"/>
      <c r="F181" s="50"/>
      <c r="G181" s="50"/>
      <c r="H181" s="46"/>
      <c r="I181" s="51"/>
      <c r="J181" s="52"/>
      <c r="K181" s="47"/>
      <c r="L181" s="54"/>
    </row>
    <row r="182" spans="2:12" x14ac:dyDescent="0.25">
      <c r="B182" s="49"/>
      <c r="C182" s="45"/>
      <c r="D182" s="50"/>
      <c r="E182" s="50"/>
      <c r="F182" s="50"/>
      <c r="G182" s="50"/>
      <c r="H182" s="46"/>
      <c r="I182" s="51"/>
      <c r="J182" s="52"/>
      <c r="K182" s="47"/>
      <c r="L182" s="54"/>
    </row>
    <row r="183" spans="2:12" x14ac:dyDescent="0.25">
      <c r="B183" s="49"/>
      <c r="C183" s="45"/>
      <c r="D183" s="50"/>
      <c r="E183" s="50"/>
      <c r="F183" s="50"/>
      <c r="G183" s="50"/>
      <c r="H183" s="46"/>
      <c r="I183" s="51"/>
      <c r="J183" s="52"/>
      <c r="K183" s="47"/>
      <c r="L183" s="54"/>
    </row>
    <row r="184" spans="2:12" x14ac:dyDescent="0.25">
      <c r="B184" s="49"/>
      <c r="C184" s="45"/>
      <c r="D184" s="50"/>
      <c r="E184" s="50"/>
      <c r="F184" s="50"/>
      <c r="G184" s="50"/>
      <c r="H184" s="46"/>
      <c r="I184" s="51"/>
      <c r="J184" s="52"/>
      <c r="K184" s="47"/>
      <c r="L184" s="54"/>
    </row>
    <row r="185" spans="2:12" x14ac:dyDescent="0.25">
      <c r="B185" s="49"/>
      <c r="C185" s="45"/>
      <c r="D185" s="50"/>
      <c r="E185" s="50"/>
      <c r="F185" s="50"/>
      <c r="G185" s="50"/>
      <c r="H185" s="46"/>
      <c r="I185" s="51"/>
      <c r="J185" s="52"/>
      <c r="K185" s="47"/>
      <c r="L185" s="54"/>
    </row>
    <row r="186" spans="2:12" x14ac:dyDescent="0.25">
      <c r="B186" s="49"/>
      <c r="C186" s="45"/>
      <c r="D186" s="50"/>
      <c r="E186" s="50"/>
      <c r="F186" s="50"/>
      <c r="G186" s="50"/>
      <c r="H186" s="46"/>
      <c r="I186" s="51"/>
      <c r="J186" s="52"/>
      <c r="K186" s="47"/>
      <c r="L186" s="54"/>
    </row>
    <row r="187" spans="2:12" x14ac:dyDescent="0.25">
      <c r="B187" s="49"/>
      <c r="C187" s="45"/>
      <c r="D187" s="50"/>
      <c r="E187" s="50"/>
      <c r="F187" s="50"/>
      <c r="G187" s="50"/>
      <c r="H187" s="46"/>
      <c r="I187" s="51"/>
      <c r="J187" s="52"/>
      <c r="K187" s="47"/>
      <c r="L187" s="54"/>
    </row>
    <row r="188" spans="2:12" x14ac:dyDescent="0.25">
      <c r="B188" s="49"/>
      <c r="C188" s="45"/>
      <c r="D188" s="50"/>
      <c r="E188" s="50"/>
      <c r="F188" s="50"/>
      <c r="G188" s="50"/>
      <c r="H188" s="46"/>
      <c r="I188" s="51"/>
      <c r="J188" s="52"/>
      <c r="K188" s="47"/>
      <c r="L188" s="54"/>
    </row>
    <row r="189" spans="2:12" x14ac:dyDescent="0.25">
      <c r="B189" s="49"/>
      <c r="C189" s="45"/>
      <c r="D189" s="50"/>
      <c r="E189" s="50"/>
      <c r="F189" s="50"/>
      <c r="G189" s="50"/>
      <c r="H189" s="46"/>
      <c r="I189" s="51"/>
      <c r="J189" s="52"/>
      <c r="K189" s="47"/>
      <c r="L189" s="54"/>
    </row>
    <row r="190" spans="2:12" x14ac:dyDescent="0.25">
      <c r="B190" s="49"/>
      <c r="C190" s="45"/>
      <c r="D190" s="50"/>
      <c r="E190" s="50"/>
      <c r="F190" s="50"/>
      <c r="G190" s="50"/>
      <c r="H190" s="46"/>
      <c r="I190" s="51"/>
      <c r="J190" s="52"/>
      <c r="K190" s="47"/>
      <c r="L190" s="54"/>
    </row>
    <row r="191" spans="2:12" x14ac:dyDescent="0.25">
      <c r="B191" s="49"/>
      <c r="C191" s="45"/>
      <c r="D191" s="50"/>
      <c r="E191" s="50"/>
      <c r="F191" s="50"/>
      <c r="G191" s="50"/>
      <c r="H191" s="46"/>
      <c r="I191" s="51"/>
      <c r="J191" s="52"/>
      <c r="K191" s="47"/>
      <c r="L191" s="54"/>
    </row>
    <row r="192" spans="2:12" x14ac:dyDescent="0.25">
      <c r="B192" s="49"/>
      <c r="C192" s="45"/>
      <c r="D192" s="50"/>
      <c r="E192" s="50"/>
      <c r="F192" s="50"/>
      <c r="G192" s="50"/>
      <c r="H192" s="46"/>
      <c r="I192" s="51"/>
      <c r="J192" s="52"/>
      <c r="K192" s="47"/>
      <c r="L192" s="54"/>
    </row>
    <row r="193" spans="2:12" x14ac:dyDescent="0.25">
      <c r="B193" s="49"/>
      <c r="C193" s="45"/>
      <c r="D193" s="50"/>
      <c r="E193" s="50"/>
      <c r="F193" s="50"/>
      <c r="G193" s="50"/>
      <c r="H193" s="46"/>
      <c r="I193" s="51"/>
      <c r="J193" s="52"/>
      <c r="K193" s="47"/>
      <c r="L193" s="54"/>
    </row>
    <row r="194" spans="2:12" x14ac:dyDescent="0.25">
      <c r="B194" s="49"/>
      <c r="C194" s="45"/>
      <c r="D194" s="50"/>
      <c r="E194" s="50"/>
      <c r="F194" s="50"/>
      <c r="G194" s="50"/>
      <c r="H194" s="46"/>
      <c r="I194" s="51"/>
      <c r="J194" s="52"/>
      <c r="K194" s="47"/>
      <c r="L194" s="54"/>
    </row>
    <row r="195" spans="2:12" x14ac:dyDescent="0.25">
      <c r="B195" s="49"/>
      <c r="C195" s="45"/>
      <c r="D195" s="50"/>
      <c r="E195" s="50"/>
      <c r="F195" s="50"/>
      <c r="G195" s="50"/>
      <c r="H195" s="46"/>
      <c r="I195" s="51"/>
      <c r="J195" s="52"/>
      <c r="K195" s="47"/>
      <c r="L195" s="54"/>
    </row>
    <row r="196" spans="2:12" x14ac:dyDescent="0.25">
      <c r="B196" s="49"/>
      <c r="C196" s="45"/>
      <c r="D196" s="50"/>
      <c r="E196" s="50"/>
      <c r="F196" s="50"/>
      <c r="G196" s="50"/>
      <c r="H196" s="46"/>
      <c r="I196" s="51"/>
      <c r="J196" s="52"/>
      <c r="K196" s="47"/>
      <c r="L196" s="54"/>
    </row>
    <row r="197" spans="2:12" x14ac:dyDescent="0.25">
      <c r="B197" s="49"/>
      <c r="C197" s="45"/>
      <c r="D197" s="50"/>
      <c r="E197" s="50"/>
      <c r="F197" s="50"/>
      <c r="G197" s="50"/>
      <c r="H197" s="46"/>
      <c r="I197" s="51"/>
      <c r="J197" s="52"/>
      <c r="K197" s="47"/>
      <c r="L197" s="54"/>
    </row>
    <row r="198" spans="2:12" x14ac:dyDescent="0.25">
      <c r="B198" s="49"/>
      <c r="C198" s="45"/>
      <c r="D198" s="50"/>
      <c r="E198" s="50"/>
      <c r="F198" s="50"/>
      <c r="G198" s="50"/>
      <c r="H198" s="46"/>
      <c r="I198" s="51"/>
      <c r="J198" s="52"/>
      <c r="K198" s="47"/>
      <c r="L198" s="54"/>
    </row>
    <row r="199" spans="2:12" x14ac:dyDescent="0.25">
      <c r="B199" s="49"/>
      <c r="C199" s="45"/>
      <c r="D199" s="50"/>
      <c r="E199" s="50"/>
      <c r="F199" s="50"/>
      <c r="G199" s="50"/>
      <c r="H199" s="46"/>
      <c r="I199" s="51"/>
      <c r="J199" s="52"/>
      <c r="K199" s="47"/>
      <c r="L199" s="54"/>
    </row>
    <row r="200" spans="2:12" x14ac:dyDescent="0.25">
      <c r="B200" s="49"/>
      <c r="C200" s="45"/>
      <c r="D200" s="50"/>
      <c r="E200" s="50"/>
      <c r="F200" s="50"/>
      <c r="G200" s="50"/>
      <c r="H200" s="46"/>
      <c r="I200" s="51"/>
      <c r="J200" s="52"/>
      <c r="K200" s="47"/>
      <c r="L200" s="54"/>
    </row>
    <row r="201" spans="2:12" x14ac:dyDescent="0.25">
      <c r="B201" s="49"/>
      <c r="C201" s="45"/>
      <c r="D201" s="50"/>
      <c r="E201" s="50"/>
      <c r="F201" s="50"/>
      <c r="G201" s="50"/>
      <c r="H201" s="46"/>
      <c r="I201" s="51"/>
      <c r="J201" s="52"/>
      <c r="K201" s="47"/>
      <c r="L201" s="54"/>
    </row>
    <row r="202" spans="2:12" x14ac:dyDescent="0.25">
      <c r="B202" s="49"/>
      <c r="C202" s="45"/>
      <c r="D202" s="50"/>
      <c r="E202" s="50"/>
      <c r="F202" s="50"/>
      <c r="G202" s="50"/>
      <c r="H202" s="46"/>
      <c r="I202" s="51"/>
      <c r="J202" s="52"/>
      <c r="K202" s="47"/>
      <c r="L202" s="54"/>
    </row>
    <row r="203" spans="2:12" x14ac:dyDescent="0.25">
      <c r="B203" s="49"/>
      <c r="C203" s="45"/>
      <c r="D203" s="50"/>
      <c r="E203" s="50"/>
      <c r="F203" s="50"/>
      <c r="G203" s="50"/>
      <c r="H203" s="46"/>
      <c r="I203" s="51"/>
      <c r="J203" s="52"/>
      <c r="K203" s="47"/>
      <c r="L203" s="54"/>
    </row>
    <row r="204" spans="2:12" x14ac:dyDescent="0.25">
      <c r="B204" s="49"/>
      <c r="C204" s="45"/>
      <c r="D204" s="50"/>
      <c r="E204" s="50"/>
      <c r="F204" s="50"/>
      <c r="G204" s="50"/>
      <c r="H204" s="46"/>
      <c r="I204" s="51"/>
      <c r="J204" s="52"/>
      <c r="K204" s="47"/>
      <c r="L204" s="54"/>
    </row>
    <row r="205" spans="2:12" x14ac:dyDescent="0.25">
      <c r="B205" s="49"/>
      <c r="C205" s="45"/>
      <c r="D205" s="50"/>
      <c r="E205" s="50"/>
      <c r="F205" s="50"/>
      <c r="G205" s="50"/>
      <c r="H205" s="46"/>
      <c r="I205" s="51"/>
      <c r="J205" s="52"/>
      <c r="K205" s="47"/>
      <c r="L205" s="54"/>
    </row>
    <row r="206" spans="2:12" x14ac:dyDescent="0.25">
      <c r="B206" s="49"/>
      <c r="C206" s="45"/>
      <c r="D206" s="50"/>
      <c r="E206" s="50"/>
      <c r="F206" s="50"/>
      <c r="G206" s="50"/>
      <c r="H206" s="46"/>
      <c r="I206" s="51"/>
      <c r="J206" s="52"/>
      <c r="K206" s="47"/>
      <c r="L206" s="54"/>
    </row>
    <row r="207" spans="2:12" x14ac:dyDescent="0.25">
      <c r="B207" s="49"/>
      <c r="C207" s="45"/>
      <c r="D207" s="50"/>
      <c r="E207" s="50"/>
      <c r="F207" s="50"/>
      <c r="G207" s="50"/>
      <c r="H207" s="46"/>
      <c r="I207" s="51"/>
      <c r="J207" s="52"/>
      <c r="K207" s="47"/>
      <c r="L207" s="54"/>
    </row>
    <row r="208" spans="2:12" x14ac:dyDescent="0.25">
      <c r="B208" s="49"/>
      <c r="C208" s="45"/>
      <c r="D208" s="50"/>
      <c r="E208" s="50"/>
      <c r="F208" s="50"/>
      <c r="G208" s="50"/>
      <c r="H208" s="46"/>
      <c r="I208" s="51"/>
      <c r="J208" s="52"/>
      <c r="K208" s="47"/>
      <c r="L208" s="54"/>
    </row>
    <row r="209" spans="2:12" x14ac:dyDescent="0.25">
      <c r="B209" s="49"/>
      <c r="C209" s="45"/>
      <c r="D209" s="50"/>
      <c r="E209" s="50"/>
      <c r="F209" s="50"/>
      <c r="G209" s="50"/>
      <c r="H209" s="46"/>
      <c r="I209" s="51"/>
      <c r="J209" s="52"/>
      <c r="K209" s="47"/>
      <c r="L209" s="54"/>
    </row>
    <row r="210" spans="2:12" x14ac:dyDescent="0.25">
      <c r="B210" s="49"/>
      <c r="C210" s="45"/>
      <c r="D210" s="50"/>
      <c r="E210" s="50"/>
      <c r="F210" s="50"/>
      <c r="G210" s="50"/>
      <c r="H210" s="46"/>
      <c r="I210" s="51"/>
      <c r="J210" s="52"/>
      <c r="K210" s="47"/>
      <c r="L210" s="54"/>
    </row>
    <row r="211" spans="2:12" x14ac:dyDescent="0.25">
      <c r="B211" s="49"/>
      <c r="C211" s="45"/>
      <c r="D211" s="50"/>
      <c r="E211" s="50"/>
      <c r="F211" s="50"/>
      <c r="G211" s="50"/>
      <c r="H211" s="46"/>
      <c r="I211" s="51"/>
      <c r="J211" s="52"/>
      <c r="K211" s="47"/>
      <c r="L211" s="54"/>
    </row>
    <row r="212" spans="2:12" x14ac:dyDescent="0.25">
      <c r="B212" s="49"/>
      <c r="C212" s="45"/>
      <c r="D212" s="50"/>
      <c r="E212" s="50"/>
      <c r="F212" s="50"/>
      <c r="G212" s="50"/>
      <c r="H212" s="46"/>
      <c r="I212" s="51"/>
      <c r="J212" s="52"/>
      <c r="K212" s="47"/>
      <c r="L212" s="54"/>
    </row>
    <row r="213" spans="2:12" x14ac:dyDescent="0.25">
      <c r="B213" s="49"/>
      <c r="C213" s="45"/>
      <c r="D213" s="50"/>
      <c r="E213" s="50"/>
      <c r="F213" s="50"/>
      <c r="G213" s="50"/>
      <c r="H213" s="46"/>
      <c r="I213" s="51"/>
      <c r="J213" s="52"/>
      <c r="K213" s="47"/>
      <c r="L213" s="54"/>
    </row>
    <row r="214" spans="2:12" x14ac:dyDescent="0.25">
      <c r="B214" s="49"/>
      <c r="C214" s="45"/>
      <c r="D214" s="50"/>
      <c r="E214" s="50"/>
      <c r="F214" s="50"/>
      <c r="G214" s="50"/>
      <c r="H214" s="46"/>
      <c r="I214" s="51"/>
      <c r="J214" s="52"/>
      <c r="K214" s="47"/>
      <c r="L214" s="54"/>
    </row>
    <row r="215" spans="2:12" x14ac:dyDescent="0.25">
      <c r="B215" s="49"/>
      <c r="C215" s="45"/>
      <c r="D215" s="50"/>
      <c r="E215" s="50"/>
      <c r="F215" s="50"/>
      <c r="G215" s="50"/>
      <c r="H215" s="46"/>
      <c r="I215" s="51"/>
      <c r="J215" s="52"/>
      <c r="K215" s="47"/>
      <c r="L215" s="54"/>
    </row>
    <row r="216" spans="2:12" x14ac:dyDescent="0.25">
      <c r="B216" s="49"/>
      <c r="C216" s="45"/>
      <c r="D216" s="50"/>
      <c r="E216" s="50"/>
      <c r="F216" s="50"/>
      <c r="G216" s="50"/>
      <c r="H216" s="46"/>
      <c r="I216" s="51"/>
      <c r="J216" s="52"/>
      <c r="K216" s="47"/>
      <c r="L216" s="54"/>
    </row>
    <row r="217" spans="2:12" x14ac:dyDescent="0.25">
      <c r="B217" s="49"/>
      <c r="C217" s="45"/>
      <c r="D217" s="50"/>
      <c r="E217" s="50"/>
      <c r="F217" s="50"/>
      <c r="G217" s="50"/>
      <c r="H217" s="46"/>
      <c r="I217" s="51"/>
      <c r="J217" s="52"/>
      <c r="K217" s="47"/>
      <c r="L217" s="54"/>
    </row>
    <row r="218" spans="2:12" x14ac:dyDescent="0.25">
      <c r="B218" s="49"/>
      <c r="C218" s="45"/>
      <c r="D218" s="50"/>
      <c r="E218" s="50"/>
      <c r="F218" s="50"/>
      <c r="G218" s="50"/>
      <c r="H218" s="46"/>
      <c r="I218" s="51"/>
      <c r="J218" s="52"/>
      <c r="K218" s="47"/>
      <c r="L218" s="54"/>
    </row>
    <row r="219" spans="2:12" x14ac:dyDescent="0.25">
      <c r="B219" s="49"/>
      <c r="C219" s="45"/>
      <c r="D219" s="50"/>
      <c r="E219" s="50"/>
      <c r="F219" s="50"/>
      <c r="G219" s="50"/>
      <c r="H219" s="46"/>
      <c r="I219" s="51"/>
      <c r="J219" s="52"/>
      <c r="K219" s="47"/>
      <c r="L219" s="54"/>
    </row>
    <row r="220" spans="2:12" x14ac:dyDescent="0.25">
      <c r="B220" s="49"/>
      <c r="C220" s="45"/>
      <c r="D220" s="50"/>
      <c r="E220" s="50"/>
      <c r="F220" s="50"/>
      <c r="G220" s="50"/>
      <c r="H220" s="46"/>
      <c r="I220" s="51"/>
      <c r="J220" s="52"/>
      <c r="K220" s="47"/>
      <c r="L220" s="54"/>
    </row>
    <row r="221" spans="2:12" x14ac:dyDescent="0.25">
      <c r="B221" s="49"/>
      <c r="C221" s="45"/>
      <c r="D221" s="50"/>
      <c r="E221" s="50"/>
      <c r="F221" s="50"/>
      <c r="G221" s="50"/>
      <c r="H221" s="46"/>
      <c r="I221" s="51"/>
      <c r="J221" s="52"/>
      <c r="K221" s="47"/>
      <c r="L221" s="54"/>
    </row>
    <row r="222" spans="2:12" x14ac:dyDescent="0.25">
      <c r="B222" s="49"/>
      <c r="C222" s="45"/>
      <c r="D222" s="50"/>
      <c r="E222" s="50"/>
      <c r="F222" s="50"/>
      <c r="G222" s="50"/>
      <c r="H222" s="46"/>
      <c r="I222" s="51"/>
      <c r="J222" s="52"/>
      <c r="K222" s="47"/>
      <c r="L222" s="54"/>
    </row>
    <row r="223" spans="2:12" x14ac:dyDescent="0.25">
      <c r="B223" s="49"/>
      <c r="C223" s="45"/>
      <c r="D223" s="50"/>
      <c r="E223" s="50"/>
      <c r="F223" s="50"/>
      <c r="G223" s="50"/>
      <c r="H223" s="46"/>
      <c r="I223" s="51"/>
      <c r="J223" s="52"/>
      <c r="K223" s="47"/>
      <c r="L223" s="54"/>
    </row>
    <row r="224" spans="2:12" x14ac:dyDescent="0.25">
      <c r="B224" s="49"/>
      <c r="C224" s="45"/>
      <c r="D224" s="50"/>
      <c r="E224" s="50"/>
      <c r="F224" s="50"/>
      <c r="G224" s="50"/>
      <c r="H224" s="46"/>
      <c r="I224" s="51"/>
      <c r="J224" s="52"/>
      <c r="K224" s="47"/>
      <c r="L224" s="54"/>
    </row>
    <row r="225" spans="2:12" x14ac:dyDescent="0.25">
      <c r="B225" s="49"/>
      <c r="C225" s="45"/>
      <c r="D225" s="50"/>
      <c r="E225" s="50"/>
      <c r="F225" s="50"/>
      <c r="G225" s="50"/>
      <c r="H225" s="46"/>
      <c r="I225" s="51"/>
      <c r="J225" s="52"/>
      <c r="K225" s="47"/>
      <c r="L225" s="54"/>
    </row>
    <row r="226" spans="2:12" x14ac:dyDescent="0.25">
      <c r="B226" s="49"/>
      <c r="C226" s="45"/>
      <c r="D226" s="50"/>
      <c r="E226" s="50"/>
      <c r="F226" s="50"/>
      <c r="G226" s="50"/>
      <c r="H226" s="46"/>
      <c r="I226" s="51"/>
      <c r="J226" s="52"/>
      <c r="K226" s="47"/>
      <c r="L226" s="54"/>
    </row>
    <row r="227" spans="2:12" x14ac:dyDescent="0.25">
      <c r="B227" s="49"/>
      <c r="C227" s="45"/>
      <c r="D227" s="50"/>
      <c r="E227" s="50"/>
      <c r="F227" s="50"/>
      <c r="G227" s="50"/>
      <c r="H227" s="46"/>
      <c r="I227" s="51"/>
      <c r="J227" s="52"/>
      <c r="K227" s="47"/>
      <c r="L227" s="54"/>
    </row>
    <row r="228" spans="2:12" x14ac:dyDescent="0.25">
      <c r="B228" s="49"/>
      <c r="C228" s="45"/>
      <c r="D228" s="50"/>
      <c r="E228" s="50"/>
      <c r="F228" s="50"/>
      <c r="G228" s="50"/>
      <c r="H228" s="46"/>
      <c r="I228" s="51"/>
      <c r="J228" s="52"/>
      <c r="K228" s="47"/>
      <c r="L228" s="54"/>
    </row>
    <row r="229" spans="2:12" x14ac:dyDescent="0.25">
      <c r="B229" s="49"/>
      <c r="C229" s="45"/>
      <c r="D229" s="50"/>
      <c r="E229" s="50"/>
      <c r="F229" s="50"/>
      <c r="G229" s="50"/>
      <c r="H229" s="46"/>
      <c r="I229" s="51"/>
      <c r="J229" s="52"/>
      <c r="K229" s="47"/>
      <c r="L229" s="54"/>
    </row>
    <row r="230" spans="2:12" x14ac:dyDescent="0.25">
      <c r="B230" s="49"/>
      <c r="C230" s="45"/>
      <c r="D230" s="50"/>
      <c r="E230" s="50"/>
      <c r="F230" s="50"/>
      <c r="G230" s="50"/>
      <c r="H230" s="46"/>
      <c r="I230" s="51"/>
      <c r="J230" s="52"/>
      <c r="K230" s="47"/>
      <c r="L230" s="54"/>
    </row>
    <row r="231" spans="2:12" x14ac:dyDescent="0.25">
      <c r="B231" s="49"/>
      <c r="C231" s="45"/>
      <c r="D231" s="50"/>
      <c r="E231" s="50"/>
      <c r="F231" s="50"/>
      <c r="G231" s="50"/>
      <c r="H231" s="46"/>
      <c r="I231" s="51"/>
      <c r="J231" s="52"/>
      <c r="K231" s="47"/>
      <c r="L231" s="54"/>
    </row>
    <row r="232" spans="2:12" x14ac:dyDescent="0.25">
      <c r="B232" s="49"/>
      <c r="C232" s="45"/>
      <c r="D232" s="50"/>
      <c r="E232" s="50"/>
      <c r="F232" s="50"/>
      <c r="G232" s="50"/>
      <c r="H232" s="46"/>
      <c r="I232" s="51"/>
      <c r="J232" s="52"/>
      <c r="K232" s="47"/>
      <c r="L232" s="54"/>
    </row>
    <row r="233" spans="2:12" x14ac:dyDescent="0.25">
      <c r="B233" s="49"/>
      <c r="C233" s="45"/>
      <c r="D233" s="50"/>
      <c r="E233" s="50"/>
      <c r="F233" s="50"/>
      <c r="G233" s="50"/>
      <c r="H233" s="46"/>
      <c r="I233" s="51"/>
      <c r="J233" s="52"/>
      <c r="K233" s="47"/>
      <c r="L233" s="54"/>
    </row>
    <row r="234" spans="2:12" x14ac:dyDescent="0.25">
      <c r="B234" s="49"/>
      <c r="C234" s="45"/>
      <c r="D234" s="50"/>
      <c r="E234" s="50"/>
      <c r="F234" s="50"/>
      <c r="G234" s="50"/>
      <c r="H234" s="46"/>
      <c r="I234" s="51"/>
      <c r="J234" s="52"/>
      <c r="K234" s="47"/>
      <c r="L234" s="54"/>
    </row>
    <row r="235" spans="2:12" x14ac:dyDescent="0.25">
      <c r="B235" s="49"/>
      <c r="C235" s="45"/>
      <c r="D235" s="50"/>
      <c r="E235" s="50"/>
      <c r="F235" s="50"/>
      <c r="G235" s="50"/>
      <c r="H235" s="46"/>
      <c r="I235" s="51"/>
      <c r="J235" s="52"/>
      <c r="K235" s="47"/>
      <c r="L235" s="54"/>
    </row>
    <row r="236" spans="2:12" x14ac:dyDescent="0.25">
      <c r="B236" s="49"/>
      <c r="C236" s="45"/>
      <c r="D236" s="50"/>
      <c r="E236" s="50"/>
      <c r="F236" s="50"/>
      <c r="G236" s="50"/>
      <c r="H236" s="46"/>
      <c r="I236" s="51"/>
      <c r="J236" s="52"/>
      <c r="K236" s="47"/>
      <c r="L236" s="54"/>
    </row>
    <row r="237" spans="2:12" x14ac:dyDescent="0.25">
      <c r="B237" s="49"/>
      <c r="C237" s="45"/>
      <c r="D237" s="50"/>
      <c r="E237" s="50"/>
      <c r="F237" s="50"/>
      <c r="G237" s="50"/>
      <c r="H237" s="46"/>
      <c r="I237" s="51"/>
      <c r="J237" s="52"/>
      <c r="K237" s="47"/>
      <c r="L237" s="54"/>
    </row>
    <row r="238" spans="2:12" x14ac:dyDescent="0.25">
      <c r="B238" s="49"/>
      <c r="C238" s="45"/>
      <c r="D238" s="50"/>
      <c r="E238" s="50"/>
      <c r="F238" s="50"/>
      <c r="G238" s="50"/>
      <c r="H238" s="46"/>
      <c r="I238" s="51"/>
      <c r="J238" s="52"/>
      <c r="K238" s="47"/>
      <c r="L238" s="54"/>
    </row>
    <row r="239" spans="2:12" x14ac:dyDescent="0.25">
      <c r="B239" s="49"/>
      <c r="C239" s="45"/>
      <c r="D239" s="50"/>
      <c r="E239" s="50"/>
      <c r="F239" s="50"/>
      <c r="G239" s="50"/>
      <c r="H239" s="46"/>
      <c r="I239" s="51"/>
      <c r="J239" s="52"/>
      <c r="K239" s="47"/>
      <c r="L239" s="54"/>
    </row>
    <row r="240" spans="2:12" x14ac:dyDescent="0.25">
      <c r="B240" s="49"/>
      <c r="C240" s="45"/>
      <c r="D240" s="50"/>
      <c r="E240" s="50"/>
      <c r="F240" s="50"/>
      <c r="G240" s="50"/>
      <c r="H240" s="46"/>
      <c r="I240" s="51"/>
      <c r="J240" s="52"/>
      <c r="K240" s="47"/>
      <c r="L240" s="54"/>
    </row>
    <row r="241" spans="2:12" x14ac:dyDescent="0.25">
      <c r="B241" s="49"/>
      <c r="C241" s="45"/>
      <c r="D241" s="50"/>
      <c r="E241" s="50"/>
      <c r="F241" s="50"/>
      <c r="G241" s="50"/>
      <c r="H241" s="46"/>
      <c r="I241" s="51"/>
      <c r="J241" s="52"/>
      <c r="K241" s="47"/>
      <c r="L241" s="54"/>
    </row>
    <row r="242" spans="2:12" x14ac:dyDescent="0.25">
      <c r="B242" s="49"/>
      <c r="C242" s="45"/>
      <c r="D242" s="50"/>
      <c r="E242" s="50"/>
      <c r="F242" s="50"/>
      <c r="G242" s="50"/>
      <c r="H242" s="46"/>
      <c r="I242" s="51"/>
      <c r="J242" s="52"/>
      <c r="K242" s="47"/>
      <c r="L242" s="54"/>
    </row>
    <row r="243" spans="2:12" x14ac:dyDescent="0.25">
      <c r="B243" s="49"/>
      <c r="C243" s="45"/>
      <c r="D243" s="50"/>
      <c r="E243" s="50"/>
      <c r="F243" s="50"/>
      <c r="G243" s="50"/>
      <c r="H243" s="46"/>
      <c r="I243" s="51"/>
      <c r="J243" s="52"/>
      <c r="K243" s="47"/>
      <c r="L243" s="54"/>
    </row>
    <row r="244" spans="2:12" x14ac:dyDescent="0.25">
      <c r="B244" s="49"/>
      <c r="C244" s="45"/>
      <c r="D244" s="50"/>
      <c r="E244" s="50"/>
      <c r="F244" s="50"/>
      <c r="G244" s="50"/>
      <c r="H244" s="46"/>
      <c r="I244" s="51"/>
      <c r="J244" s="52"/>
      <c r="K244" s="47"/>
      <c r="L244" s="54"/>
    </row>
    <row r="245" spans="2:12" x14ac:dyDescent="0.25">
      <c r="B245" s="49"/>
      <c r="C245" s="45"/>
      <c r="D245" s="50"/>
      <c r="E245" s="50"/>
      <c r="F245" s="50"/>
      <c r="G245" s="50"/>
      <c r="H245" s="46"/>
      <c r="I245" s="51"/>
      <c r="J245" s="52"/>
      <c r="K245" s="47"/>
      <c r="L245" s="54"/>
    </row>
    <row r="246" spans="2:12" x14ac:dyDescent="0.25">
      <c r="B246" s="49"/>
      <c r="C246" s="45"/>
      <c r="D246" s="50"/>
      <c r="E246" s="50"/>
      <c r="F246" s="50"/>
      <c r="G246" s="50"/>
      <c r="H246" s="46"/>
      <c r="I246" s="51"/>
      <c r="J246" s="52"/>
      <c r="K246" s="47"/>
      <c r="L246" s="54"/>
    </row>
    <row r="247" spans="2:12" x14ac:dyDescent="0.25">
      <c r="B247" s="49"/>
      <c r="C247" s="45"/>
      <c r="D247" s="50"/>
      <c r="E247" s="50"/>
      <c r="F247" s="50"/>
      <c r="G247" s="50"/>
      <c r="H247" s="46"/>
      <c r="I247" s="51"/>
      <c r="J247" s="52"/>
      <c r="K247" s="47"/>
      <c r="L247" s="54"/>
    </row>
    <row r="248" spans="2:12" x14ac:dyDescent="0.25">
      <c r="B248" s="49"/>
      <c r="C248" s="45"/>
      <c r="D248" s="50"/>
      <c r="E248" s="50"/>
      <c r="F248" s="50"/>
      <c r="G248" s="50"/>
      <c r="H248" s="46"/>
      <c r="I248" s="51"/>
      <c r="J248" s="52"/>
      <c r="K248" s="47"/>
      <c r="L248" s="54"/>
    </row>
    <row r="249" spans="2:12" x14ac:dyDescent="0.25">
      <c r="B249" s="49"/>
      <c r="C249" s="45"/>
      <c r="D249" s="50"/>
      <c r="E249" s="50"/>
      <c r="F249" s="50"/>
      <c r="G249" s="50"/>
      <c r="H249" s="46"/>
      <c r="I249" s="51"/>
      <c r="J249" s="52"/>
      <c r="K249" s="47"/>
      <c r="L249" s="54"/>
    </row>
    <row r="250" spans="2:12" x14ac:dyDescent="0.25">
      <c r="B250" s="49"/>
      <c r="C250" s="45"/>
      <c r="D250" s="50"/>
      <c r="E250" s="50"/>
      <c r="F250" s="50"/>
      <c r="G250" s="50"/>
      <c r="H250" s="46"/>
      <c r="I250" s="51"/>
      <c r="J250" s="52"/>
      <c r="K250" s="47"/>
      <c r="L250" s="54"/>
    </row>
    <row r="251" spans="2:12" x14ac:dyDescent="0.25">
      <c r="B251" s="49"/>
      <c r="C251" s="45"/>
      <c r="D251" s="50"/>
      <c r="E251" s="50"/>
      <c r="F251" s="50"/>
      <c r="G251" s="50"/>
      <c r="H251" s="46"/>
      <c r="I251" s="51"/>
      <c r="J251" s="52"/>
      <c r="K251" s="47"/>
      <c r="L251" s="54"/>
    </row>
    <row r="252" spans="2:12" x14ac:dyDescent="0.25">
      <c r="B252" s="49"/>
      <c r="C252" s="45"/>
      <c r="D252" s="50"/>
      <c r="E252" s="50"/>
      <c r="F252" s="50"/>
      <c r="G252" s="50"/>
      <c r="H252" s="46"/>
      <c r="I252" s="51"/>
      <c r="J252" s="52"/>
      <c r="K252" s="47"/>
      <c r="L252" s="54"/>
    </row>
    <row r="253" spans="2:12" x14ac:dyDescent="0.25">
      <c r="B253" s="49"/>
      <c r="C253" s="45"/>
      <c r="D253" s="50"/>
      <c r="E253" s="50"/>
      <c r="F253" s="50"/>
      <c r="G253" s="50"/>
      <c r="H253" s="46"/>
      <c r="I253" s="51"/>
      <c r="J253" s="52"/>
      <c r="K253" s="47"/>
      <c r="L253" s="54"/>
    </row>
    <row r="254" spans="2:12" x14ac:dyDescent="0.25">
      <c r="B254" s="49"/>
      <c r="C254" s="45"/>
      <c r="D254" s="50"/>
      <c r="E254" s="50"/>
      <c r="F254" s="50"/>
      <c r="G254" s="50"/>
      <c r="H254" s="46"/>
      <c r="I254" s="51"/>
      <c r="J254" s="52"/>
      <c r="K254" s="47"/>
      <c r="L254" s="54"/>
    </row>
    <row r="255" spans="2:12" x14ac:dyDescent="0.25">
      <c r="B255" s="49"/>
      <c r="C255" s="45"/>
      <c r="D255" s="50"/>
      <c r="E255" s="50"/>
      <c r="F255" s="50"/>
      <c r="G255" s="50"/>
      <c r="H255" s="46"/>
      <c r="I255" s="51"/>
      <c r="J255" s="52"/>
      <c r="K255" s="47"/>
      <c r="L255" s="54"/>
    </row>
    <row r="256" spans="2:12" x14ac:dyDescent="0.25">
      <c r="B256" s="49"/>
      <c r="C256" s="45"/>
      <c r="D256" s="50"/>
      <c r="E256" s="50"/>
      <c r="F256" s="50"/>
      <c r="G256" s="50"/>
      <c r="H256" s="46"/>
      <c r="I256" s="51"/>
      <c r="J256" s="52"/>
      <c r="K256" s="47"/>
      <c r="L256" s="54"/>
    </row>
    <row r="257" spans="2:12" x14ac:dyDescent="0.25">
      <c r="B257" s="49"/>
      <c r="C257" s="45"/>
      <c r="D257" s="50"/>
      <c r="E257" s="50"/>
      <c r="F257" s="50"/>
      <c r="G257" s="50"/>
      <c r="H257" s="46"/>
      <c r="I257" s="51"/>
      <c r="J257" s="52"/>
      <c r="K257" s="47"/>
      <c r="L257" s="54"/>
    </row>
    <row r="258" spans="2:12" x14ac:dyDescent="0.25">
      <c r="B258" s="49"/>
      <c r="C258" s="45"/>
      <c r="D258" s="50"/>
      <c r="E258" s="50"/>
      <c r="F258" s="50"/>
      <c r="G258" s="50"/>
      <c r="H258" s="46"/>
      <c r="I258" s="51"/>
      <c r="J258" s="52"/>
      <c r="K258" s="47"/>
      <c r="L258" s="54"/>
    </row>
    <row r="259" spans="2:12" x14ac:dyDescent="0.25">
      <c r="B259" s="49"/>
      <c r="C259" s="45"/>
      <c r="D259" s="50"/>
      <c r="E259" s="50"/>
      <c r="F259" s="50"/>
      <c r="G259" s="50"/>
      <c r="H259" s="46"/>
      <c r="I259" s="51"/>
      <c r="J259" s="52"/>
      <c r="K259" s="47"/>
      <c r="L259" s="54"/>
    </row>
    <row r="260" spans="2:12" x14ac:dyDescent="0.25">
      <c r="B260" s="49"/>
      <c r="C260" s="45"/>
      <c r="D260" s="50"/>
      <c r="E260" s="50"/>
      <c r="F260" s="50"/>
      <c r="G260" s="50"/>
      <c r="H260" s="46"/>
      <c r="I260" s="51"/>
      <c r="J260" s="52"/>
      <c r="K260" s="47"/>
      <c r="L260" s="54"/>
    </row>
    <row r="261" spans="2:12" x14ac:dyDescent="0.25">
      <c r="B261" s="49"/>
      <c r="C261" s="45"/>
      <c r="D261" s="50"/>
      <c r="E261" s="50"/>
      <c r="F261" s="50"/>
      <c r="G261" s="50"/>
      <c r="H261" s="46"/>
      <c r="I261" s="51"/>
      <c r="J261" s="52"/>
      <c r="K261" s="47"/>
      <c r="L261" s="54"/>
    </row>
    <row r="262" spans="2:12" x14ac:dyDescent="0.25">
      <c r="B262" s="49"/>
      <c r="C262" s="45"/>
      <c r="D262" s="50"/>
      <c r="E262" s="50"/>
      <c r="F262" s="50"/>
      <c r="G262" s="50"/>
      <c r="H262" s="46"/>
      <c r="I262" s="51"/>
      <c r="J262" s="52"/>
      <c r="K262" s="47"/>
      <c r="L262" s="54"/>
    </row>
    <row r="263" spans="2:12" x14ac:dyDescent="0.25">
      <c r="B263" s="49"/>
      <c r="C263" s="45"/>
      <c r="D263" s="50"/>
      <c r="E263" s="50"/>
      <c r="F263" s="50"/>
      <c r="G263" s="50"/>
      <c r="H263" s="46"/>
      <c r="I263" s="51"/>
      <c r="J263" s="52"/>
      <c r="K263" s="47"/>
      <c r="L263" s="54"/>
    </row>
    <row r="264" spans="2:12" x14ac:dyDescent="0.25">
      <c r="B264" s="49"/>
      <c r="C264" s="45"/>
      <c r="D264" s="50"/>
      <c r="E264" s="50"/>
      <c r="F264" s="50"/>
      <c r="G264" s="50"/>
      <c r="H264" s="46"/>
      <c r="I264" s="51"/>
      <c r="J264" s="52"/>
      <c r="K264" s="47"/>
      <c r="L264" s="54"/>
    </row>
    <row r="265" spans="2:12" x14ac:dyDescent="0.25">
      <c r="B265" s="49"/>
      <c r="C265" s="45"/>
      <c r="D265" s="50"/>
      <c r="E265" s="50"/>
      <c r="F265" s="50"/>
      <c r="G265" s="50"/>
      <c r="H265" s="46"/>
      <c r="I265" s="51"/>
      <c r="J265" s="52"/>
      <c r="K265" s="47"/>
      <c r="L265" s="54"/>
    </row>
    <row r="266" spans="2:12" x14ac:dyDescent="0.25">
      <c r="B266" s="49"/>
      <c r="C266" s="45"/>
      <c r="D266" s="50"/>
      <c r="E266" s="50"/>
      <c r="F266" s="50"/>
      <c r="G266" s="50"/>
      <c r="H266" s="46"/>
      <c r="I266" s="51"/>
      <c r="J266" s="52"/>
      <c r="K266" s="47"/>
      <c r="L266" s="54"/>
    </row>
    <row r="267" spans="2:12" x14ac:dyDescent="0.25">
      <c r="B267" s="49"/>
      <c r="C267" s="45"/>
      <c r="D267" s="50"/>
      <c r="E267" s="50"/>
      <c r="F267" s="50"/>
      <c r="G267" s="50"/>
      <c r="H267" s="46"/>
      <c r="I267" s="51"/>
      <c r="J267" s="52"/>
      <c r="K267" s="47"/>
      <c r="L267" s="54"/>
    </row>
    <row r="268" spans="2:12" x14ac:dyDescent="0.25">
      <c r="B268" s="49"/>
      <c r="C268" s="45"/>
      <c r="D268" s="50"/>
      <c r="E268" s="50"/>
      <c r="F268" s="50"/>
      <c r="G268" s="50"/>
      <c r="H268" s="46"/>
      <c r="I268" s="51"/>
      <c r="J268" s="52"/>
      <c r="K268" s="47"/>
      <c r="L268" s="54"/>
    </row>
    <row r="269" spans="2:12" x14ac:dyDescent="0.25">
      <c r="B269" s="49"/>
      <c r="C269" s="45"/>
      <c r="D269" s="50"/>
      <c r="E269" s="50"/>
      <c r="F269" s="50"/>
      <c r="G269" s="50"/>
      <c r="H269" s="46"/>
      <c r="I269" s="51"/>
      <c r="J269" s="52"/>
      <c r="K269" s="47"/>
      <c r="L269" s="54"/>
    </row>
    <row r="270" spans="2:12" x14ac:dyDescent="0.25">
      <c r="B270" s="49"/>
      <c r="C270" s="45"/>
      <c r="D270" s="50"/>
      <c r="E270" s="50"/>
      <c r="F270" s="50"/>
      <c r="G270" s="50"/>
      <c r="H270" s="46"/>
      <c r="I270" s="51"/>
      <c r="J270" s="52"/>
      <c r="K270" s="47"/>
      <c r="L270" s="54"/>
    </row>
    <row r="271" spans="2:12" x14ac:dyDescent="0.25">
      <c r="B271" s="49"/>
      <c r="C271" s="45"/>
      <c r="D271" s="50"/>
      <c r="E271" s="50"/>
      <c r="F271" s="50"/>
      <c r="G271" s="50"/>
      <c r="H271" s="46"/>
      <c r="I271" s="51"/>
      <c r="J271" s="52"/>
      <c r="K271" s="47"/>
      <c r="L271" s="54"/>
    </row>
    <row r="272" spans="2:12" x14ac:dyDescent="0.25">
      <c r="B272" s="49"/>
      <c r="C272" s="45"/>
      <c r="D272" s="50"/>
      <c r="E272" s="50"/>
      <c r="F272" s="50"/>
      <c r="G272" s="50"/>
      <c r="H272" s="46"/>
      <c r="I272" s="51"/>
      <c r="J272" s="52"/>
      <c r="K272" s="47"/>
      <c r="L272" s="54"/>
    </row>
    <row r="273" spans="2:12" x14ac:dyDescent="0.25">
      <c r="B273" s="49"/>
      <c r="C273" s="45"/>
      <c r="D273" s="50"/>
      <c r="E273" s="50"/>
      <c r="F273" s="50"/>
      <c r="G273" s="50"/>
      <c r="H273" s="46"/>
      <c r="I273" s="51"/>
      <c r="J273" s="52"/>
      <c r="K273" s="47"/>
      <c r="L273" s="54"/>
    </row>
    <row r="274" spans="2:12" x14ac:dyDescent="0.25">
      <c r="B274" s="49"/>
      <c r="C274" s="45"/>
      <c r="D274" s="50"/>
      <c r="E274" s="50"/>
      <c r="F274" s="50"/>
      <c r="G274" s="50"/>
      <c r="H274" s="46"/>
      <c r="I274" s="51"/>
      <c r="J274" s="52"/>
      <c r="K274" s="47"/>
      <c r="L274" s="54"/>
    </row>
    <row r="275" spans="2:12" x14ac:dyDescent="0.25">
      <c r="B275" s="49"/>
      <c r="C275" s="45"/>
      <c r="D275" s="50"/>
      <c r="E275" s="50"/>
      <c r="F275" s="50"/>
      <c r="G275" s="50"/>
      <c r="H275" s="46"/>
      <c r="I275" s="51"/>
      <c r="J275" s="52"/>
      <c r="K275" s="47"/>
      <c r="L275" s="54"/>
    </row>
    <row r="276" spans="2:12" x14ac:dyDescent="0.25">
      <c r="B276" s="49"/>
      <c r="C276" s="45"/>
      <c r="D276" s="50"/>
      <c r="E276" s="50"/>
      <c r="F276" s="50"/>
      <c r="G276" s="50"/>
      <c r="H276" s="46"/>
      <c r="I276" s="51"/>
      <c r="J276" s="52"/>
      <c r="K276" s="47"/>
      <c r="L276" s="54"/>
    </row>
    <row r="277" spans="2:12" x14ac:dyDescent="0.25">
      <c r="B277" s="49"/>
      <c r="C277" s="45"/>
      <c r="D277" s="50"/>
      <c r="E277" s="50"/>
      <c r="F277" s="50"/>
      <c r="G277" s="50"/>
      <c r="H277" s="46"/>
      <c r="I277" s="51"/>
      <c r="J277" s="52"/>
      <c r="K277" s="47"/>
      <c r="L277" s="54"/>
    </row>
    <row r="278" spans="2:12" x14ac:dyDescent="0.25">
      <c r="B278" s="49"/>
      <c r="C278" s="45"/>
      <c r="D278" s="50"/>
      <c r="E278" s="50"/>
      <c r="F278" s="50"/>
      <c r="G278" s="50"/>
      <c r="H278" s="46"/>
      <c r="I278" s="51"/>
      <c r="J278" s="52"/>
      <c r="K278" s="47"/>
      <c r="L278" s="54"/>
    </row>
    <row r="279" spans="2:12" x14ac:dyDescent="0.25">
      <c r="B279" s="49"/>
      <c r="C279" s="45"/>
      <c r="D279" s="50"/>
      <c r="E279" s="50"/>
      <c r="F279" s="50"/>
      <c r="G279" s="50"/>
      <c r="H279" s="46"/>
      <c r="I279" s="51"/>
      <c r="J279" s="52"/>
      <c r="K279" s="47"/>
      <c r="L279" s="54"/>
    </row>
    <row r="280" spans="2:12" x14ac:dyDescent="0.25">
      <c r="B280" s="49"/>
      <c r="C280" s="45"/>
      <c r="D280" s="50"/>
      <c r="E280" s="50"/>
      <c r="F280" s="50"/>
      <c r="G280" s="50"/>
      <c r="H280" s="46"/>
      <c r="I280" s="51"/>
      <c r="J280" s="52"/>
      <c r="K280" s="47"/>
      <c r="L280" s="54"/>
    </row>
    <row r="281" spans="2:12" x14ac:dyDescent="0.25">
      <c r="B281" s="49"/>
      <c r="C281" s="45"/>
      <c r="D281" s="50"/>
      <c r="E281" s="50"/>
      <c r="F281" s="50"/>
      <c r="G281" s="50"/>
      <c r="H281" s="46"/>
      <c r="I281" s="51"/>
      <c r="J281" s="52"/>
      <c r="K281" s="47"/>
      <c r="L281" s="54"/>
    </row>
    <row r="282" spans="2:12" x14ac:dyDescent="0.25">
      <c r="B282" s="49"/>
      <c r="C282" s="45"/>
      <c r="D282" s="50"/>
      <c r="E282" s="50"/>
      <c r="F282" s="50"/>
      <c r="G282" s="50"/>
      <c r="H282" s="46"/>
      <c r="I282" s="51"/>
      <c r="J282" s="52"/>
      <c r="K282" s="47"/>
      <c r="L282" s="54"/>
    </row>
    <row r="283" spans="2:12" x14ac:dyDescent="0.25">
      <c r="B283" s="49"/>
      <c r="C283" s="45"/>
      <c r="D283" s="50"/>
      <c r="E283" s="50"/>
      <c r="F283" s="50"/>
      <c r="G283" s="50"/>
      <c r="H283" s="46"/>
      <c r="I283" s="51"/>
      <c r="J283" s="52"/>
      <c r="K283" s="47"/>
      <c r="L283" s="54"/>
    </row>
    <row r="284" spans="2:12" x14ac:dyDescent="0.25">
      <c r="B284" s="49"/>
      <c r="C284" s="45"/>
      <c r="D284" s="50"/>
      <c r="E284" s="50"/>
      <c r="F284" s="50"/>
      <c r="G284" s="50"/>
      <c r="H284" s="46"/>
      <c r="I284" s="51"/>
      <c r="J284" s="52"/>
      <c r="K284" s="47"/>
      <c r="L284" s="54"/>
    </row>
    <row r="285" spans="2:12" x14ac:dyDescent="0.25">
      <c r="B285" s="49"/>
      <c r="C285" s="45"/>
      <c r="D285" s="50"/>
      <c r="E285" s="50"/>
      <c r="F285" s="50"/>
      <c r="G285" s="50"/>
      <c r="H285" s="46"/>
      <c r="I285" s="51"/>
      <c r="J285" s="52"/>
      <c r="K285" s="47"/>
      <c r="L285" s="54"/>
    </row>
    <row r="286" spans="2:12" x14ac:dyDescent="0.25">
      <c r="B286" s="49"/>
      <c r="C286" s="45"/>
      <c r="D286" s="50"/>
      <c r="E286" s="50"/>
      <c r="F286" s="50"/>
      <c r="G286" s="50"/>
      <c r="H286" s="46"/>
      <c r="I286" s="51"/>
      <c r="J286" s="52"/>
      <c r="K286" s="47"/>
      <c r="L286" s="54"/>
    </row>
    <row r="287" spans="2:12" x14ac:dyDescent="0.25">
      <c r="B287" s="49"/>
      <c r="C287" s="45"/>
      <c r="D287" s="50"/>
      <c r="E287" s="50"/>
      <c r="F287" s="50"/>
      <c r="G287" s="50"/>
      <c r="H287" s="46"/>
      <c r="I287" s="51"/>
      <c r="J287" s="52"/>
      <c r="K287" s="47"/>
      <c r="L287" s="54"/>
    </row>
    <row r="288" spans="2:12" x14ac:dyDescent="0.25">
      <c r="B288" s="49"/>
      <c r="C288" s="45"/>
      <c r="D288" s="50"/>
      <c r="E288" s="50"/>
      <c r="F288" s="50"/>
      <c r="G288" s="50"/>
      <c r="H288" s="46"/>
      <c r="I288" s="51"/>
      <c r="J288" s="52"/>
      <c r="K288" s="47"/>
      <c r="L288" s="54"/>
    </row>
    <row r="289" spans="2:12" x14ac:dyDescent="0.25">
      <c r="B289" s="49"/>
      <c r="C289" s="45"/>
      <c r="D289" s="50"/>
      <c r="E289" s="50"/>
      <c r="F289" s="50"/>
      <c r="G289" s="50"/>
      <c r="H289" s="46"/>
      <c r="I289" s="51"/>
      <c r="J289" s="52"/>
      <c r="K289" s="47"/>
      <c r="L289" s="54"/>
    </row>
    <row r="290" spans="2:12" x14ac:dyDescent="0.25">
      <c r="B290" s="49"/>
      <c r="C290" s="45"/>
      <c r="D290" s="50"/>
      <c r="E290" s="50"/>
      <c r="F290" s="50"/>
      <c r="G290" s="50"/>
      <c r="H290" s="46"/>
      <c r="I290" s="51"/>
      <c r="J290" s="52"/>
      <c r="K290" s="47"/>
      <c r="L290" s="54"/>
    </row>
    <row r="291" spans="2:12" x14ac:dyDescent="0.25">
      <c r="B291" s="49"/>
      <c r="C291" s="45"/>
      <c r="D291" s="50"/>
      <c r="E291" s="50"/>
      <c r="F291" s="50"/>
      <c r="G291" s="50"/>
      <c r="H291" s="46"/>
      <c r="I291" s="51"/>
      <c r="J291" s="52"/>
      <c r="K291" s="47"/>
      <c r="L291" s="54"/>
    </row>
    <row r="292" spans="2:12" x14ac:dyDescent="0.25">
      <c r="B292" s="49"/>
      <c r="C292" s="45"/>
      <c r="D292" s="50"/>
      <c r="E292" s="50"/>
      <c r="F292" s="50"/>
      <c r="G292" s="50"/>
      <c r="H292" s="46"/>
      <c r="I292" s="51"/>
      <c r="J292" s="52"/>
      <c r="K292" s="47"/>
      <c r="L292" s="54"/>
    </row>
    <row r="293" spans="2:12" x14ac:dyDescent="0.25">
      <c r="B293" s="49"/>
      <c r="C293" s="45"/>
      <c r="D293" s="50"/>
      <c r="E293" s="50"/>
      <c r="F293" s="50"/>
      <c r="G293" s="50"/>
      <c r="H293" s="46"/>
      <c r="I293" s="51"/>
      <c r="J293" s="52"/>
      <c r="K293" s="47"/>
      <c r="L293" s="54"/>
    </row>
    <row r="294" spans="2:12" x14ac:dyDescent="0.25">
      <c r="B294" s="49"/>
      <c r="C294" s="45"/>
      <c r="D294" s="50"/>
      <c r="E294" s="50"/>
      <c r="F294" s="50"/>
      <c r="G294" s="50"/>
      <c r="H294" s="46"/>
      <c r="I294" s="51"/>
      <c r="J294" s="52"/>
      <c r="K294" s="47"/>
      <c r="L294" s="54"/>
    </row>
    <row r="295" spans="2:12" x14ac:dyDescent="0.25">
      <c r="B295" s="49"/>
      <c r="C295" s="45"/>
      <c r="D295" s="50"/>
      <c r="E295" s="50"/>
      <c r="F295" s="50"/>
      <c r="G295" s="50"/>
      <c r="H295" s="46"/>
      <c r="I295" s="51"/>
      <c r="J295" s="52"/>
      <c r="K295" s="47"/>
      <c r="L295" s="54"/>
    </row>
    <row r="296" spans="2:12" x14ac:dyDescent="0.25">
      <c r="B296" s="49"/>
      <c r="C296" s="45"/>
      <c r="D296" s="50"/>
      <c r="E296" s="50"/>
      <c r="F296" s="50"/>
      <c r="G296" s="50"/>
      <c r="H296" s="46"/>
      <c r="I296" s="51"/>
      <c r="J296" s="52"/>
      <c r="K296" s="47"/>
      <c r="L296" s="54"/>
    </row>
    <row r="297" spans="2:12" x14ac:dyDescent="0.25">
      <c r="B297" s="49"/>
      <c r="C297" s="45"/>
      <c r="D297" s="50"/>
      <c r="E297" s="50"/>
      <c r="F297" s="50"/>
      <c r="G297" s="50"/>
      <c r="H297" s="46"/>
      <c r="I297" s="51"/>
      <c r="J297" s="52"/>
      <c r="K297" s="47"/>
      <c r="L297" s="54"/>
    </row>
    <row r="298" spans="2:12" x14ac:dyDescent="0.25">
      <c r="B298" s="49"/>
      <c r="C298" s="45"/>
      <c r="D298" s="50"/>
      <c r="E298" s="50"/>
      <c r="F298" s="50"/>
      <c r="G298" s="50"/>
      <c r="H298" s="46"/>
      <c r="I298" s="51"/>
      <c r="J298" s="52"/>
      <c r="K298" s="47"/>
      <c r="L298" s="54"/>
    </row>
    <row r="299" spans="2:12" x14ac:dyDescent="0.25">
      <c r="B299" s="49"/>
      <c r="C299" s="45"/>
      <c r="D299" s="50"/>
      <c r="E299" s="50"/>
      <c r="F299" s="50"/>
      <c r="G299" s="50"/>
      <c r="H299" s="46"/>
      <c r="I299" s="51"/>
      <c r="J299" s="52"/>
      <c r="K299" s="47"/>
      <c r="L299" s="54"/>
    </row>
    <row r="300" spans="2:12" x14ac:dyDescent="0.25">
      <c r="B300" s="49"/>
      <c r="C300" s="2"/>
      <c r="D300" s="50"/>
      <c r="E300" s="50"/>
      <c r="F300" s="50"/>
      <c r="G300" s="50"/>
      <c r="H300" s="46"/>
      <c r="I300" s="51"/>
      <c r="J300" s="52"/>
      <c r="K300" s="47"/>
      <c r="L300" s="54"/>
    </row>
    <row r="301" spans="2:12" x14ac:dyDescent="0.25">
      <c r="B301" s="49"/>
      <c r="C301" s="2"/>
      <c r="D301" s="50"/>
      <c r="E301" s="50"/>
      <c r="F301" s="50"/>
      <c r="G301" s="50"/>
      <c r="H301" s="46"/>
      <c r="I301" s="51"/>
      <c r="J301" s="52"/>
      <c r="K301" s="47"/>
      <c r="L301" s="54"/>
    </row>
    <row r="302" spans="2:12" x14ac:dyDescent="0.25">
      <c r="B302" s="49"/>
      <c r="C302" s="2"/>
      <c r="D302" s="50"/>
      <c r="E302" s="50"/>
      <c r="F302" s="50"/>
      <c r="G302" s="50"/>
      <c r="H302" s="46"/>
      <c r="I302" s="51"/>
      <c r="J302" s="52"/>
      <c r="K302" s="47"/>
      <c r="L302" s="54"/>
    </row>
    <row r="303" spans="2:12" x14ac:dyDescent="0.25">
      <c r="B303" s="49"/>
      <c r="C303" s="2"/>
      <c r="D303" s="50"/>
      <c r="E303" s="50"/>
      <c r="F303" s="50"/>
      <c r="G303" s="50"/>
      <c r="H303" s="46"/>
      <c r="I303" s="51"/>
      <c r="J303" s="52"/>
      <c r="K303" s="47"/>
      <c r="L303" s="54"/>
    </row>
    <row r="304" spans="2:12" x14ac:dyDescent="0.25">
      <c r="B304" s="49"/>
      <c r="C304" s="2"/>
      <c r="D304" s="50"/>
      <c r="E304" s="50"/>
      <c r="F304" s="50"/>
      <c r="G304" s="50"/>
      <c r="H304" s="46"/>
      <c r="I304" s="51"/>
      <c r="J304" s="52"/>
      <c r="K304" s="47"/>
      <c r="L304" s="54"/>
    </row>
    <row r="305" spans="2:12" x14ac:dyDescent="0.25">
      <c r="B305" s="49"/>
      <c r="C305" s="2"/>
      <c r="D305" s="50"/>
      <c r="E305" s="50"/>
      <c r="F305" s="50"/>
      <c r="G305" s="50"/>
      <c r="H305" s="46"/>
      <c r="I305" s="51"/>
      <c r="J305" s="52"/>
      <c r="K305" s="47"/>
      <c r="L305" s="54"/>
    </row>
    <row r="306" spans="2:12" x14ac:dyDescent="0.25">
      <c r="B306" s="49"/>
      <c r="C306" s="2"/>
      <c r="D306" s="50"/>
      <c r="E306" s="50"/>
      <c r="F306" s="50"/>
      <c r="G306" s="50"/>
      <c r="H306" s="46"/>
      <c r="I306" s="51"/>
      <c r="J306" s="52"/>
      <c r="K306" s="47"/>
      <c r="L306" s="54"/>
    </row>
    <row r="307" spans="2:12" x14ac:dyDescent="0.25">
      <c r="B307" s="49"/>
      <c r="C307" s="2"/>
      <c r="D307" s="50"/>
      <c r="E307" s="50"/>
      <c r="F307" s="50"/>
      <c r="G307" s="50"/>
      <c r="H307" s="46"/>
      <c r="I307" s="51"/>
      <c r="J307" s="52"/>
      <c r="K307" s="47"/>
      <c r="L307" s="54"/>
    </row>
    <row r="308" spans="2:12" x14ac:dyDescent="0.25">
      <c r="B308" s="49"/>
      <c r="C308" s="2"/>
      <c r="D308" s="50"/>
      <c r="E308" s="50"/>
      <c r="F308" s="50"/>
      <c r="G308" s="50"/>
      <c r="H308" s="46"/>
      <c r="I308" s="51"/>
      <c r="J308" s="52"/>
      <c r="K308" s="47"/>
      <c r="L308" s="54"/>
    </row>
    <row r="309" spans="2:12" x14ac:dyDescent="0.25">
      <c r="B309" s="49"/>
      <c r="C309" s="2"/>
      <c r="D309" s="50"/>
      <c r="E309" s="50"/>
      <c r="F309" s="50"/>
      <c r="G309" s="50"/>
      <c r="H309" s="46"/>
      <c r="I309" s="51"/>
      <c r="J309" s="52"/>
      <c r="K309" s="47"/>
      <c r="L309" s="54"/>
    </row>
    <row r="310" spans="2:12" x14ac:dyDescent="0.25">
      <c r="B310" s="49"/>
      <c r="C310" s="2"/>
      <c r="D310" s="50"/>
      <c r="E310" s="50"/>
      <c r="F310" s="50"/>
      <c r="G310" s="50"/>
      <c r="H310" s="46"/>
      <c r="I310" s="51"/>
      <c r="J310" s="52"/>
      <c r="K310" s="47"/>
      <c r="L310" s="54"/>
    </row>
    <row r="311" spans="2:12" x14ac:dyDescent="0.25">
      <c r="B311" s="49"/>
      <c r="C311" s="2"/>
      <c r="D311" s="50"/>
      <c r="E311" s="50"/>
      <c r="F311" s="50"/>
      <c r="G311" s="50"/>
      <c r="H311" s="46"/>
      <c r="I311" s="51"/>
      <c r="J311" s="52"/>
      <c r="K311" s="47"/>
      <c r="L311" s="54"/>
    </row>
    <row r="312" spans="2:12" x14ac:dyDescent="0.25">
      <c r="B312" s="49"/>
      <c r="C312" s="2"/>
      <c r="D312" s="50"/>
      <c r="E312" s="50"/>
      <c r="F312" s="50"/>
      <c r="G312" s="50"/>
      <c r="H312" s="46"/>
      <c r="I312" s="51"/>
      <c r="J312" s="52"/>
      <c r="K312" s="47"/>
      <c r="L312" s="54"/>
    </row>
    <row r="313" spans="2:12" x14ac:dyDescent="0.25">
      <c r="B313" s="49"/>
      <c r="C313" s="2"/>
      <c r="D313" s="50"/>
      <c r="E313" s="50"/>
      <c r="F313" s="50"/>
      <c r="G313" s="50"/>
      <c r="H313" s="46"/>
      <c r="I313" s="51"/>
      <c r="J313" s="52"/>
      <c r="K313" s="47"/>
      <c r="L313" s="54"/>
    </row>
    <row r="314" spans="2:12" x14ac:dyDescent="0.25">
      <c r="B314" s="49"/>
      <c r="C314" s="2"/>
      <c r="D314" s="50"/>
      <c r="E314" s="50"/>
      <c r="F314" s="50"/>
      <c r="G314" s="50"/>
      <c r="H314" s="46"/>
      <c r="I314" s="51"/>
      <c r="J314" s="52"/>
      <c r="K314" s="47"/>
      <c r="L314" s="54"/>
    </row>
    <row r="315" spans="2:12" x14ac:dyDescent="0.25">
      <c r="B315" s="49"/>
      <c r="C315" s="2"/>
      <c r="D315" s="50"/>
      <c r="E315" s="50"/>
      <c r="F315" s="50"/>
      <c r="G315" s="50"/>
      <c r="H315" s="46"/>
      <c r="I315" s="51"/>
      <c r="J315" s="52"/>
      <c r="K315" s="47"/>
      <c r="L315" s="54"/>
    </row>
    <row r="316" spans="2:12" x14ac:dyDescent="0.25">
      <c r="B316" s="49"/>
      <c r="C316" s="2"/>
      <c r="D316" s="50"/>
      <c r="E316" s="50"/>
      <c r="F316" s="50"/>
      <c r="G316" s="50"/>
      <c r="H316" s="46"/>
      <c r="I316" s="51"/>
      <c r="J316" s="52"/>
      <c r="K316" s="47"/>
      <c r="L316" s="54"/>
    </row>
    <row r="317" spans="2:12" x14ac:dyDescent="0.25">
      <c r="B317" s="49"/>
      <c r="C317" s="2"/>
      <c r="D317" s="50"/>
      <c r="E317" s="50"/>
      <c r="F317" s="50"/>
      <c r="G317" s="50"/>
      <c r="H317" s="46"/>
      <c r="I317" s="51"/>
      <c r="J317" s="52"/>
      <c r="K317" s="47"/>
      <c r="L317" s="54"/>
    </row>
    <row r="318" spans="2:12" x14ac:dyDescent="0.25">
      <c r="B318" s="49"/>
      <c r="C318" s="2"/>
      <c r="D318" s="50"/>
      <c r="E318" s="50"/>
      <c r="F318" s="50"/>
      <c r="G318" s="50"/>
      <c r="H318" s="46"/>
      <c r="I318" s="51"/>
      <c r="J318" s="52"/>
      <c r="K318" s="47"/>
      <c r="L318" s="54"/>
    </row>
    <row r="319" spans="2:12" x14ac:dyDescent="0.25">
      <c r="B319" s="49"/>
      <c r="C319" s="2"/>
      <c r="D319" s="50"/>
      <c r="E319" s="50"/>
      <c r="F319" s="50"/>
      <c r="G319" s="50"/>
      <c r="H319" s="46"/>
      <c r="I319" s="51"/>
      <c r="J319" s="52"/>
      <c r="K319" s="47"/>
      <c r="L319" s="54"/>
    </row>
    <row r="320" spans="2:12" x14ac:dyDescent="0.25">
      <c r="B320" s="49"/>
      <c r="C320" s="2"/>
      <c r="D320" s="50"/>
      <c r="E320" s="50"/>
      <c r="F320" s="50"/>
      <c r="G320" s="50"/>
      <c r="H320" s="46"/>
      <c r="I320" s="51"/>
      <c r="J320" s="52"/>
      <c r="K320" s="47"/>
      <c r="L320" s="54"/>
    </row>
    <row r="321" spans="2:12" x14ac:dyDescent="0.25">
      <c r="B321" s="49"/>
      <c r="C321" s="2"/>
      <c r="D321" s="50"/>
      <c r="E321" s="50"/>
      <c r="F321" s="50"/>
      <c r="G321" s="50"/>
      <c r="H321" s="46"/>
      <c r="I321" s="51"/>
      <c r="J321" s="52"/>
      <c r="K321" s="47"/>
      <c r="L321" s="54"/>
    </row>
    <row r="322" spans="2:12" x14ac:dyDescent="0.25">
      <c r="B322" s="49"/>
      <c r="C322" s="2"/>
      <c r="D322" s="50"/>
      <c r="E322" s="50"/>
      <c r="F322" s="50"/>
      <c r="G322" s="50"/>
      <c r="H322" s="46"/>
      <c r="I322" s="51"/>
      <c r="J322" s="52"/>
      <c r="K322" s="47"/>
      <c r="L322" s="54"/>
    </row>
    <row r="323" spans="2:12" x14ac:dyDescent="0.25">
      <c r="B323" s="49"/>
      <c r="C323" s="2"/>
      <c r="D323" s="50"/>
      <c r="E323" s="50"/>
      <c r="F323" s="50"/>
      <c r="G323" s="50"/>
      <c r="H323" s="46"/>
      <c r="I323" s="51"/>
      <c r="J323" s="52"/>
      <c r="K323" s="47"/>
      <c r="L323" s="54"/>
    </row>
    <row r="324" spans="2:12" x14ac:dyDescent="0.25">
      <c r="B324" s="49"/>
      <c r="C324" s="2"/>
      <c r="D324" s="50"/>
      <c r="E324" s="50"/>
      <c r="F324" s="50"/>
      <c r="G324" s="50"/>
      <c r="H324" s="46"/>
      <c r="I324" s="51"/>
      <c r="J324" s="52"/>
      <c r="K324" s="47"/>
      <c r="L324" s="54"/>
    </row>
    <row r="325" spans="2:12" x14ac:dyDescent="0.25">
      <c r="B325" s="49"/>
      <c r="C325" s="2"/>
      <c r="D325" s="50"/>
      <c r="E325" s="50"/>
      <c r="F325" s="50"/>
      <c r="G325" s="50"/>
      <c r="H325" s="46"/>
      <c r="I325" s="51"/>
      <c r="J325" s="52"/>
      <c r="K325" s="47"/>
      <c r="L325" s="54"/>
    </row>
    <row r="326" spans="2:12" x14ac:dyDescent="0.25">
      <c r="B326" s="49"/>
      <c r="C326" s="2"/>
      <c r="D326" s="50"/>
      <c r="E326" s="50"/>
      <c r="F326" s="50"/>
      <c r="G326" s="50"/>
      <c r="H326" s="46"/>
      <c r="I326" s="51"/>
      <c r="J326" s="52"/>
      <c r="K326" s="47"/>
      <c r="L326" s="54"/>
    </row>
    <row r="327" spans="2:12" x14ac:dyDescent="0.25">
      <c r="B327" s="49"/>
      <c r="C327" s="2"/>
      <c r="D327" s="50"/>
      <c r="E327" s="50"/>
      <c r="F327" s="50"/>
      <c r="G327" s="50"/>
      <c r="H327" s="46"/>
      <c r="I327" s="51"/>
      <c r="J327" s="52"/>
      <c r="K327" s="47"/>
      <c r="L327" s="54"/>
    </row>
    <row r="328" spans="2:12" x14ac:dyDescent="0.25">
      <c r="B328" s="49"/>
      <c r="C328" s="2"/>
      <c r="D328" s="50"/>
      <c r="E328" s="50"/>
      <c r="F328" s="50"/>
      <c r="G328" s="50"/>
      <c r="H328" s="46"/>
      <c r="I328" s="51"/>
      <c r="J328" s="52"/>
      <c r="K328" s="47"/>
      <c r="L328" s="54"/>
    </row>
    <row r="329" spans="2:12" x14ac:dyDescent="0.25">
      <c r="B329" s="49"/>
      <c r="C329" s="2"/>
      <c r="D329" s="50"/>
      <c r="E329" s="50"/>
      <c r="F329" s="50"/>
      <c r="G329" s="50"/>
      <c r="H329" s="46"/>
      <c r="I329" s="51"/>
      <c r="J329" s="52"/>
      <c r="K329" s="47"/>
      <c r="L329" s="54"/>
    </row>
    <row r="330" spans="2:12" x14ac:dyDescent="0.25">
      <c r="B330" s="49"/>
      <c r="C330" s="2"/>
      <c r="D330" s="50"/>
      <c r="E330" s="50"/>
      <c r="F330" s="50"/>
      <c r="G330" s="50"/>
      <c r="H330" s="46"/>
      <c r="I330" s="51"/>
      <c r="J330" s="52"/>
      <c r="K330" s="47"/>
      <c r="L330" s="54"/>
    </row>
    <row r="331" spans="2:12" x14ac:dyDescent="0.25">
      <c r="B331" s="49"/>
      <c r="C331" s="2"/>
      <c r="D331" s="50"/>
      <c r="E331" s="50"/>
      <c r="F331" s="50"/>
      <c r="G331" s="50"/>
      <c r="H331" s="46"/>
      <c r="I331" s="51"/>
      <c r="J331" s="52"/>
      <c r="K331" s="47"/>
      <c r="L331" s="54"/>
    </row>
    <row r="332" spans="2:12" x14ac:dyDescent="0.25">
      <c r="B332" s="49"/>
      <c r="C332" s="2"/>
      <c r="D332" s="50"/>
      <c r="E332" s="50"/>
      <c r="F332" s="50"/>
      <c r="G332" s="50"/>
      <c r="H332" s="46"/>
      <c r="I332" s="51"/>
      <c r="J332" s="52"/>
      <c r="K332" s="47"/>
      <c r="L332" s="54"/>
    </row>
    <row r="333" spans="2:12" x14ac:dyDescent="0.25">
      <c r="B333" s="49"/>
      <c r="C333" s="2"/>
      <c r="D333" s="50"/>
      <c r="E333" s="50"/>
      <c r="F333" s="50"/>
      <c r="G333" s="50"/>
      <c r="H333" s="46"/>
      <c r="I333" s="51"/>
      <c r="J333" s="52"/>
      <c r="K333" s="47"/>
      <c r="L333" s="54"/>
    </row>
    <row r="334" spans="2:12" x14ac:dyDescent="0.25">
      <c r="B334" s="49"/>
      <c r="C334" s="2"/>
      <c r="D334" s="50"/>
      <c r="E334" s="50"/>
      <c r="F334" s="50"/>
      <c r="G334" s="50"/>
      <c r="H334" s="46"/>
      <c r="I334" s="51"/>
      <c r="J334" s="52"/>
      <c r="K334" s="47"/>
      <c r="L334" s="54"/>
    </row>
    <row r="335" spans="2:12" x14ac:dyDescent="0.25">
      <c r="B335" s="49"/>
      <c r="C335" s="2"/>
      <c r="D335" s="50"/>
      <c r="E335" s="50"/>
      <c r="F335" s="50"/>
      <c r="G335" s="50"/>
      <c r="H335" s="46"/>
      <c r="I335" s="51"/>
      <c r="J335" s="52"/>
      <c r="K335" s="47"/>
      <c r="L335" s="54"/>
    </row>
    <row r="336" spans="2:12" x14ac:dyDescent="0.25">
      <c r="B336" s="49"/>
      <c r="C336" s="2"/>
      <c r="D336" s="50"/>
      <c r="E336" s="50"/>
      <c r="F336" s="50"/>
      <c r="G336" s="50"/>
      <c r="H336" s="46"/>
      <c r="I336" s="51"/>
      <c r="J336" s="52"/>
      <c r="K336" s="47"/>
      <c r="L336" s="54"/>
    </row>
    <row r="337" spans="2:12" x14ac:dyDescent="0.25">
      <c r="B337" s="49"/>
      <c r="C337" s="2"/>
      <c r="D337" s="50"/>
      <c r="E337" s="50"/>
      <c r="F337" s="50"/>
      <c r="G337" s="50"/>
      <c r="H337" s="46"/>
      <c r="I337" s="51"/>
      <c r="J337" s="52"/>
      <c r="K337" s="47"/>
      <c r="L337" s="54"/>
    </row>
    <row r="338" spans="2:12" x14ac:dyDescent="0.25">
      <c r="B338" s="49"/>
      <c r="C338" s="2"/>
      <c r="D338" s="50"/>
      <c r="E338" s="50"/>
      <c r="F338" s="50"/>
      <c r="G338" s="50"/>
      <c r="H338" s="46"/>
      <c r="I338" s="51"/>
      <c r="J338" s="52"/>
      <c r="K338" s="47"/>
      <c r="L338" s="54"/>
    </row>
    <row r="339" spans="2:12" x14ac:dyDescent="0.25">
      <c r="B339" s="49"/>
      <c r="C339" s="2"/>
      <c r="D339" s="50"/>
      <c r="E339" s="50"/>
      <c r="F339" s="50"/>
      <c r="G339" s="50"/>
      <c r="H339" s="46"/>
      <c r="I339" s="51"/>
      <c r="J339" s="52"/>
      <c r="K339" s="47"/>
      <c r="L339" s="54"/>
    </row>
    <row r="340" spans="2:12" x14ac:dyDescent="0.25">
      <c r="B340" s="49"/>
      <c r="C340" s="2"/>
      <c r="D340" s="50"/>
      <c r="E340" s="50"/>
      <c r="F340" s="50"/>
      <c r="G340" s="50"/>
      <c r="H340" s="46"/>
      <c r="I340" s="51"/>
      <c r="J340" s="52"/>
      <c r="K340" s="47"/>
      <c r="L340" s="54"/>
    </row>
    <row r="341" spans="2:12" x14ac:dyDescent="0.25">
      <c r="B341" s="49"/>
      <c r="C341" s="2"/>
      <c r="D341" s="50"/>
      <c r="E341" s="50"/>
      <c r="F341" s="50"/>
      <c r="G341" s="50"/>
      <c r="H341" s="46"/>
      <c r="I341" s="51"/>
      <c r="J341" s="52"/>
      <c r="K341" s="47"/>
      <c r="L341" s="54"/>
    </row>
    <row r="342" spans="2:12" x14ac:dyDescent="0.25">
      <c r="B342" s="49"/>
      <c r="C342" s="2"/>
      <c r="D342" s="50"/>
      <c r="E342" s="50"/>
      <c r="F342" s="50"/>
      <c r="G342" s="50"/>
      <c r="H342" s="46"/>
      <c r="I342" s="51"/>
      <c r="J342" s="52"/>
      <c r="K342" s="47"/>
      <c r="L342" s="54"/>
    </row>
    <row r="343" spans="2:12" x14ac:dyDescent="0.25">
      <c r="B343" s="49"/>
      <c r="C343" s="2"/>
      <c r="D343" s="50"/>
      <c r="E343" s="50"/>
      <c r="F343" s="50"/>
      <c r="G343" s="50"/>
      <c r="H343" s="46"/>
      <c r="I343" s="51"/>
      <c r="J343" s="52"/>
      <c r="K343" s="47"/>
      <c r="L343" s="54"/>
    </row>
    <row r="344" spans="2:12" x14ac:dyDescent="0.25">
      <c r="B344" s="49"/>
      <c r="C344" s="2"/>
      <c r="D344" s="50"/>
      <c r="E344" s="50"/>
      <c r="F344" s="50"/>
      <c r="G344" s="50"/>
      <c r="H344" s="46"/>
      <c r="I344" s="51"/>
      <c r="J344" s="52"/>
      <c r="K344" s="47"/>
      <c r="L344" s="54"/>
    </row>
    <row r="345" spans="2:12" x14ac:dyDescent="0.25">
      <c r="B345" s="49"/>
      <c r="C345" s="2"/>
      <c r="D345" s="50"/>
      <c r="E345" s="50"/>
      <c r="F345" s="50"/>
      <c r="G345" s="50"/>
      <c r="H345" s="46"/>
      <c r="I345" s="51"/>
      <c r="J345" s="52"/>
      <c r="K345" s="47"/>
      <c r="L345" s="54"/>
    </row>
    <row r="346" spans="2:12" x14ac:dyDescent="0.25">
      <c r="B346" s="49"/>
      <c r="C346" s="2"/>
      <c r="D346" s="50"/>
      <c r="E346" s="50"/>
      <c r="F346" s="50"/>
      <c r="G346" s="50"/>
      <c r="H346" s="46"/>
      <c r="I346" s="51"/>
      <c r="J346" s="52"/>
      <c r="K346" s="47"/>
      <c r="L346" s="54"/>
    </row>
    <row r="347" spans="2:12" x14ac:dyDescent="0.25">
      <c r="B347" s="49"/>
      <c r="C347" s="2"/>
      <c r="D347" s="50"/>
      <c r="E347" s="50"/>
      <c r="F347" s="50"/>
      <c r="G347" s="50"/>
      <c r="H347" s="46"/>
      <c r="I347" s="51"/>
      <c r="J347" s="52"/>
      <c r="K347" s="47"/>
      <c r="L347" s="54"/>
    </row>
    <row r="348" spans="2:12" x14ac:dyDescent="0.25">
      <c r="B348" s="49"/>
      <c r="C348" s="2"/>
      <c r="D348" s="50"/>
      <c r="E348" s="50"/>
      <c r="F348" s="50"/>
      <c r="G348" s="50"/>
      <c r="H348" s="46"/>
      <c r="I348" s="51"/>
      <c r="J348" s="52"/>
      <c r="K348" s="47"/>
      <c r="L348" s="54"/>
    </row>
    <row r="349" spans="2:12" x14ac:dyDescent="0.25">
      <c r="B349" s="49"/>
      <c r="C349" s="2"/>
      <c r="D349" s="50"/>
      <c r="E349" s="50"/>
      <c r="F349" s="50"/>
      <c r="G349" s="50"/>
      <c r="H349" s="46"/>
      <c r="I349" s="51"/>
      <c r="J349" s="52"/>
      <c r="K349" s="47"/>
      <c r="L349" s="54"/>
    </row>
    <row r="350" spans="2:12" x14ac:dyDescent="0.25">
      <c r="B350" s="49"/>
      <c r="C350" s="2"/>
      <c r="D350" s="50"/>
      <c r="E350" s="50"/>
      <c r="F350" s="50"/>
      <c r="G350" s="50"/>
      <c r="H350" s="46"/>
      <c r="I350" s="51"/>
      <c r="J350" s="52"/>
      <c r="K350" s="47"/>
      <c r="L350" s="54"/>
    </row>
    <row r="351" spans="2:12" x14ac:dyDescent="0.25">
      <c r="B351" s="49"/>
      <c r="C351" s="2"/>
      <c r="D351" s="50"/>
      <c r="E351" s="50"/>
      <c r="F351" s="50"/>
      <c r="G351" s="50"/>
      <c r="H351" s="46"/>
      <c r="I351" s="51"/>
      <c r="J351" s="52"/>
      <c r="K351" s="47"/>
      <c r="L351" s="54"/>
    </row>
    <row r="352" spans="2:12" x14ac:dyDescent="0.25">
      <c r="B352" s="49"/>
      <c r="C352" s="2"/>
      <c r="D352" s="50"/>
      <c r="E352" s="50"/>
      <c r="F352" s="50"/>
      <c r="G352" s="50"/>
      <c r="H352" s="46"/>
      <c r="I352" s="51"/>
      <c r="J352" s="52"/>
      <c r="K352" s="47"/>
      <c r="L352" s="54"/>
    </row>
    <row r="353" spans="2:12" x14ac:dyDescent="0.25">
      <c r="B353" s="49"/>
      <c r="C353" s="2"/>
      <c r="D353" s="50"/>
      <c r="E353" s="50"/>
      <c r="F353" s="50"/>
      <c r="G353" s="50"/>
      <c r="H353" s="46"/>
      <c r="I353" s="51"/>
      <c r="J353" s="52"/>
      <c r="K353" s="47"/>
      <c r="L353" s="54"/>
    </row>
    <row r="354" spans="2:12" x14ac:dyDescent="0.25">
      <c r="B354" s="49"/>
      <c r="C354" s="2"/>
      <c r="D354" s="50"/>
      <c r="E354" s="50"/>
      <c r="F354" s="50"/>
      <c r="G354" s="50"/>
      <c r="H354" s="46"/>
      <c r="I354" s="51"/>
      <c r="J354" s="52"/>
      <c r="K354" s="47"/>
      <c r="L354" s="54"/>
    </row>
    <row r="355" spans="2:12" x14ac:dyDescent="0.25">
      <c r="B355" s="49"/>
      <c r="C355" s="2"/>
      <c r="D355" s="50"/>
      <c r="E355" s="50"/>
      <c r="F355" s="50"/>
      <c r="G355" s="50"/>
      <c r="H355" s="46"/>
      <c r="I355" s="51"/>
      <c r="J355" s="52"/>
      <c r="K355" s="47"/>
      <c r="L355" s="54"/>
    </row>
    <row r="356" spans="2:12" x14ac:dyDescent="0.25">
      <c r="B356" s="49"/>
      <c r="C356" s="2"/>
      <c r="D356" s="50"/>
      <c r="E356" s="50"/>
      <c r="F356" s="50"/>
      <c r="G356" s="50"/>
      <c r="H356" s="46"/>
      <c r="I356" s="51"/>
      <c r="J356" s="52"/>
      <c r="K356" s="47"/>
      <c r="L356" s="54"/>
    </row>
    <row r="357" spans="2:12" x14ac:dyDescent="0.25">
      <c r="B357" s="49"/>
      <c r="C357" s="2"/>
      <c r="D357" s="50"/>
      <c r="E357" s="50"/>
      <c r="F357" s="50"/>
      <c r="G357" s="50"/>
      <c r="H357" s="46"/>
      <c r="I357" s="51"/>
      <c r="J357" s="52"/>
      <c r="K357" s="47"/>
      <c r="L357" s="54"/>
    </row>
    <row r="358" spans="2:12" x14ac:dyDescent="0.25">
      <c r="B358" s="49"/>
      <c r="C358" s="2"/>
      <c r="D358" s="50"/>
      <c r="E358" s="50"/>
      <c r="F358" s="50"/>
      <c r="G358" s="50"/>
      <c r="H358" s="46"/>
      <c r="I358" s="51"/>
      <c r="J358" s="52"/>
      <c r="K358" s="47"/>
      <c r="L358" s="54"/>
    </row>
    <row r="359" spans="2:12" x14ac:dyDescent="0.25">
      <c r="B359" s="49"/>
      <c r="C359" s="2"/>
      <c r="D359" s="50"/>
      <c r="E359" s="50"/>
      <c r="F359" s="50"/>
      <c r="G359" s="50"/>
      <c r="H359" s="46"/>
      <c r="I359" s="51"/>
      <c r="J359" s="52"/>
      <c r="K359" s="47"/>
      <c r="L359" s="54"/>
    </row>
    <row r="360" spans="2:12" x14ac:dyDescent="0.25">
      <c r="B360" s="49"/>
      <c r="C360" s="2"/>
      <c r="D360" s="50"/>
      <c r="E360" s="50"/>
      <c r="F360" s="50"/>
      <c r="G360" s="50"/>
      <c r="H360" s="46"/>
      <c r="I360" s="51"/>
      <c r="J360" s="52"/>
      <c r="K360" s="47"/>
      <c r="L360" s="54"/>
    </row>
    <row r="361" spans="2:12" x14ac:dyDescent="0.25">
      <c r="B361" s="49"/>
      <c r="C361" s="2"/>
      <c r="D361" s="50"/>
      <c r="E361" s="50"/>
      <c r="F361" s="50"/>
      <c r="G361" s="50"/>
      <c r="H361" s="46"/>
      <c r="I361" s="51"/>
      <c r="J361" s="52"/>
      <c r="K361" s="47"/>
      <c r="L361" s="54"/>
    </row>
    <row r="362" spans="2:12" x14ac:dyDescent="0.25">
      <c r="B362" s="49"/>
      <c r="C362" s="2"/>
      <c r="D362" s="50"/>
      <c r="E362" s="50"/>
      <c r="F362" s="50"/>
      <c r="G362" s="50"/>
      <c r="H362" s="46"/>
      <c r="I362" s="51"/>
      <c r="J362" s="52"/>
      <c r="K362" s="47"/>
      <c r="L362" s="54"/>
    </row>
    <row r="363" spans="2:12" x14ac:dyDescent="0.25">
      <c r="B363" s="49"/>
      <c r="C363" s="2"/>
      <c r="D363" s="50"/>
      <c r="E363" s="50"/>
      <c r="F363" s="50"/>
      <c r="G363" s="50"/>
      <c r="H363" s="46"/>
      <c r="I363" s="51"/>
      <c r="J363" s="52"/>
      <c r="K363" s="47"/>
      <c r="L363" s="54"/>
    </row>
    <row r="364" spans="2:12" x14ac:dyDescent="0.25">
      <c r="B364" s="49"/>
      <c r="C364" s="2"/>
      <c r="D364" s="50"/>
      <c r="E364" s="50"/>
      <c r="F364" s="50"/>
      <c r="G364" s="50"/>
      <c r="H364" s="46"/>
      <c r="I364" s="51"/>
      <c r="J364" s="52"/>
      <c r="K364" s="47"/>
      <c r="L364" s="54"/>
    </row>
    <row r="365" spans="2:12" x14ac:dyDescent="0.25">
      <c r="B365" s="49"/>
      <c r="C365" s="2"/>
      <c r="D365" s="50"/>
      <c r="E365" s="50"/>
      <c r="F365" s="50"/>
      <c r="G365" s="50"/>
      <c r="H365" s="46"/>
      <c r="I365" s="51"/>
      <c r="J365" s="52"/>
      <c r="K365" s="47"/>
      <c r="L365" s="54"/>
    </row>
    <row r="366" spans="2:12" x14ac:dyDescent="0.25">
      <c r="B366" s="49"/>
      <c r="C366" s="2"/>
      <c r="D366" s="50"/>
      <c r="E366" s="50"/>
      <c r="F366" s="50"/>
      <c r="G366" s="50"/>
      <c r="H366" s="46"/>
      <c r="I366" s="51"/>
      <c r="J366" s="52"/>
      <c r="K366" s="47"/>
      <c r="L366" s="54"/>
    </row>
    <row r="367" spans="2:12" x14ac:dyDescent="0.25">
      <c r="B367" s="49"/>
      <c r="C367" s="2"/>
      <c r="D367" s="50"/>
      <c r="E367" s="50"/>
      <c r="F367" s="50"/>
      <c r="G367" s="50"/>
      <c r="H367" s="46"/>
      <c r="I367" s="51"/>
      <c r="J367" s="52"/>
      <c r="K367" s="47"/>
      <c r="L367" s="54"/>
    </row>
    <row r="368" spans="2:12" x14ac:dyDescent="0.25">
      <c r="B368" s="49"/>
      <c r="C368" s="2"/>
      <c r="D368" s="50"/>
      <c r="E368" s="50"/>
      <c r="F368" s="50"/>
      <c r="G368" s="50"/>
      <c r="H368" s="46"/>
      <c r="I368" s="51"/>
      <c r="J368" s="52"/>
      <c r="K368" s="47"/>
      <c r="L368" s="54"/>
    </row>
    <row r="369" spans="2:12" x14ac:dyDescent="0.25">
      <c r="B369" s="49"/>
      <c r="C369" s="2"/>
      <c r="D369" s="50"/>
      <c r="E369" s="50"/>
      <c r="F369" s="50"/>
      <c r="G369" s="50"/>
      <c r="H369" s="46"/>
      <c r="I369" s="51"/>
      <c r="J369" s="52"/>
      <c r="K369" s="47"/>
      <c r="L369" s="54"/>
    </row>
    <row r="370" spans="2:12" x14ac:dyDescent="0.25">
      <c r="B370" s="49"/>
      <c r="C370" s="2"/>
      <c r="D370" s="50"/>
      <c r="E370" s="50"/>
      <c r="F370" s="50"/>
      <c r="G370" s="50"/>
      <c r="H370" s="46"/>
      <c r="I370" s="51"/>
      <c r="J370" s="52"/>
      <c r="K370" s="47"/>
      <c r="L370" s="54"/>
    </row>
    <row r="371" spans="2:12" x14ac:dyDescent="0.25">
      <c r="B371" s="49"/>
      <c r="C371" s="2"/>
      <c r="D371" s="50"/>
      <c r="E371" s="50"/>
      <c r="F371" s="50"/>
      <c r="G371" s="50"/>
      <c r="H371" s="46"/>
      <c r="I371" s="51"/>
      <c r="J371" s="52"/>
      <c r="K371" s="47"/>
      <c r="L371" s="54"/>
    </row>
    <row r="372" spans="2:12" x14ac:dyDescent="0.25">
      <c r="B372" s="49"/>
      <c r="C372" s="2"/>
      <c r="D372" s="50"/>
      <c r="E372" s="50"/>
      <c r="F372" s="50"/>
      <c r="G372" s="50"/>
      <c r="H372" s="46"/>
      <c r="I372" s="51"/>
      <c r="J372" s="52"/>
      <c r="K372" s="47"/>
      <c r="L372" s="54"/>
    </row>
    <row r="373" spans="2:12" x14ac:dyDescent="0.25">
      <c r="B373" s="49"/>
      <c r="C373" s="2"/>
      <c r="D373" s="50"/>
      <c r="E373" s="50"/>
      <c r="F373" s="50"/>
      <c r="G373" s="50"/>
      <c r="H373" s="46"/>
      <c r="I373" s="51"/>
      <c r="J373" s="52"/>
      <c r="K373" s="47"/>
      <c r="L373" s="54"/>
    </row>
    <row r="374" spans="2:12" x14ac:dyDescent="0.25">
      <c r="B374" s="49"/>
      <c r="C374" s="2"/>
      <c r="D374" s="50"/>
      <c r="E374" s="50"/>
      <c r="F374" s="50"/>
      <c r="G374" s="50"/>
      <c r="H374" s="46"/>
      <c r="I374" s="52"/>
      <c r="J374" s="52"/>
      <c r="K374" s="47"/>
      <c r="L374" s="54"/>
    </row>
    <row r="375" spans="2:12" x14ac:dyDescent="0.25">
      <c r="B375" s="49"/>
      <c r="C375" s="2"/>
      <c r="D375" s="50"/>
      <c r="E375" s="50"/>
      <c r="F375" s="50"/>
      <c r="G375" s="50"/>
      <c r="H375" s="46"/>
      <c r="I375" s="51"/>
      <c r="J375" s="52"/>
      <c r="K375" s="47"/>
      <c r="L375" s="54"/>
    </row>
    <row r="376" spans="2:12" x14ac:dyDescent="0.25">
      <c r="B376" s="49"/>
      <c r="C376" s="2"/>
      <c r="D376" s="50"/>
      <c r="E376" s="50"/>
      <c r="F376" s="50"/>
      <c r="G376" s="50"/>
      <c r="H376" s="46"/>
      <c r="I376" s="51"/>
      <c r="J376" s="52"/>
      <c r="K376" s="47"/>
      <c r="L376" s="54"/>
    </row>
    <row r="377" spans="2:12" x14ac:dyDescent="0.25">
      <c r="B377" s="49"/>
      <c r="C377" s="2"/>
      <c r="D377" s="50"/>
      <c r="E377" s="50"/>
      <c r="F377" s="50"/>
      <c r="G377" s="50"/>
      <c r="H377" s="46"/>
      <c r="I377" s="51"/>
      <c r="J377" s="52"/>
      <c r="K377" s="47"/>
      <c r="L377" s="54"/>
    </row>
    <row r="378" spans="2:12" x14ac:dyDescent="0.25">
      <c r="B378" s="49"/>
      <c r="C378" s="2"/>
      <c r="D378" s="50"/>
      <c r="E378" s="50"/>
      <c r="F378" s="50"/>
      <c r="G378" s="50"/>
      <c r="H378" s="46"/>
      <c r="I378" s="51"/>
      <c r="J378" s="52"/>
      <c r="K378" s="47"/>
      <c r="L378" s="54"/>
    </row>
    <row r="379" spans="2:12" x14ac:dyDescent="0.25">
      <c r="B379" s="49"/>
      <c r="C379" s="2"/>
      <c r="D379" s="50"/>
      <c r="E379" s="50"/>
      <c r="F379" s="50"/>
      <c r="G379" s="50"/>
      <c r="H379" s="46"/>
      <c r="I379" s="51"/>
      <c r="J379" s="52"/>
      <c r="K379" s="47"/>
      <c r="L379" s="54"/>
    </row>
    <row r="380" spans="2:12" x14ac:dyDescent="0.25">
      <c r="B380" s="49"/>
      <c r="C380" s="2"/>
      <c r="D380" s="50"/>
      <c r="E380" s="50"/>
      <c r="F380" s="50"/>
      <c r="G380" s="50"/>
      <c r="H380" s="46"/>
      <c r="I380" s="51"/>
      <c r="J380" s="52"/>
      <c r="K380" s="47"/>
      <c r="L380" s="54"/>
    </row>
    <row r="381" spans="2:12" x14ac:dyDescent="0.25">
      <c r="B381" s="49"/>
      <c r="C381" s="2"/>
      <c r="D381" s="50"/>
      <c r="E381" s="50"/>
      <c r="F381" s="50"/>
      <c r="G381" s="50"/>
      <c r="H381" s="46"/>
      <c r="I381" s="51"/>
      <c r="J381" s="52"/>
      <c r="K381" s="47"/>
      <c r="L381" s="54"/>
    </row>
    <row r="382" spans="2:12" x14ac:dyDescent="0.25">
      <c r="B382" s="49"/>
      <c r="C382" s="2"/>
      <c r="D382" s="50"/>
      <c r="E382" s="50"/>
      <c r="F382" s="50"/>
      <c r="G382" s="50"/>
      <c r="H382" s="46"/>
      <c r="I382" s="51"/>
      <c r="J382" s="52"/>
      <c r="K382" s="47"/>
      <c r="L382" s="54"/>
    </row>
    <row r="383" spans="2:12" x14ac:dyDescent="0.25">
      <c r="B383" s="49"/>
      <c r="C383" s="2"/>
      <c r="D383" s="50"/>
      <c r="E383" s="50"/>
      <c r="F383" s="50"/>
      <c r="G383" s="50"/>
      <c r="H383" s="46"/>
      <c r="I383" s="51"/>
      <c r="J383" s="52"/>
      <c r="K383" s="47"/>
      <c r="L383" s="54"/>
    </row>
    <row r="384" spans="2:12" x14ac:dyDescent="0.25">
      <c r="B384" s="49"/>
      <c r="C384" s="2"/>
      <c r="D384" s="50"/>
      <c r="E384" s="50"/>
      <c r="F384" s="50"/>
      <c r="G384" s="50"/>
      <c r="H384" s="46"/>
      <c r="I384" s="51"/>
      <c r="J384" s="52"/>
      <c r="K384" s="47"/>
      <c r="L384" s="54"/>
    </row>
    <row r="385" spans="2:12" x14ac:dyDescent="0.25">
      <c r="B385" s="49"/>
      <c r="C385" s="2"/>
      <c r="D385" s="50"/>
      <c r="E385" s="50"/>
      <c r="F385" s="50"/>
      <c r="G385" s="50"/>
      <c r="H385" s="46"/>
      <c r="I385" s="51"/>
      <c r="J385" s="52"/>
      <c r="K385" s="47"/>
      <c r="L385" s="54"/>
    </row>
    <row r="386" spans="2:12" x14ac:dyDescent="0.25">
      <c r="B386" s="49"/>
      <c r="C386" s="2"/>
      <c r="D386" s="50"/>
      <c r="E386" s="50"/>
      <c r="F386" s="50"/>
      <c r="G386" s="50"/>
      <c r="H386" s="46"/>
      <c r="I386" s="51"/>
      <c r="J386" s="52"/>
      <c r="K386" s="47"/>
      <c r="L386" s="54"/>
    </row>
    <row r="387" spans="2:12" x14ac:dyDescent="0.25">
      <c r="B387" s="49"/>
      <c r="C387" s="2"/>
      <c r="D387" s="50"/>
      <c r="E387" s="50"/>
      <c r="F387" s="50"/>
      <c r="G387" s="50"/>
      <c r="H387" s="46"/>
      <c r="I387" s="51"/>
      <c r="J387" s="52"/>
      <c r="K387" s="47"/>
      <c r="L387" s="54"/>
    </row>
    <row r="388" spans="2:12" x14ac:dyDescent="0.25">
      <c r="B388" s="49"/>
      <c r="C388" s="2"/>
      <c r="D388" s="50"/>
      <c r="E388" s="50"/>
      <c r="F388" s="50"/>
      <c r="G388" s="50"/>
      <c r="H388" s="46"/>
      <c r="I388" s="51"/>
      <c r="J388" s="52"/>
      <c r="K388" s="47"/>
      <c r="L388" s="54"/>
    </row>
    <row r="389" spans="2:12" x14ac:dyDescent="0.25">
      <c r="B389" s="49"/>
      <c r="C389" s="2"/>
      <c r="D389" s="50"/>
      <c r="E389" s="50"/>
      <c r="F389" s="50"/>
      <c r="G389" s="50"/>
      <c r="H389" s="46"/>
      <c r="I389" s="51"/>
      <c r="J389" s="52"/>
      <c r="K389" s="47"/>
      <c r="L389" s="54"/>
    </row>
    <row r="390" spans="2:12" x14ac:dyDescent="0.25">
      <c r="B390" s="49"/>
      <c r="C390" s="2"/>
      <c r="D390" s="50"/>
      <c r="E390" s="50"/>
      <c r="F390" s="50"/>
      <c r="G390" s="50"/>
      <c r="H390" s="46"/>
      <c r="I390" s="51"/>
      <c r="J390" s="52"/>
      <c r="K390" s="47"/>
      <c r="L390" s="54"/>
    </row>
    <row r="391" spans="2:12" x14ac:dyDescent="0.25">
      <c r="B391" s="49"/>
      <c r="C391" s="2"/>
      <c r="D391" s="50"/>
      <c r="E391" s="50"/>
      <c r="F391" s="50"/>
      <c r="G391" s="50"/>
      <c r="H391" s="46"/>
      <c r="I391" s="51"/>
      <c r="J391" s="52"/>
      <c r="K391" s="47"/>
      <c r="L391" s="54"/>
    </row>
    <row r="392" spans="2:12" x14ac:dyDescent="0.25">
      <c r="B392" s="49"/>
      <c r="C392" s="2"/>
      <c r="D392" s="50"/>
      <c r="E392" s="50"/>
      <c r="F392" s="50"/>
      <c r="G392" s="50"/>
      <c r="H392" s="46"/>
      <c r="I392" s="51"/>
      <c r="J392" s="52"/>
      <c r="K392" s="47"/>
      <c r="L392" s="54"/>
    </row>
    <row r="393" spans="2:12" x14ac:dyDescent="0.25">
      <c r="B393" s="49"/>
      <c r="C393" s="2"/>
      <c r="D393" s="50"/>
      <c r="E393" s="50"/>
      <c r="F393" s="50"/>
      <c r="G393" s="50"/>
      <c r="H393" s="46"/>
      <c r="I393" s="51"/>
      <c r="J393" s="52"/>
      <c r="K393" s="47"/>
      <c r="L393" s="54"/>
    </row>
    <row r="394" spans="2:12" x14ac:dyDescent="0.25">
      <c r="B394" s="49"/>
      <c r="C394" s="2"/>
      <c r="D394" s="50"/>
      <c r="E394" s="50"/>
      <c r="F394" s="50"/>
      <c r="G394" s="50"/>
      <c r="H394" s="46"/>
      <c r="I394" s="51"/>
      <c r="J394" s="52"/>
      <c r="K394" s="47"/>
      <c r="L394" s="54"/>
    </row>
    <row r="395" spans="2:12" x14ac:dyDescent="0.25">
      <c r="B395" s="49"/>
      <c r="C395" s="2"/>
      <c r="D395" s="50"/>
      <c r="E395" s="50"/>
      <c r="F395" s="50"/>
      <c r="G395" s="50"/>
      <c r="H395" s="46"/>
      <c r="I395" s="51"/>
      <c r="J395" s="52"/>
      <c r="K395" s="47"/>
      <c r="L395" s="54"/>
    </row>
    <row r="396" spans="2:12" x14ac:dyDescent="0.25">
      <c r="B396" s="49"/>
      <c r="C396" s="2"/>
      <c r="D396" s="50"/>
      <c r="E396" s="50"/>
      <c r="F396" s="50"/>
      <c r="G396" s="50"/>
      <c r="H396" s="46"/>
      <c r="I396" s="51"/>
      <c r="J396" s="52"/>
      <c r="K396" s="47"/>
      <c r="L396" s="54"/>
    </row>
    <row r="397" spans="2:12" x14ac:dyDescent="0.25">
      <c r="B397" s="49"/>
      <c r="C397" s="2"/>
      <c r="D397" s="50"/>
      <c r="E397" s="50"/>
      <c r="F397" s="50"/>
      <c r="G397" s="50"/>
      <c r="H397" s="46"/>
      <c r="I397" s="51"/>
      <c r="J397" s="52"/>
      <c r="K397" s="47"/>
      <c r="L397" s="54"/>
    </row>
    <row r="398" spans="2:12" x14ac:dyDescent="0.25">
      <c r="B398" s="49"/>
      <c r="C398" s="2"/>
      <c r="D398" s="50"/>
      <c r="E398" s="50"/>
      <c r="F398" s="50"/>
      <c r="G398" s="50"/>
      <c r="H398" s="46"/>
      <c r="I398" s="51"/>
      <c r="J398" s="52"/>
      <c r="K398" s="47"/>
      <c r="L398" s="54"/>
    </row>
    <row r="399" spans="2:12" x14ac:dyDescent="0.25">
      <c r="B399" s="49"/>
      <c r="C399" s="2"/>
      <c r="D399" s="50"/>
      <c r="E399" s="50"/>
      <c r="F399" s="50"/>
      <c r="G399" s="50"/>
      <c r="H399" s="46"/>
      <c r="I399" s="51"/>
      <c r="J399" s="52"/>
      <c r="K399" s="47"/>
      <c r="L399" s="54"/>
    </row>
    <row r="400" spans="2:12" x14ac:dyDescent="0.25">
      <c r="B400" s="49"/>
      <c r="C400" s="2"/>
      <c r="D400" s="50"/>
      <c r="E400" s="50"/>
      <c r="F400" s="50"/>
      <c r="G400" s="50"/>
      <c r="H400" s="46"/>
      <c r="I400" s="51"/>
      <c r="J400" s="52"/>
      <c r="K400" s="47"/>
      <c r="L400" s="54"/>
    </row>
    <row r="401" spans="2:12" x14ac:dyDescent="0.25">
      <c r="B401" s="49"/>
      <c r="C401" s="2"/>
      <c r="D401" s="50"/>
      <c r="E401" s="50"/>
      <c r="F401" s="50"/>
      <c r="G401" s="50"/>
      <c r="H401" s="46"/>
      <c r="I401" s="51"/>
      <c r="J401" s="52"/>
      <c r="K401" s="47"/>
      <c r="L401" s="54"/>
    </row>
    <row r="402" spans="2:12" x14ac:dyDescent="0.25">
      <c r="B402" s="49"/>
      <c r="C402" s="2"/>
      <c r="D402" s="50"/>
      <c r="E402" s="50"/>
      <c r="F402" s="50"/>
      <c r="G402" s="50"/>
      <c r="H402" s="46"/>
      <c r="I402" s="51"/>
      <c r="J402" s="52"/>
      <c r="K402" s="47"/>
      <c r="L402" s="54"/>
    </row>
    <row r="403" spans="2:12" x14ac:dyDescent="0.25">
      <c r="B403" s="49"/>
      <c r="C403" s="2"/>
      <c r="D403" s="50"/>
      <c r="E403" s="50"/>
      <c r="F403" s="50"/>
      <c r="G403" s="50"/>
      <c r="H403" s="46"/>
      <c r="I403" s="51"/>
      <c r="J403" s="52"/>
      <c r="K403" s="47"/>
      <c r="L403" s="54"/>
    </row>
    <row r="404" spans="2:12" x14ac:dyDescent="0.25">
      <c r="B404" s="49"/>
      <c r="C404" s="2"/>
      <c r="D404" s="50"/>
      <c r="E404" s="50"/>
      <c r="F404" s="50"/>
      <c r="G404" s="50"/>
      <c r="H404" s="46"/>
      <c r="I404" s="51"/>
      <c r="J404" s="52"/>
      <c r="K404" s="47"/>
      <c r="L404" s="54"/>
    </row>
    <row r="405" spans="2:12" x14ac:dyDescent="0.25">
      <c r="B405" s="49"/>
      <c r="C405" s="2"/>
      <c r="D405" s="50"/>
      <c r="E405" s="50"/>
      <c r="F405" s="50"/>
      <c r="G405" s="50"/>
      <c r="H405" s="46"/>
      <c r="I405" s="51"/>
      <c r="J405" s="52"/>
      <c r="K405" s="47"/>
      <c r="L405" s="54"/>
    </row>
    <row r="406" spans="2:12" x14ac:dyDescent="0.25">
      <c r="B406" s="49"/>
      <c r="C406" s="2"/>
      <c r="D406" s="50"/>
      <c r="E406" s="50"/>
      <c r="F406" s="50"/>
      <c r="G406" s="50"/>
      <c r="H406" s="46"/>
      <c r="I406" s="51"/>
      <c r="J406" s="52"/>
      <c r="K406" s="47"/>
      <c r="L406" s="54"/>
    </row>
    <row r="407" spans="2:12" x14ac:dyDescent="0.25">
      <c r="B407" s="49"/>
      <c r="C407" s="2"/>
      <c r="D407" s="50"/>
      <c r="E407" s="50"/>
      <c r="F407" s="50"/>
      <c r="G407" s="50"/>
      <c r="H407" s="46"/>
      <c r="I407" s="51"/>
      <c r="J407" s="52"/>
      <c r="K407" s="47"/>
      <c r="L407" s="54"/>
    </row>
    <row r="408" spans="2:12" x14ac:dyDescent="0.25">
      <c r="B408" s="49"/>
      <c r="C408" s="2"/>
      <c r="D408" s="50"/>
      <c r="E408" s="50"/>
      <c r="F408" s="50"/>
      <c r="G408" s="50"/>
      <c r="H408" s="46"/>
      <c r="I408" s="51"/>
      <c r="J408" s="52"/>
      <c r="K408" s="47"/>
      <c r="L408" s="54"/>
    </row>
    <row r="409" spans="2:12" x14ac:dyDescent="0.25">
      <c r="B409" s="49"/>
      <c r="C409" s="2"/>
      <c r="D409" s="50"/>
      <c r="E409" s="50"/>
      <c r="F409" s="50"/>
      <c r="G409" s="50"/>
      <c r="H409" s="46"/>
      <c r="I409" s="51"/>
      <c r="J409" s="52"/>
      <c r="K409" s="47"/>
      <c r="L409" s="54"/>
    </row>
    <row r="410" spans="2:12" x14ac:dyDescent="0.25">
      <c r="B410" s="49"/>
      <c r="C410" s="2"/>
      <c r="D410" s="50"/>
      <c r="E410" s="50"/>
      <c r="F410" s="50"/>
      <c r="G410" s="50"/>
      <c r="H410" s="46"/>
      <c r="I410" s="51"/>
      <c r="J410" s="52"/>
      <c r="K410" s="47"/>
      <c r="L410" s="54"/>
    </row>
    <row r="411" spans="2:12" x14ac:dyDescent="0.25">
      <c r="B411" s="49"/>
      <c r="C411" s="2"/>
      <c r="D411" s="50"/>
      <c r="E411" s="50"/>
      <c r="F411" s="50"/>
      <c r="G411" s="50"/>
      <c r="H411" s="46"/>
      <c r="I411" s="51"/>
      <c r="J411" s="52"/>
      <c r="K411" s="47"/>
      <c r="L411" s="54"/>
    </row>
    <row r="412" spans="2:12" x14ac:dyDescent="0.25">
      <c r="B412" s="49"/>
      <c r="C412" s="2"/>
      <c r="D412" s="50"/>
      <c r="E412" s="50"/>
      <c r="F412" s="50"/>
      <c r="G412" s="50"/>
      <c r="H412" s="46"/>
      <c r="I412" s="51"/>
      <c r="J412" s="52"/>
      <c r="K412" s="47"/>
      <c r="L412" s="54"/>
    </row>
    <row r="413" spans="2:12" x14ac:dyDescent="0.25">
      <c r="B413" s="49"/>
      <c r="C413" s="2"/>
      <c r="D413" s="50"/>
      <c r="E413" s="50"/>
      <c r="F413" s="50"/>
      <c r="G413" s="50"/>
      <c r="H413" s="46"/>
      <c r="I413" s="51"/>
      <c r="J413" s="52"/>
      <c r="K413" s="47"/>
      <c r="L413" s="54"/>
    </row>
    <row r="414" spans="2:12" x14ac:dyDescent="0.25">
      <c r="B414" s="49"/>
      <c r="C414" s="2"/>
      <c r="D414" s="50"/>
      <c r="E414" s="50"/>
      <c r="F414" s="50"/>
      <c r="G414" s="50"/>
      <c r="H414" s="46"/>
      <c r="I414" s="51"/>
      <c r="J414" s="52"/>
      <c r="K414" s="47"/>
      <c r="L414" s="54"/>
    </row>
    <row r="415" spans="2:12" x14ac:dyDescent="0.25">
      <c r="B415" s="49"/>
      <c r="C415" s="2"/>
      <c r="D415" s="50"/>
      <c r="E415" s="50"/>
      <c r="F415" s="50"/>
      <c r="G415" s="50"/>
      <c r="H415" s="46"/>
      <c r="I415" s="51"/>
      <c r="J415" s="52"/>
      <c r="K415" s="47"/>
      <c r="L415" s="54"/>
    </row>
    <row r="416" spans="2:12" x14ac:dyDescent="0.25">
      <c r="B416" s="49"/>
      <c r="C416" s="2"/>
      <c r="D416" s="50"/>
      <c r="E416" s="50"/>
      <c r="F416" s="50"/>
      <c r="G416" s="50"/>
      <c r="H416" s="46"/>
      <c r="I416" s="51"/>
      <c r="J416" s="52"/>
      <c r="K416" s="47"/>
      <c r="L416" s="54"/>
    </row>
    <row r="417" spans="2:12" x14ac:dyDescent="0.25">
      <c r="B417" s="49"/>
      <c r="C417" s="2"/>
      <c r="D417" s="50"/>
      <c r="E417" s="50"/>
      <c r="F417" s="50"/>
      <c r="G417" s="50"/>
      <c r="H417" s="46"/>
      <c r="I417" s="51"/>
      <c r="J417" s="52"/>
      <c r="K417" s="47"/>
      <c r="L417" s="54"/>
    </row>
    <row r="418" spans="2:12" x14ac:dyDescent="0.25">
      <c r="B418" s="49"/>
      <c r="C418" s="2"/>
      <c r="D418" s="50"/>
      <c r="E418" s="50"/>
      <c r="F418" s="50"/>
      <c r="G418" s="50"/>
      <c r="H418" s="46"/>
      <c r="I418" s="51"/>
      <c r="J418" s="52"/>
      <c r="K418" s="47"/>
      <c r="L418" s="54"/>
    </row>
    <row r="419" spans="2:12" x14ac:dyDescent="0.25">
      <c r="B419" s="49"/>
      <c r="C419" s="2"/>
      <c r="D419" s="50"/>
      <c r="E419" s="50"/>
      <c r="F419" s="50"/>
      <c r="G419" s="50"/>
      <c r="H419" s="46"/>
      <c r="I419" s="51"/>
      <c r="J419" s="52"/>
      <c r="K419" s="47"/>
      <c r="L419" s="54"/>
    </row>
    <row r="420" spans="2:12" x14ac:dyDescent="0.25">
      <c r="B420" s="49"/>
      <c r="C420" s="2"/>
      <c r="D420" s="50"/>
      <c r="E420" s="50"/>
      <c r="F420" s="50"/>
      <c r="G420" s="50"/>
      <c r="H420" s="46"/>
      <c r="I420" s="51"/>
      <c r="J420" s="52"/>
      <c r="K420" s="47"/>
      <c r="L420" s="54"/>
    </row>
    <row r="421" spans="2:12" x14ac:dyDescent="0.25">
      <c r="B421" s="49"/>
      <c r="C421" s="2"/>
      <c r="D421" s="50"/>
      <c r="E421" s="50"/>
      <c r="F421" s="50"/>
      <c r="G421" s="50"/>
      <c r="H421" s="46"/>
      <c r="I421" s="51"/>
      <c r="J421" s="52"/>
      <c r="K421" s="47"/>
      <c r="L421" s="54"/>
    </row>
    <row r="422" spans="2:12" x14ac:dyDescent="0.25">
      <c r="B422" s="49"/>
      <c r="C422" s="2"/>
      <c r="D422" s="50"/>
      <c r="E422" s="50"/>
      <c r="F422" s="50"/>
      <c r="G422" s="50"/>
      <c r="H422" s="46"/>
      <c r="I422" s="51"/>
      <c r="J422" s="52"/>
      <c r="K422" s="47"/>
      <c r="L422" s="54"/>
    </row>
    <row r="423" spans="2:12" x14ac:dyDescent="0.25">
      <c r="B423" s="49"/>
      <c r="C423" s="2"/>
      <c r="D423" s="50"/>
      <c r="E423" s="50"/>
      <c r="F423" s="50"/>
      <c r="G423" s="50"/>
      <c r="H423" s="46"/>
      <c r="I423" s="51"/>
      <c r="J423" s="52"/>
      <c r="K423" s="47"/>
      <c r="L423" s="54"/>
    </row>
    <row r="424" spans="2:12" x14ac:dyDescent="0.25">
      <c r="B424" s="49"/>
      <c r="C424" s="2"/>
      <c r="D424" s="50"/>
      <c r="E424" s="50"/>
      <c r="F424" s="50"/>
      <c r="G424" s="50"/>
      <c r="H424" s="46"/>
      <c r="I424" s="51"/>
      <c r="J424" s="52"/>
      <c r="K424" s="47"/>
      <c r="L424" s="54"/>
    </row>
    <row r="425" spans="2:12" x14ac:dyDescent="0.25">
      <c r="B425" s="49"/>
      <c r="C425" s="2"/>
      <c r="D425" s="50"/>
      <c r="E425" s="50"/>
      <c r="F425" s="50"/>
      <c r="G425" s="50"/>
      <c r="H425" s="46"/>
      <c r="I425" s="51"/>
      <c r="J425" s="52"/>
      <c r="K425" s="47"/>
      <c r="L425" s="54"/>
    </row>
    <row r="426" spans="2:12" x14ac:dyDescent="0.25">
      <c r="B426" s="49"/>
      <c r="C426" s="2"/>
      <c r="D426" s="50"/>
      <c r="E426" s="50"/>
      <c r="F426" s="50"/>
      <c r="G426" s="50"/>
      <c r="H426" s="46"/>
      <c r="I426" s="51"/>
      <c r="J426" s="52"/>
      <c r="K426" s="47"/>
      <c r="L426" s="54"/>
    </row>
    <row r="427" spans="2:12" x14ac:dyDescent="0.25">
      <c r="B427" s="49"/>
      <c r="C427" s="2"/>
      <c r="D427" s="50"/>
      <c r="E427" s="50"/>
      <c r="F427" s="50"/>
      <c r="G427" s="50"/>
      <c r="H427" s="46"/>
      <c r="I427" s="51"/>
      <c r="J427" s="52"/>
      <c r="K427" s="47"/>
      <c r="L427" s="54"/>
    </row>
    <row r="428" spans="2:12" x14ac:dyDescent="0.25">
      <c r="B428" s="49"/>
      <c r="C428" s="2"/>
      <c r="D428" s="50"/>
      <c r="E428" s="50"/>
      <c r="F428" s="50"/>
      <c r="G428" s="50"/>
      <c r="H428" s="46"/>
      <c r="I428" s="51"/>
      <c r="J428" s="52"/>
      <c r="K428" s="47"/>
      <c r="L428" s="54"/>
    </row>
    <row r="429" spans="2:12" x14ac:dyDescent="0.25">
      <c r="B429" s="49"/>
      <c r="C429" s="2"/>
      <c r="D429" s="50"/>
      <c r="E429" s="50"/>
      <c r="F429" s="50"/>
      <c r="G429" s="50"/>
      <c r="H429" s="46"/>
      <c r="I429" s="51"/>
      <c r="J429" s="52"/>
      <c r="K429" s="47"/>
      <c r="L429" s="54"/>
    </row>
    <row r="430" spans="2:12" x14ac:dyDescent="0.25">
      <c r="B430" s="49"/>
      <c r="C430" s="2"/>
      <c r="D430" s="50"/>
      <c r="E430" s="50"/>
      <c r="F430" s="50"/>
      <c r="G430" s="50"/>
      <c r="H430" s="46"/>
      <c r="I430" s="51"/>
      <c r="J430" s="52"/>
      <c r="K430" s="47"/>
      <c r="L430" s="54"/>
    </row>
    <row r="431" spans="2:12" x14ac:dyDescent="0.25">
      <c r="B431" s="49"/>
      <c r="C431" s="2"/>
      <c r="D431" s="50"/>
      <c r="E431" s="50"/>
      <c r="F431" s="50"/>
      <c r="G431" s="50"/>
      <c r="H431" s="46"/>
      <c r="I431" s="51"/>
      <c r="J431" s="52"/>
      <c r="K431" s="47"/>
      <c r="L431" s="54"/>
    </row>
    <row r="432" spans="2:12" x14ac:dyDescent="0.25">
      <c r="B432" s="49"/>
      <c r="C432" s="2"/>
      <c r="D432" s="50"/>
      <c r="E432" s="50"/>
      <c r="F432" s="50"/>
      <c r="G432" s="50"/>
      <c r="H432" s="46"/>
      <c r="I432" s="51"/>
      <c r="J432" s="52"/>
      <c r="K432" s="47"/>
      <c r="L432" s="54"/>
    </row>
    <row r="433" spans="2:12" x14ac:dyDescent="0.25">
      <c r="B433" s="49"/>
      <c r="C433" s="2"/>
      <c r="D433" s="50"/>
      <c r="E433" s="50"/>
      <c r="F433" s="50"/>
      <c r="G433" s="50"/>
      <c r="H433" s="46"/>
      <c r="I433" s="51"/>
      <c r="J433" s="52"/>
      <c r="K433" s="47"/>
      <c r="L433" s="54"/>
    </row>
    <row r="434" spans="2:12" x14ac:dyDescent="0.25">
      <c r="B434" s="49"/>
      <c r="C434" s="2"/>
      <c r="D434" s="50"/>
      <c r="E434" s="50"/>
      <c r="F434" s="50"/>
      <c r="G434" s="50"/>
      <c r="H434" s="46"/>
      <c r="I434" s="51"/>
      <c r="J434" s="52"/>
      <c r="K434" s="47"/>
      <c r="L434" s="54"/>
    </row>
    <row r="435" spans="2:12" x14ac:dyDescent="0.25">
      <c r="B435" s="49"/>
      <c r="C435" s="2"/>
      <c r="D435" s="50"/>
      <c r="E435" s="50"/>
      <c r="F435" s="50"/>
      <c r="G435" s="50"/>
      <c r="H435" s="46"/>
      <c r="I435" s="51"/>
      <c r="J435" s="52"/>
      <c r="K435" s="47"/>
      <c r="L435" s="54"/>
    </row>
    <row r="436" spans="2:12" x14ac:dyDescent="0.25">
      <c r="B436" s="49"/>
      <c r="C436" s="2"/>
      <c r="D436" s="50"/>
      <c r="E436" s="50"/>
      <c r="F436" s="50"/>
      <c r="G436" s="50"/>
      <c r="H436" s="46"/>
      <c r="I436" s="51"/>
      <c r="J436" s="52"/>
      <c r="K436" s="47"/>
      <c r="L436" s="54"/>
    </row>
    <row r="437" spans="2:12" x14ac:dyDescent="0.25">
      <c r="B437" s="49"/>
      <c r="C437" s="2"/>
      <c r="D437" s="50"/>
      <c r="E437" s="50"/>
      <c r="F437" s="50"/>
      <c r="G437" s="50"/>
      <c r="H437" s="46"/>
      <c r="I437" s="51"/>
      <c r="J437" s="52"/>
      <c r="K437" s="47"/>
      <c r="L437" s="54"/>
    </row>
    <row r="438" spans="2:12" x14ac:dyDescent="0.25">
      <c r="B438" s="49"/>
      <c r="C438" s="2"/>
      <c r="D438" s="50"/>
      <c r="E438" s="50"/>
      <c r="F438" s="50"/>
      <c r="G438" s="50"/>
      <c r="H438" s="46"/>
      <c r="I438" s="51"/>
      <c r="J438" s="52"/>
      <c r="K438" s="47"/>
      <c r="L438" s="54"/>
    </row>
    <row r="439" spans="2:12" x14ac:dyDescent="0.25">
      <c r="B439" s="49"/>
      <c r="C439" s="2"/>
      <c r="D439" s="50"/>
      <c r="E439" s="50"/>
      <c r="F439" s="50"/>
      <c r="G439" s="50"/>
      <c r="H439" s="46"/>
      <c r="I439" s="51"/>
      <c r="J439" s="52"/>
      <c r="K439" s="47"/>
      <c r="L439" s="54"/>
    </row>
    <row r="440" spans="2:12" x14ac:dyDescent="0.25">
      <c r="B440" s="49"/>
      <c r="C440" s="2"/>
      <c r="D440" s="50"/>
      <c r="E440" s="50"/>
      <c r="F440" s="50"/>
      <c r="G440" s="50"/>
      <c r="H440" s="46"/>
      <c r="I440" s="51"/>
      <c r="J440" s="52"/>
      <c r="K440" s="47"/>
      <c r="L440" s="54"/>
    </row>
    <row r="441" spans="2:12" x14ac:dyDescent="0.25">
      <c r="B441" s="49"/>
      <c r="C441" s="2"/>
      <c r="D441" s="50"/>
      <c r="E441" s="50"/>
      <c r="F441" s="50"/>
      <c r="G441" s="50"/>
      <c r="H441" s="46"/>
      <c r="I441" s="51"/>
      <c r="J441" s="52"/>
      <c r="K441" s="47"/>
      <c r="L441" s="54"/>
    </row>
    <row r="442" spans="2:12" x14ac:dyDescent="0.25">
      <c r="B442" s="49"/>
      <c r="C442" s="2"/>
      <c r="D442" s="50"/>
      <c r="E442" s="50"/>
      <c r="F442" s="50"/>
      <c r="G442" s="50"/>
      <c r="H442" s="46"/>
      <c r="I442" s="51"/>
      <c r="J442" s="52"/>
      <c r="K442" s="47"/>
      <c r="L442" s="54"/>
    </row>
    <row r="443" spans="2:12" x14ac:dyDescent="0.25">
      <c r="B443" s="49"/>
      <c r="C443" s="2"/>
      <c r="D443" s="50"/>
      <c r="E443" s="50"/>
      <c r="F443" s="50"/>
      <c r="G443" s="50"/>
      <c r="H443" s="46"/>
      <c r="I443" s="51"/>
      <c r="J443" s="52"/>
      <c r="K443" s="47"/>
      <c r="L443" s="54"/>
    </row>
    <row r="444" spans="2:12" x14ac:dyDescent="0.25">
      <c r="B444" s="49"/>
      <c r="C444" s="2"/>
      <c r="D444" s="50"/>
      <c r="E444" s="50"/>
      <c r="F444" s="50"/>
      <c r="G444" s="50"/>
      <c r="H444" s="46"/>
      <c r="I444" s="51"/>
      <c r="J444" s="52"/>
      <c r="K444" s="47"/>
      <c r="L444" s="54"/>
    </row>
    <row r="445" spans="2:12" x14ac:dyDescent="0.25">
      <c r="B445" s="49"/>
      <c r="C445" s="2"/>
      <c r="D445" s="50"/>
      <c r="E445" s="50"/>
      <c r="F445" s="50"/>
      <c r="G445" s="50"/>
      <c r="H445" s="46"/>
      <c r="I445" s="51"/>
      <c r="J445" s="52"/>
      <c r="K445" s="47"/>
      <c r="L445" s="54"/>
    </row>
    <row r="446" spans="2:12" x14ac:dyDescent="0.25">
      <c r="B446" s="49"/>
      <c r="C446" s="2"/>
      <c r="D446" s="50"/>
      <c r="E446" s="50"/>
      <c r="F446" s="50"/>
      <c r="G446" s="50"/>
      <c r="H446" s="46"/>
      <c r="I446" s="51"/>
      <c r="J446" s="52"/>
      <c r="K446" s="47"/>
      <c r="L446" s="54"/>
    </row>
    <row r="447" spans="2:12" x14ac:dyDescent="0.25">
      <c r="B447" s="49"/>
      <c r="C447" s="2"/>
      <c r="D447" s="50"/>
      <c r="E447" s="50"/>
      <c r="F447" s="50"/>
      <c r="G447" s="50"/>
      <c r="H447" s="46"/>
      <c r="I447" s="51"/>
      <c r="J447" s="52"/>
      <c r="K447" s="47"/>
      <c r="L447" s="54"/>
    </row>
    <row r="448" spans="2:12" x14ac:dyDescent="0.25">
      <c r="B448" s="49"/>
      <c r="C448" s="2"/>
      <c r="D448" s="50"/>
      <c r="E448" s="50"/>
      <c r="F448" s="50"/>
      <c r="G448" s="50"/>
      <c r="H448" s="46"/>
      <c r="I448" s="51"/>
      <c r="J448" s="52"/>
      <c r="K448" s="47"/>
      <c r="L448" s="54"/>
    </row>
    <row r="449" spans="2:12" x14ac:dyDescent="0.25">
      <c r="B449" s="49"/>
      <c r="C449" s="2"/>
      <c r="D449" s="50"/>
      <c r="E449" s="50"/>
      <c r="F449" s="50"/>
      <c r="G449" s="50"/>
      <c r="H449" s="46"/>
      <c r="I449" s="51"/>
      <c r="J449" s="52"/>
      <c r="K449" s="47"/>
      <c r="L449" s="54"/>
    </row>
    <row r="450" spans="2:12" x14ac:dyDescent="0.25">
      <c r="B450" s="49"/>
      <c r="C450" s="2"/>
      <c r="D450" s="50"/>
      <c r="E450" s="50"/>
      <c r="F450" s="50"/>
      <c r="G450" s="50"/>
      <c r="H450" s="46"/>
      <c r="I450" s="51"/>
      <c r="J450" s="52"/>
      <c r="K450" s="47"/>
      <c r="L450" s="54"/>
    </row>
    <row r="451" spans="2:12" x14ac:dyDescent="0.25">
      <c r="B451" s="49"/>
      <c r="C451" s="2"/>
      <c r="D451" s="50"/>
      <c r="E451" s="50"/>
      <c r="F451" s="50"/>
      <c r="G451" s="50"/>
      <c r="H451" s="46"/>
      <c r="I451" s="51"/>
      <c r="J451" s="52"/>
      <c r="K451" s="47"/>
      <c r="L451" s="54"/>
    </row>
    <row r="452" spans="2:12" x14ac:dyDescent="0.25">
      <c r="B452" s="49"/>
      <c r="C452" s="2"/>
      <c r="D452" s="50"/>
      <c r="E452" s="50"/>
      <c r="F452" s="50"/>
      <c r="G452" s="50"/>
      <c r="H452" s="46"/>
      <c r="I452" s="51"/>
      <c r="J452" s="52"/>
      <c r="K452" s="47"/>
      <c r="L452" s="54"/>
    </row>
    <row r="453" spans="2:12" x14ac:dyDescent="0.25">
      <c r="B453" s="49"/>
      <c r="C453" s="2"/>
      <c r="D453" s="50"/>
      <c r="E453" s="50"/>
      <c r="F453" s="50"/>
      <c r="G453" s="50"/>
      <c r="H453" s="46"/>
      <c r="I453" s="51"/>
      <c r="J453" s="52"/>
      <c r="K453" s="47"/>
      <c r="L453" s="54"/>
    </row>
    <row r="454" spans="2:12" x14ac:dyDescent="0.25">
      <c r="B454" s="49"/>
      <c r="C454" s="2"/>
      <c r="D454" s="50"/>
      <c r="E454" s="50"/>
      <c r="F454" s="50"/>
      <c r="G454" s="50"/>
      <c r="H454" s="46"/>
      <c r="I454" s="51"/>
      <c r="J454" s="52"/>
      <c r="K454" s="47"/>
      <c r="L454" s="54"/>
    </row>
    <row r="455" spans="2:12" x14ac:dyDescent="0.25">
      <c r="B455" s="49"/>
      <c r="C455" s="2"/>
      <c r="D455" s="50"/>
      <c r="E455" s="50"/>
      <c r="F455" s="50"/>
      <c r="G455" s="50"/>
      <c r="H455" s="46"/>
      <c r="I455" s="51"/>
      <c r="J455" s="52"/>
      <c r="K455" s="47"/>
      <c r="L455" s="54"/>
    </row>
    <row r="456" spans="2:12" x14ac:dyDescent="0.25">
      <c r="B456" s="49"/>
      <c r="C456" s="2"/>
      <c r="D456" s="50"/>
      <c r="E456" s="50"/>
      <c r="F456" s="50"/>
      <c r="G456" s="50"/>
      <c r="H456" s="46"/>
      <c r="I456" s="51"/>
      <c r="J456" s="52"/>
      <c r="K456" s="47"/>
      <c r="L456" s="54"/>
    </row>
    <row r="457" spans="2:12" x14ac:dyDescent="0.25">
      <c r="B457" s="49"/>
      <c r="C457" s="2"/>
      <c r="D457" s="50"/>
      <c r="E457" s="50"/>
      <c r="F457" s="50"/>
      <c r="G457" s="50"/>
      <c r="H457" s="46"/>
      <c r="I457" s="51"/>
      <c r="J457" s="52"/>
      <c r="K457" s="47"/>
      <c r="L457" s="54"/>
    </row>
    <row r="458" spans="2:12" x14ac:dyDescent="0.25">
      <c r="B458" s="49"/>
      <c r="C458" s="2"/>
      <c r="D458" s="50"/>
      <c r="E458" s="50"/>
      <c r="F458" s="50"/>
      <c r="G458" s="50"/>
      <c r="H458" s="46"/>
      <c r="I458" s="51"/>
      <c r="J458" s="52"/>
      <c r="K458" s="47"/>
      <c r="L458" s="54"/>
    </row>
    <row r="459" spans="2:12" x14ac:dyDescent="0.25">
      <c r="B459" s="49"/>
      <c r="C459" s="2"/>
      <c r="D459" s="50"/>
      <c r="E459" s="50"/>
      <c r="F459" s="50"/>
      <c r="G459" s="50"/>
      <c r="H459" s="46"/>
      <c r="I459" s="51"/>
      <c r="J459" s="52"/>
      <c r="K459" s="47"/>
      <c r="L459" s="54"/>
    </row>
    <row r="460" spans="2:12" x14ac:dyDescent="0.25">
      <c r="B460" s="49"/>
      <c r="C460" s="2"/>
      <c r="D460" s="50"/>
      <c r="E460" s="50"/>
      <c r="F460" s="50"/>
      <c r="G460" s="50"/>
      <c r="H460" s="46"/>
      <c r="I460" s="51"/>
      <c r="J460" s="52"/>
      <c r="K460" s="47"/>
      <c r="L460" s="54"/>
    </row>
    <row r="461" spans="2:12" x14ac:dyDescent="0.25">
      <c r="B461" s="49"/>
      <c r="C461" s="2"/>
      <c r="D461" s="50"/>
      <c r="E461" s="50"/>
      <c r="F461" s="50"/>
      <c r="G461" s="50"/>
      <c r="H461" s="46"/>
      <c r="I461" s="51"/>
      <c r="J461" s="52"/>
      <c r="K461" s="47"/>
      <c r="L461" s="54"/>
    </row>
    <row r="462" spans="2:12" x14ac:dyDescent="0.25">
      <c r="B462" s="49"/>
      <c r="C462" s="2"/>
      <c r="D462" s="50"/>
      <c r="E462" s="50"/>
      <c r="F462" s="50"/>
      <c r="G462" s="50"/>
      <c r="H462" s="46"/>
      <c r="I462" s="51"/>
      <c r="J462" s="52"/>
      <c r="K462" s="47"/>
      <c r="L462" s="54"/>
    </row>
    <row r="463" spans="2:12" x14ac:dyDescent="0.25">
      <c r="B463" s="49"/>
      <c r="C463" s="2"/>
      <c r="D463" s="50"/>
      <c r="E463" s="50"/>
      <c r="F463" s="50"/>
      <c r="G463" s="50"/>
      <c r="H463" s="46"/>
      <c r="I463" s="51"/>
      <c r="J463" s="52"/>
      <c r="K463" s="47"/>
      <c r="L463" s="54"/>
    </row>
    <row r="464" spans="2:12" x14ac:dyDescent="0.25">
      <c r="B464" s="49"/>
      <c r="C464" s="2"/>
      <c r="D464" s="50"/>
      <c r="E464" s="50"/>
      <c r="F464" s="50"/>
      <c r="G464" s="50"/>
      <c r="H464" s="46"/>
      <c r="I464" s="51"/>
      <c r="J464" s="52"/>
      <c r="K464" s="47"/>
      <c r="L464" s="54"/>
    </row>
    <row r="465" spans="2:12" x14ac:dyDescent="0.25">
      <c r="B465" s="49"/>
      <c r="C465" s="2"/>
      <c r="D465" s="50"/>
      <c r="E465" s="50"/>
      <c r="F465" s="50"/>
      <c r="G465" s="50"/>
      <c r="H465" s="46"/>
      <c r="I465" s="51"/>
      <c r="J465" s="52"/>
      <c r="K465" s="47"/>
      <c r="L465" s="54"/>
    </row>
    <row r="466" spans="2:12" x14ac:dyDescent="0.25">
      <c r="B466" s="49"/>
      <c r="C466" s="2"/>
      <c r="D466" s="50"/>
      <c r="E466" s="50"/>
      <c r="F466" s="50"/>
      <c r="G466" s="50"/>
      <c r="H466" s="46"/>
      <c r="I466" s="51"/>
      <c r="J466" s="52"/>
      <c r="K466" s="47"/>
      <c r="L466" s="54"/>
    </row>
    <row r="467" spans="2:12" x14ac:dyDescent="0.25">
      <c r="B467" s="49"/>
      <c r="C467" s="2"/>
      <c r="D467" s="50"/>
      <c r="E467" s="50"/>
      <c r="F467" s="50"/>
      <c r="G467" s="50"/>
      <c r="H467" s="46"/>
      <c r="I467" s="51"/>
      <c r="J467" s="52"/>
      <c r="K467" s="47"/>
      <c r="L467" s="54"/>
    </row>
    <row r="468" spans="2:12" x14ac:dyDescent="0.25">
      <c r="B468" s="49"/>
      <c r="C468" s="2"/>
      <c r="D468" s="50"/>
      <c r="E468" s="50"/>
      <c r="F468" s="50"/>
      <c r="G468" s="50"/>
      <c r="H468" s="46"/>
      <c r="I468" s="51"/>
      <c r="J468" s="52"/>
      <c r="K468" s="47"/>
      <c r="L468" s="54"/>
    </row>
    <row r="469" spans="2:12" x14ac:dyDescent="0.25">
      <c r="B469" s="49"/>
      <c r="C469" s="2"/>
      <c r="D469" s="50"/>
      <c r="E469" s="50"/>
      <c r="F469" s="50"/>
      <c r="G469" s="50"/>
      <c r="H469" s="46"/>
      <c r="I469" s="51"/>
      <c r="J469" s="52"/>
      <c r="K469" s="47"/>
      <c r="L469" s="54"/>
    </row>
    <row r="470" spans="2:12" x14ac:dyDescent="0.25">
      <c r="B470" s="49"/>
      <c r="C470" s="2"/>
      <c r="D470" s="50"/>
      <c r="E470" s="50"/>
      <c r="F470" s="50"/>
      <c r="G470" s="50"/>
      <c r="H470" s="46"/>
      <c r="I470" s="51"/>
      <c r="J470" s="52"/>
      <c r="K470" s="47"/>
      <c r="L470" s="54"/>
    </row>
    <row r="471" spans="2:12" x14ac:dyDescent="0.25">
      <c r="B471" s="49"/>
      <c r="C471" s="2"/>
      <c r="D471" s="50"/>
      <c r="E471" s="50"/>
      <c r="F471" s="50"/>
      <c r="G471" s="50"/>
      <c r="H471" s="46"/>
      <c r="I471" s="51"/>
      <c r="J471" s="52"/>
      <c r="K471" s="47"/>
      <c r="L471" s="54"/>
    </row>
    <row r="472" spans="2:12" x14ac:dyDescent="0.25">
      <c r="B472" s="49"/>
      <c r="C472" s="2"/>
      <c r="D472" s="50"/>
      <c r="E472" s="50"/>
      <c r="F472" s="50"/>
      <c r="G472" s="50"/>
      <c r="H472" s="46"/>
      <c r="I472" s="51"/>
      <c r="J472" s="52"/>
      <c r="K472" s="47"/>
      <c r="L472" s="54"/>
    </row>
    <row r="473" spans="2:12" x14ac:dyDescent="0.25">
      <c r="B473" s="49"/>
      <c r="C473" s="2"/>
      <c r="D473" s="50"/>
      <c r="E473" s="50"/>
      <c r="F473" s="50"/>
      <c r="G473" s="50"/>
      <c r="H473" s="46"/>
      <c r="I473" s="51"/>
      <c r="J473" s="52"/>
      <c r="K473" s="47"/>
      <c r="L473" s="54"/>
    </row>
    <row r="474" spans="2:12" x14ac:dyDescent="0.25">
      <c r="B474" s="49"/>
      <c r="C474" s="2"/>
      <c r="D474" s="50"/>
      <c r="E474" s="50"/>
      <c r="F474" s="50"/>
      <c r="G474" s="50"/>
      <c r="H474" s="46"/>
      <c r="I474" s="51"/>
      <c r="J474" s="52"/>
      <c r="K474" s="47"/>
      <c r="L474" s="54"/>
    </row>
    <row r="475" spans="2:12" x14ac:dyDescent="0.25">
      <c r="B475" s="49"/>
      <c r="C475" s="2"/>
      <c r="D475" s="50"/>
      <c r="E475" s="50"/>
      <c r="F475" s="50"/>
      <c r="G475" s="50"/>
      <c r="H475" s="46"/>
      <c r="I475" s="51"/>
      <c r="J475" s="52"/>
      <c r="K475" s="47"/>
      <c r="L475" s="54"/>
    </row>
    <row r="476" spans="2:12" x14ac:dyDescent="0.25">
      <c r="B476" s="49"/>
      <c r="C476" s="2"/>
      <c r="D476" s="50"/>
      <c r="E476" s="50"/>
      <c r="F476" s="50"/>
      <c r="G476" s="50"/>
      <c r="H476" s="46"/>
      <c r="I476" s="51"/>
      <c r="J476" s="52"/>
      <c r="K476" s="47"/>
      <c r="L476" s="54"/>
    </row>
    <row r="477" spans="2:12" x14ac:dyDescent="0.25">
      <c r="B477" s="49"/>
      <c r="C477" s="2"/>
      <c r="D477" s="50"/>
      <c r="E477" s="50"/>
      <c r="F477" s="50"/>
      <c r="G477" s="50"/>
      <c r="H477" s="46"/>
      <c r="I477" s="51"/>
      <c r="J477" s="52"/>
      <c r="K477" s="47"/>
      <c r="L477" s="54"/>
    </row>
    <row r="478" spans="2:12" x14ac:dyDescent="0.25">
      <c r="B478" s="49"/>
      <c r="C478" s="2"/>
      <c r="D478" s="50"/>
      <c r="E478" s="50"/>
      <c r="F478" s="50"/>
      <c r="G478" s="50"/>
      <c r="H478" s="46"/>
      <c r="I478" s="51"/>
      <c r="J478" s="52"/>
      <c r="K478" s="47"/>
      <c r="L478" s="54"/>
    </row>
    <row r="479" spans="2:12" x14ac:dyDescent="0.25">
      <c r="B479" s="49"/>
      <c r="C479" s="2"/>
      <c r="D479" s="50"/>
      <c r="E479" s="50"/>
      <c r="F479" s="50"/>
      <c r="G479" s="50"/>
      <c r="H479" s="46"/>
      <c r="I479" s="51"/>
      <c r="J479" s="52"/>
      <c r="K479" s="47"/>
      <c r="L479" s="54"/>
    </row>
    <row r="480" spans="2:12" x14ac:dyDescent="0.25">
      <c r="B480" s="49"/>
      <c r="C480" s="2"/>
      <c r="D480" s="50"/>
      <c r="E480" s="50"/>
      <c r="F480" s="50"/>
      <c r="G480" s="50"/>
      <c r="H480" s="46"/>
      <c r="I480" s="51"/>
      <c r="J480" s="52"/>
      <c r="K480" s="47"/>
      <c r="L480" s="54"/>
    </row>
    <row r="481" spans="2:12" x14ac:dyDescent="0.25">
      <c r="B481" s="49"/>
      <c r="C481" s="2"/>
      <c r="D481" s="50"/>
      <c r="E481" s="50"/>
      <c r="F481" s="50"/>
      <c r="G481" s="50"/>
      <c r="H481" s="46"/>
      <c r="I481" s="51"/>
      <c r="J481" s="52"/>
      <c r="K481" s="47"/>
      <c r="L481" s="54"/>
    </row>
    <row r="482" spans="2:12" x14ac:dyDescent="0.25">
      <c r="B482" s="49"/>
      <c r="C482" s="2"/>
      <c r="D482" s="50"/>
      <c r="E482" s="50"/>
      <c r="F482" s="50"/>
      <c r="G482" s="50"/>
      <c r="H482" s="46"/>
      <c r="I482" s="51"/>
      <c r="J482" s="52"/>
      <c r="K482" s="47"/>
      <c r="L482" s="54"/>
    </row>
    <row r="483" spans="2:12" x14ac:dyDescent="0.25">
      <c r="B483" s="49"/>
      <c r="C483" s="2"/>
      <c r="D483" s="50"/>
      <c r="E483" s="50"/>
      <c r="F483" s="50"/>
      <c r="G483" s="50"/>
      <c r="H483" s="46"/>
      <c r="I483" s="51"/>
      <c r="J483" s="52"/>
      <c r="K483" s="47"/>
      <c r="L483" s="54"/>
    </row>
    <row r="484" spans="2:12" x14ac:dyDescent="0.25">
      <c r="B484" s="49"/>
      <c r="C484" s="2"/>
      <c r="D484" s="50"/>
      <c r="E484" s="50"/>
      <c r="F484" s="50"/>
      <c r="G484" s="50"/>
      <c r="H484" s="46"/>
      <c r="I484" s="51"/>
      <c r="J484" s="52"/>
      <c r="K484" s="47"/>
      <c r="L484" s="54"/>
    </row>
    <row r="485" spans="2:12" x14ac:dyDescent="0.25">
      <c r="B485" s="49"/>
      <c r="C485" s="2"/>
      <c r="D485" s="50"/>
      <c r="E485" s="50"/>
      <c r="F485" s="50"/>
      <c r="G485" s="50"/>
      <c r="H485" s="46"/>
      <c r="I485" s="51"/>
      <c r="J485" s="52"/>
      <c r="K485" s="47"/>
      <c r="L485" s="54"/>
    </row>
    <row r="486" spans="2:12" x14ac:dyDescent="0.25">
      <c r="B486" s="49"/>
      <c r="C486" s="2"/>
      <c r="D486" s="50"/>
      <c r="E486" s="50"/>
      <c r="F486" s="50"/>
      <c r="G486" s="50"/>
      <c r="H486" s="46"/>
      <c r="I486" s="51"/>
      <c r="J486" s="52"/>
      <c r="K486" s="47"/>
      <c r="L486" s="54"/>
    </row>
    <row r="487" spans="2:12" x14ac:dyDescent="0.25">
      <c r="B487" s="49"/>
      <c r="C487" s="2"/>
      <c r="D487" s="50"/>
      <c r="E487" s="50"/>
      <c r="F487" s="50"/>
      <c r="G487" s="50"/>
      <c r="H487" s="46"/>
      <c r="I487" s="51"/>
      <c r="J487" s="52"/>
      <c r="K487" s="47"/>
      <c r="L487" s="54"/>
    </row>
    <row r="488" spans="2:12" x14ac:dyDescent="0.25">
      <c r="B488" s="49"/>
      <c r="C488" s="2"/>
      <c r="D488" s="50"/>
      <c r="E488" s="50"/>
      <c r="F488" s="50"/>
      <c r="G488" s="50"/>
      <c r="H488" s="46"/>
      <c r="I488" s="51"/>
      <c r="J488" s="52"/>
      <c r="K488" s="47"/>
      <c r="L488" s="54"/>
    </row>
    <row r="489" spans="2:12" x14ac:dyDescent="0.25">
      <c r="B489" s="49"/>
      <c r="C489" s="2"/>
      <c r="D489" s="50"/>
      <c r="E489" s="50"/>
      <c r="F489" s="50"/>
      <c r="G489" s="50"/>
      <c r="H489" s="46"/>
      <c r="I489" s="51"/>
      <c r="J489" s="52"/>
      <c r="K489" s="47"/>
      <c r="L489" s="54"/>
    </row>
    <row r="490" spans="2:12" x14ac:dyDescent="0.25">
      <c r="B490" s="49"/>
      <c r="C490" s="2"/>
      <c r="D490" s="50"/>
      <c r="E490" s="50"/>
      <c r="F490" s="50"/>
      <c r="G490" s="50"/>
      <c r="H490" s="46"/>
      <c r="I490" s="51"/>
      <c r="J490" s="52"/>
      <c r="K490" s="47"/>
      <c r="L490" s="54"/>
    </row>
    <row r="491" spans="2:12" x14ac:dyDescent="0.25">
      <c r="B491" s="49"/>
      <c r="C491" s="2"/>
      <c r="D491" s="50"/>
      <c r="E491" s="50"/>
      <c r="F491" s="50"/>
      <c r="G491" s="50"/>
      <c r="H491" s="46"/>
      <c r="I491" s="51"/>
      <c r="J491" s="52"/>
      <c r="K491" s="47"/>
      <c r="L491" s="54"/>
    </row>
    <row r="492" spans="2:12" x14ac:dyDescent="0.25">
      <c r="B492" s="49"/>
      <c r="C492" s="2"/>
      <c r="D492" s="50"/>
      <c r="E492" s="50"/>
      <c r="F492" s="50"/>
      <c r="G492" s="50"/>
      <c r="H492" s="46"/>
      <c r="I492" s="51"/>
      <c r="J492" s="52"/>
      <c r="K492" s="47"/>
      <c r="L492" s="54"/>
    </row>
    <row r="493" spans="2:12" x14ac:dyDescent="0.25">
      <c r="B493" s="49"/>
      <c r="C493" s="2"/>
      <c r="D493" s="50"/>
      <c r="E493" s="50"/>
      <c r="F493" s="50"/>
      <c r="G493" s="50"/>
      <c r="H493" s="46"/>
      <c r="I493" s="51"/>
      <c r="J493" s="52"/>
      <c r="K493" s="47"/>
      <c r="L493" s="54"/>
    </row>
    <row r="494" spans="2:12" x14ac:dyDescent="0.25">
      <c r="B494" s="49"/>
      <c r="C494" s="2"/>
      <c r="D494" s="50"/>
      <c r="E494" s="50"/>
      <c r="F494" s="50"/>
      <c r="G494" s="50"/>
      <c r="H494" s="46"/>
      <c r="I494" s="51"/>
      <c r="J494" s="52"/>
      <c r="K494" s="47"/>
      <c r="L494" s="54"/>
    </row>
    <row r="495" spans="2:12" x14ac:dyDescent="0.25">
      <c r="B495" s="49"/>
      <c r="C495" s="2"/>
      <c r="D495" s="50"/>
      <c r="E495" s="50"/>
      <c r="F495" s="50"/>
      <c r="G495" s="50"/>
      <c r="H495" s="46"/>
      <c r="I495" s="51"/>
      <c r="J495" s="52"/>
      <c r="K495" s="47"/>
      <c r="L495" s="54"/>
    </row>
    <row r="496" spans="2:12" x14ac:dyDescent="0.25">
      <c r="B496" s="49"/>
      <c r="C496" s="2"/>
      <c r="D496" s="50"/>
      <c r="E496" s="50"/>
      <c r="F496" s="50"/>
      <c r="G496" s="50"/>
      <c r="H496" s="46"/>
      <c r="I496" s="51"/>
      <c r="J496" s="52"/>
      <c r="K496" s="47"/>
      <c r="L496" s="54"/>
    </row>
    <row r="497" spans="2:12" x14ac:dyDescent="0.25">
      <c r="B497" s="49"/>
      <c r="C497" s="2"/>
      <c r="D497" s="50"/>
      <c r="E497" s="50"/>
      <c r="F497" s="50"/>
      <c r="G497" s="50"/>
      <c r="H497" s="46"/>
      <c r="I497" s="51"/>
      <c r="J497" s="52"/>
      <c r="K497" s="47"/>
      <c r="L497" s="54"/>
    </row>
    <row r="498" spans="2:12" x14ac:dyDescent="0.25">
      <c r="B498" s="49"/>
      <c r="C498" s="2"/>
      <c r="D498" s="50"/>
      <c r="E498" s="50"/>
      <c r="F498" s="50"/>
      <c r="G498" s="50"/>
      <c r="H498" s="46"/>
      <c r="I498" s="51"/>
      <c r="J498" s="52"/>
      <c r="K498" s="47"/>
      <c r="L498" s="54"/>
    </row>
    <row r="499" spans="2:12" x14ac:dyDescent="0.25">
      <c r="B499" s="49"/>
      <c r="C499" s="2"/>
      <c r="D499" s="50"/>
      <c r="E499" s="50"/>
      <c r="F499" s="50"/>
      <c r="G499" s="50"/>
      <c r="H499" s="46"/>
      <c r="I499" s="51"/>
      <c r="J499" s="52"/>
      <c r="K499" s="47"/>
      <c r="L499" s="54"/>
    </row>
    <row r="500" spans="2:12" x14ac:dyDescent="0.25">
      <c r="B500" s="49"/>
      <c r="C500" s="2"/>
      <c r="D500" s="50"/>
      <c r="E500" s="50"/>
      <c r="F500" s="50"/>
      <c r="G500" s="50"/>
      <c r="H500" s="46"/>
      <c r="I500" s="51"/>
      <c r="J500" s="52"/>
      <c r="K500" s="47"/>
      <c r="L500" s="54"/>
    </row>
    <row r="501" spans="2:12" x14ac:dyDescent="0.25">
      <c r="B501" s="49"/>
      <c r="C501" s="2"/>
      <c r="D501" s="50"/>
      <c r="E501" s="50"/>
      <c r="F501" s="50"/>
      <c r="G501" s="50"/>
      <c r="H501" s="46"/>
      <c r="I501" s="51"/>
      <c r="J501" s="52"/>
      <c r="K501" s="47"/>
      <c r="L501" s="54"/>
    </row>
    <row r="502" spans="2:12" x14ac:dyDescent="0.25">
      <c r="B502" s="49"/>
      <c r="C502" s="2"/>
      <c r="D502" s="50"/>
      <c r="E502" s="50"/>
      <c r="F502" s="50"/>
      <c r="G502" s="50"/>
      <c r="H502" s="46"/>
      <c r="I502" s="51"/>
      <c r="J502" s="52"/>
      <c r="K502" s="47"/>
      <c r="L502" s="54"/>
    </row>
    <row r="503" spans="2:12" x14ac:dyDescent="0.25">
      <c r="B503" s="49"/>
      <c r="C503" s="2"/>
      <c r="D503" s="50"/>
      <c r="E503" s="50"/>
      <c r="F503" s="50"/>
      <c r="G503" s="50"/>
      <c r="H503" s="46"/>
      <c r="I503" s="51"/>
      <c r="J503" s="52"/>
      <c r="K503" s="47"/>
      <c r="L503" s="54"/>
    </row>
    <row r="504" spans="2:12" x14ac:dyDescent="0.25">
      <c r="B504" s="49"/>
      <c r="C504" s="2"/>
      <c r="D504" s="50"/>
      <c r="E504" s="50"/>
      <c r="F504" s="50"/>
      <c r="G504" s="50"/>
      <c r="H504" s="46"/>
      <c r="I504" s="51"/>
      <c r="J504" s="52"/>
      <c r="K504" s="47"/>
      <c r="L504" s="54"/>
    </row>
    <row r="505" spans="2:12" x14ac:dyDescent="0.25">
      <c r="B505" s="49"/>
      <c r="C505" s="2"/>
      <c r="D505" s="50"/>
      <c r="E505" s="50"/>
      <c r="F505" s="50"/>
      <c r="G505" s="50"/>
      <c r="H505" s="46"/>
      <c r="I505" s="51"/>
      <c r="J505" s="52"/>
      <c r="K505" s="47"/>
      <c r="L505" s="54"/>
    </row>
    <row r="506" spans="2:12" x14ac:dyDescent="0.25">
      <c r="B506" s="49"/>
      <c r="C506" s="2"/>
      <c r="D506" s="50"/>
      <c r="E506" s="50"/>
      <c r="F506" s="50"/>
      <c r="G506" s="50"/>
      <c r="H506" s="46"/>
      <c r="I506" s="51"/>
      <c r="J506" s="52"/>
      <c r="K506" s="47"/>
      <c r="L506" s="54"/>
    </row>
    <row r="507" spans="2:12" x14ac:dyDescent="0.25">
      <c r="B507" s="49"/>
      <c r="C507" s="2"/>
      <c r="D507" s="50"/>
      <c r="E507" s="50"/>
      <c r="F507" s="50"/>
      <c r="G507" s="50"/>
      <c r="H507" s="46"/>
      <c r="I507" s="51"/>
      <c r="J507" s="52"/>
      <c r="K507" s="47"/>
      <c r="L507" s="54"/>
    </row>
    <row r="508" spans="2:12" x14ac:dyDescent="0.25">
      <c r="B508" s="49"/>
      <c r="C508" s="2"/>
      <c r="D508" s="50"/>
      <c r="E508" s="50"/>
      <c r="F508" s="50"/>
      <c r="G508" s="50"/>
      <c r="H508" s="46"/>
      <c r="I508" s="51"/>
      <c r="J508" s="52"/>
      <c r="K508" s="47"/>
      <c r="L508" s="54"/>
    </row>
    <row r="509" spans="2:12" x14ac:dyDescent="0.25">
      <c r="B509" s="49"/>
      <c r="C509" s="2"/>
      <c r="D509" s="50"/>
      <c r="E509" s="50"/>
      <c r="F509" s="50"/>
      <c r="G509" s="50"/>
      <c r="H509" s="46"/>
      <c r="I509" s="51"/>
      <c r="J509" s="52"/>
      <c r="K509" s="47"/>
      <c r="L509" s="54"/>
    </row>
    <row r="510" spans="2:12" x14ac:dyDescent="0.25">
      <c r="B510" s="49"/>
      <c r="C510" s="2"/>
      <c r="D510" s="50"/>
      <c r="E510" s="50"/>
      <c r="F510" s="50"/>
      <c r="G510" s="50"/>
      <c r="H510" s="46"/>
      <c r="I510" s="51"/>
      <c r="J510" s="52"/>
      <c r="K510" s="47"/>
      <c r="L510" s="54"/>
    </row>
    <row r="511" spans="2:12" x14ac:dyDescent="0.25">
      <c r="B511" s="49"/>
      <c r="C511" s="2"/>
      <c r="D511" s="50"/>
      <c r="E511" s="50"/>
      <c r="F511" s="50"/>
      <c r="G511" s="50"/>
      <c r="H511" s="46"/>
      <c r="I511" s="51"/>
      <c r="J511" s="52"/>
      <c r="K511" s="47"/>
      <c r="L511" s="54"/>
    </row>
    <row r="512" spans="2:12" x14ac:dyDescent="0.25">
      <c r="B512" s="49"/>
      <c r="C512" s="2"/>
      <c r="D512" s="50"/>
      <c r="E512" s="50"/>
      <c r="F512" s="50"/>
      <c r="G512" s="50"/>
      <c r="H512" s="46"/>
      <c r="I512" s="51"/>
      <c r="J512" s="52"/>
      <c r="K512" s="47"/>
      <c r="L512" s="54"/>
    </row>
    <row r="513" spans="2:12" x14ac:dyDescent="0.25">
      <c r="B513" s="49"/>
      <c r="C513" s="2"/>
      <c r="D513" s="50"/>
      <c r="E513" s="50"/>
      <c r="F513" s="50"/>
      <c r="G513" s="50"/>
      <c r="H513" s="46"/>
      <c r="I513" s="51"/>
      <c r="J513" s="52"/>
      <c r="K513" s="47"/>
      <c r="L513" s="54"/>
    </row>
    <row r="514" spans="2:12" x14ac:dyDescent="0.25">
      <c r="B514" s="49"/>
      <c r="C514" s="2"/>
      <c r="D514" s="50"/>
      <c r="E514" s="50"/>
      <c r="F514" s="50"/>
      <c r="G514" s="50"/>
      <c r="H514" s="46"/>
      <c r="I514" s="51"/>
      <c r="J514" s="52"/>
      <c r="K514" s="47"/>
      <c r="L514" s="54"/>
    </row>
    <row r="515" spans="2:12" x14ac:dyDescent="0.25">
      <c r="B515" s="49"/>
      <c r="C515" s="2"/>
      <c r="D515" s="50"/>
      <c r="E515" s="50"/>
      <c r="F515" s="50"/>
      <c r="G515" s="50"/>
      <c r="H515" s="46"/>
      <c r="I515" s="51"/>
      <c r="J515" s="52"/>
      <c r="K515" s="47"/>
      <c r="L515" s="54"/>
    </row>
    <row r="516" spans="2:12" x14ac:dyDescent="0.25">
      <c r="B516" s="49"/>
      <c r="C516" s="2"/>
      <c r="D516" s="50"/>
      <c r="E516" s="50"/>
      <c r="F516" s="50"/>
      <c r="G516" s="50"/>
      <c r="H516" s="46"/>
      <c r="I516" s="51"/>
      <c r="J516" s="52"/>
      <c r="K516" s="47"/>
      <c r="L516" s="54"/>
    </row>
    <row r="517" spans="2:12" x14ac:dyDescent="0.25">
      <c r="B517" s="49"/>
      <c r="C517" s="2"/>
      <c r="D517" s="50"/>
      <c r="E517" s="50"/>
      <c r="F517" s="50"/>
      <c r="G517" s="50"/>
      <c r="H517" s="46"/>
      <c r="I517" s="51"/>
      <c r="J517" s="52"/>
      <c r="K517" s="47"/>
      <c r="L517" s="54"/>
    </row>
    <row r="518" spans="2:12" x14ac:dyDescent="0.25">
      <c r="K518" s="44">
        <f>SUM(K4:K517)</f>
        <v>0</v>
      </c>
    </row>
  </sheetData>
  <autoFilter ref="B3:L647" xr:uid="{8CED0A77-3493-4A03-AB68-633925F6DF54}">
    <sortState xmlns:xlrd2="http://schemas.microsoft.com/office/spreadsheetml/2017/richdata2" ref="B4:L647">
      <sortCondition sortBy="cellColor" ref="L3:L647" dxfId="20"/>
    </sortState>
  </autoFilter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6B42-FB45-4EAC-B40E-F7CCF79D6007}">
  <dimension ref="B1:L43"/>
  <sheetViews>
    <sheetView showGridLines="0" workbookViewId="0">
      <selection activeCell="B2" sqref="B2:L42"/>
    </sheetView>
  </sheetViews>
  <sheetFormatPr defaultRowHeight="15" x14ac:dyDescent="0.25"/>
  <cols>
    <col min="2" max="2" width="22.85546875" bestFit="1" customWidth="1"/>
    <col min="3" max="3" width="17.42578125" bestFit="1" customWidth="1"/>
    <col min="4" max="4" width="10.5703125" bestFit="1" customWidth="1"/>
    <col min="5" max="5" width="25" bestFit="1" customWidth="1"/>
    <col min="6" max="6" width="15.140625" bestFit="1" customWidth="1"/>
    <col min="7" max="7" width="10.140625" bestFit="1" customWidth="1"/>
    <col min="8" max="9" width="10.85546875" bestFit="1" customWidth="1"/>
    <col min="10" max="10" width="13.140625" bestFit="1" customWidth="1"/>
    <col min="11" max="11" width="14.28515625" bestFit="1" customWidth="1"/>
  </cols>
  <sheetData>
    <row r="1" spans="2:12" x14ac:dyDescent="0.25">
      <c r="B1" s="23" t="s">
        <v>110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5" t="s">
        <v>9</v>
      </c>
      <c r="L1" s="26" t="s">
        <v>10</v>
      </c>
    </row>
    <row r="2" spans="2:12" ht="15.75" x14ac:dyDescent="0.25">
      <c r="B2" s="15"/>
      <c r="C2" s="16"/>
      <c r="D2" s="16"/>
      <c r="E2" s="16"/>
      <c r="F2" s="16"/>
      <c r="G2" s="17"/>
      <c r="H2" s="17"/>
      <c r="I2" s="16"/>
      <c r="J2" s="16"/>
      <c r="K2" s="18"/>
      <c r="L2" s="16"/>
    </row>
    <row r="3" spans="2:12" ht="15.75" x14ac:dyDescent="0.25">
      <c r="B3" s="19"/>
      <c r="C3" s="17"/>
      <c r="D3" s="17"/>
      <c r="E3" s="17"/>
      <c r="F3" s="16"/>
      <c r="G3" s="17"/>
      <c r="H3" s="17"/>
      <c r="I3" s="17"/>
      <c r="J3" s="17"/>
      <c r="K3" s="18"/>
      <c r="L3" s="17"/>
    </row>
    <row r="4" spans="2:12" ht="15.75" x14ac:dyDescent="0.25">
      <c r="B4" s="15"/>
      <c r="C4" s="16"/>
      <c r="D4" s="16"/>
      <c r="E4" s="16"/>
      <c r="F4" s="16"/>
      <c r="G4" s="17"/>
      <c r="H4" s="17"/>
      <c r="I4" s="16"/>
      <c r="J4" s="16"/>
      <c r="K4" s="18"/>
      <c r="L4" s="16"/>
    </row>
    <row r="5" spans="2:12" ht="15.75" x14ac:dyDescent="0.25">
      <c r="B5" s="19"/>
      <c r="C5" s="17"/>
      <c r="D5" s="17"/>
      <c r="E5" s="17"/>
      <c r="F5" s="16"/>
      <c r="G5" s="17"/>
      <c r="H5" s="17"/>
      <c r="I5" s="17"/>
      <c r="J5" s="17"/>
      <c r="K5" s="18"/>
      <c r="L5" s="17"/>
    </row>
    <row r="6" spans="2:12" ht="15.75" x14ac:dyDescent="0.25">
      <c r="B6" s="15"/>
      <c r="C6" s="16"/>
      <c r="D6" s="16"/>
      <c r="E6" s="16"/>
      <c r="F6" s="16"/>
      <c r="G6" s="17"/>
      <c r="H6" s="17"/>
      <c r="I6" s="16"/>
      <c r="J6" s="16"/>
      <c r="K6" s="18"/>
      <c r="L6" s="20"/>
    </row>
    <row r="7" spans="2:12" ht="15.75" x14ac:dyDescent="0.25">
      <c r="B7" s="19"/>
      <c r="C7" s="17"/>
      <c r="D7" s="17"/>
      <c r="E7" s="17"/>
      <c r="F7" s="16"/>
      <c r="G7" s="17"/>
      <c r="H7" s="17"/>
      <c r="I7" s="17"/>
      <c r="J7" s="17"/>
      <c r="K7" s="18"/>
      <c r="L7" s="20"/>
    </row>
    <row r="8" spans="2:12" ht="15.75" x14ac:dyDescent="0.25">
      <c r="B8" s="19"/>
      <c r="C8" s="17"/>
      <c r="D8" s="17"/>
      <c r="E8" s="17"/>
      <c r="F8" s="16"/>
      <c r="G8" s="17"/>
      <c r="H8" s="17"/>
      <c r="I8" s="17"/>
      <c r="J8" s="21"/>
      <c r="K8" s="18"/>
      <c r="L8" s="17"/>
    </row>
    <row r="9" spans="2:12" ht="15.75" x14ac:dyDescent="0.25">
      <c r="B9" s="15"/>
      <c r="C9" s="16"/>
      <c r="D9" s="16"/>
      <c r="E9" s="16"/>
      <c r="F9" s="16"/>
      <c r="G9" s="17"/>
      <c r="H9" s="17"/>
      <c r="I9" s="16"/>
      <c r="J9" s="22"/>
      <c r="K9" s="18"/>
      <c r="L9" s="16"/>
    </row>
    <row r="10" spans="2:12" ht="15.75" x14ac:dyDescent="0.25">
      <c r="B10" s="19"/>
      <c r="C10" s="17"/>
      <c r="D10" s="17"/>
      <c r="E10" s="17"/>
      <c r="F10" s="16"/>
      <c r="G10" s="17"/>
      <c r="H10" s="17"/>
      <c r="I10" s="17"/>
      <c r="J10" s="21"/>
      <c r="K10" s="18"/>
      <c r="L10" s="17"/>
    </row>
    <row r="11" spans="2:12" ht="15.75" x14ac:dyDescent="0.25">
      <c r="B11" s="15"/>
      <c r="C11" s="16"/>
      <c r="D11" s="16"/>
      <c r="E11" s="16"/>
      <c r="F11" s="16"/>
      <c r="G11" s="17"/>
      <c r="H11" s="17"/>
      <c r="I11" s="16"/>
      <c r="J11" s="22"/>
      <c r="K11" s="18"/>
      <c r="L11" s="16"/>
    </row>
    <row r="12" spans="2:12" ht="15.75" x14ac:dyDescent="0.25">
      <c r="B12" s="19"/>
      <c r="C12" s="17"/>
      <c r="D12" s="17"/>
      <c r="E12" s="17"/>
      <c r="F12" s="16"/>
      <c r="G12" s="17"/>
      <c r="H12" s="17"/>
      <c r="I12" s="17"/>
      <c r="J12" s="21"/>
      <c r="K12" s="18"/>
      <c r="L12" s="17"/>
    </row>
    <row r="13" spans="2:12" ht="15.75" x14ac:dyDescent="0.25">
      <c r="B13" s="15"/>
      <c r="C13" s="16"/>
      <c r="D13" s="16"/>
      <c r="E13" s="16"/>
      <c r="F13" s="16"/>
      <c r="G13" s="17"/>
      <c r="H13" s="17"/>
      <c r="I13" s="16"/>
      <c r="J13" s="22"/>
      <c r="K13" s="18"/>
      <c r="L13" s="16"/>
    </row>
    <row r="14" spans="2:12" ht="15.75" x14ac:dyDescent="0.25">
      <c r="B14" s="15"/>
      <c r="C14" s="16"/>
      <c r="D14" s="16"/>
      <c r="E14" s="16"/>
      <c r="F14" s="16"/>
      <c r="G14" s="17"/>
      <c r="H14" s="17"/>
      <c r="I14" s="16"/>
      <c r="J14" s="22"/>
      <c r="K14" s="18"/>
      <c r="L14" s="16"/>
    </row>
    <row r="15" spans="2:12" ht="15.75" x14ac:dyDescent="0.25">
      <c r="B15" s="19"/>
      <c r="C15" s="17"/>
      <c r="D15" s="17"/>
      <c r="E15" s="17"/>
      <c r="F15" s="16"/>
      <c r="G15" s="17"/>
      <c r="H15" s="17"/>
      <c r="I15" s="17"/>
      <c r="J15" s="21"/>
      <c r="K15" s="18"/>
      <c r="L15" s="17"/>
    </row>
    <row r="16" spans="2:12" ht="15.75" x14ac:dyDescent="0.25">
      <c r="B16" s="15"/>
      <c r="C16" s="16"/>
      <c r="D16" s="16"/>
      <c r="E16" s="16"/>
      <c r="F16" s="16"/>
      <c r="G16" s="17"/>
      <c r="H16" s="17"/>
      <c r="I16" s="16"/>
      <c r="J16" s="22"/>
      <c r="K16" s="18"/>
      <c r="L16" s="16"/>
    </row>
    <row r="17" spans="2:12" ht="15.75" x14ac:dyDescent="0.25">
      <c r="B17" s="19"/>
      <c r="C17" s="17"/>
      <c r="D17" s="17"/>
      <c r="E17" s="17"/>
      <c r="F17" s="16"/>
      <c r="G17" s="17"/>
      <c r="H17" s="17"/>
      <c r="I17" s="17"/>
      <c r="J17" s="21"/>
      <c r="K17" s="18"/>
      <c r="L17" s="17"/>
    </row>
    <row r="18" spans="2:12" ht="15.75" x14ac:dyDescent="0.25">
      <c r="B18" s="15"/>
      <c r="C18" s="16"/>
      <c r="D18" s="16"/>
      <c r="E18" s="16"/>
      <c r="F18" s="16"/>
      <c r="G18" s="17"/>
      <c r="H18" s="17"/>
      <c r="I18" s="16"/>
      <c r="J18" s="22"/>
      <c r="K18" s="18"/>
      <c r="L18" s="16"/>
    </row>
    <row r="19" spans="2:12" ht="15.75" x14ac:dyDescent="0.25">
      <c r="B19" s="19"/>
      <c r="C19" s="17"/>
      <c r="D19" s="17"/>
      <c r="E19" s="17"/>
      <c r="F19" s="16"/>
      <c r="G19" s="17"/>
      <c r="H19" s="17"/>
      <c r="I19" s="17"/>
      <c r="J19" s="21"/>
      <c r="K19" s="18"/>
      <c r="L19" s="17"/>
    </row>
    <row r="20" spans="2:12" ht="15.75" x14ac:dyDescent="0.25">
      <c r="B20" s="15"/>
      <c r="C20" s="16"/>
      <c r="D20" s="16"/>
      <c r="E20" s="16"/>
      <c r="F20" s="16"/>
      <c r="G20" s="17"/>
      <c r="H20" s="17"/>
      <c r="I20" s="16"/>
      <c r="J20" s="22"/>
      <c r="K20" s="18"/>
      <c r="L20" s="16"/>
    </row>
    <row r="21" spans="2:12" ht="15.75" x14ac:dyDescent="0.25">
      <c r="B21" s="19"/>
      <c r="C21" s="17"/>
      <c r="D21" s="17"/>
      <c r="E21" s="17"/>
      <c r="F21" s="16"/>
      <c r="G21" s="17"/>
      <c r="H21" s="17"/>
      <c r="I21" s="17"/>
      <c r="J21" s="21"/>
      <c r="K21" s="18"/>
      <c r="L21" s="17"/>
    </row>
    <row r="22" spans="2:12" ht="15.75" x14ac:dyDescent="0.25">
      <c r="B22" s="15"/>
      <c r="C22" s="16"/>
      <c r="D22" s="16"/>
      <c r="E22" s="16"/>
      <c r="F22" s="16"/>
      <c r="G22" s="17"/>
      <c r="H22" s="17"/>
      <c r="I22" s="16"/>
      <c r="J22" s="22"/>
      <c r="K22" s="18"/>
      <c r="L22" s="16"/>
    </row>
    <row r="23" spans="2:12" ht="15.75" x14ac:dyDescent="0.25">
      <c r="B23" s="15"/>
      <c r="C23" s="16"/>
      <c r="D23" s="16"/>
      <c r="E23" s="16"/>
      <c r="F23" s="16"/>
      <c r="G23" s="17"/>
      <c r="H23" s="17"/>
      <c r="I23" s="16"/>
      <c r="J23" s="22"/>
      <c r="K23" s="18"/>
      <c r="L23" s="16"/>
    </row>
    <row r="24" spans="2:12" ht="15.75" x14ac:dyDescent="0.25">
      <c r="B24" s="19"/>
      <c r="C24" s="17"/>
      <c r="D24" s="17"/>
      <c r="E24" s="17"/>
      <c r="F24" s="17"/>
      <c r="G24" s="17"/>
      <c r="H24" s="17"/>
      <c r="I24" s="17"/>
      <c r="J24" s="21"/>
      <c r="K24" s="18"/>
      <c r="L24" s="17"/>
    </row>
    <row r="25" spans="2:12" ht="15.75" x14ac:dyDescent="0.25">
      <c r="B25" s="19"/>
      <c r="C25" s="17"/>
      <c r="D25" s="17"/>
      <c r="E25" s="17"/>
      <c r="F25" s="16"/>
      <c r="G25" s="17"/>
      <c r="H25" s="17"/>
      <c r="I25" s="17"/>
      <c r="J25" s="21"/>
      <c r="K25" s="18"/>
      <c r="L25" s="17"/>
    </row>
    <row r="26" spans="2:12" ht="15.75" x14ac:dyDescent="0.25">
      <c r="B26" s="15"/>
      <c r="C26" s="16"/>
      <c r="D26" s="16"/>
      <c r="E26" s="16"/>
      <c r="F26" s="16"/>
      <c r="G26" s="17"/>
      <c r="H26" s="17"/>
      <c r="I26" s="16"/>
      <c r="J26" s="22"/>
      <c r="K26" s="18"/>
      <c r="L26" s="16"/>
    </row>
    <row r="27" spans="2:12" ht="15.75" x14ac:dyDescent="0.25">
      <c r="B27" s="19"/>
      <c r="C27" s="17"/>
      <c r="D27" s="17"/>
      <c r="E27" s="17"/>
      <c r="F27" s="16"/>
      <c r="G27" s="17"/>
      <c r="H27" s="17"/>
      <c r="I27" s="17"/>
      <c r="J27" s="21"/>
      <c r="K27" s="18"/>
      <c r="L27" s="17"/>
    </row>
    <row r="28" spans="2:12" ht="15.75" x14ac:dyDescent="0.25">
      <c r="B28" s="15"/>
      <c r="C28" s="16"/>
      <c r="D28" s="16"/>
      <c r="E28" s="16"/>
      <c r="F28" s="16"/>
      <c r="G28" s="17"/>
      <c r="H28" s="17"/>
      <c r="I28" s="16"/>
      <c r="J28" s="22"/>
      <c r="K28" s="18"/>
      <c r="L28" s="16"/>
    </row>
    <row r="29" spans="2:12" ht="15.75" x14ac:dyDescent="0.25">
      <c r="B29" s="15"/>
      <c r="C29" s="16"/>
      <c r="D29" s="16"/>
      <c r="E29" s="16"/>
      <c r="F29" s="16"/>
      <c r="G29" s="17"/>
      <c r="H29" s="17"/>
      <c r="I29" s="16"/>
      <c r="J29" s="22"/>
      <c r="K29" s="18"/>
      <c r="L29" s="16"/>
    </row>
    <row r="30" spans="2:12" ht="15.75" x14ac:dyDescent="0.25">
      <c r="B30" s="19"/>
      <c r="C30" s="17"/>
      <c r="D30" s="17"/>
      <c r="E30" s="17"/>
      <c r="F30" s="16"/>
      <c r="G30" s="17"/>
      <c r="H30" s="17"/>
      <c r="I30" s="17"/>
      <c r="J30" s="21"/>
      <c r="K30" s="18"/>
      <c r="L30" s="17"/>
    </row>
    <row r="31" spans="2:12" ht="15.75" x14ac:dyDescent="0.25">
      <c r="B31" s="15"/>
      <c r="C31" s="16"/>
      <c r="D31" s="16"/>
      <c r="E31" s="16"/>
      <c r="F31" s="16"/>
      <c r="G31" s="17"/>
      <c r="H31" s="17"/>
      <c r="I31" s="16"/>
      <c r="J31" s="22"/>
      <c r="K31" s="18"/>
      <c r="L31" s="16"/>
    </row>
    <row r="32" spans="2:12" ht="15.75" x14ac:dyDescent="0.25">
      <c r="B32" s="19"/>
      <c r="C32" s="17"/>
      <c r="D32" s="17"/>
      <c r="E32" s="17"/>
      <c r="F32" s="17"/>
      <c r="G32" s="17"/>
      <c r="H32" s="17"/>
      <c r="I32" s="17"/>
      <c r="J32" s="21"/>
      <c r="K32" s="18"/>
      <c r="L32" s="17"/>
    </row>
    <row r="33" spans="2:12" ht="15.75" x14ac:dyDescent="0.25">
      <c r="B33" s="15"/>
      <c r="C33" s="16"/>
      <c r="D33" s="16"/>
      <c r="E33" s="16"/>
      <c r="F33" s="16"/>
      <c r="G33" s="17"/>
      <c r="H33" s="17"/>
      <c r="I33" s="16"/>
      <c r="J33" s="22"/>
      <c r="K33" s="18"/>
      <c r="L33" s="16"/>
    </row>
    <row r="34" spans="2:12" ht="15.75" x14ac:dyDescent="0.25">
      <c r="B34" s="19"/>
      <c r="C34" s="17"/>
      <c r="D34" s="17"/>
      <c r="E34" s="17"/>
      <c r="F34" s="16"/>
      <c r="G34" s="17"/>
      <c r="H34" s="17"/>
      <c r="I34" s="17"/>
      <c r="J34" s="21"/>
      <c r="K34" s="18"/>
      <c r="L34" s="17"/>
    </row>
    <row r="35" spans="2:12" ht="15.75" x14ac:dyDescent="0.25">
      <c r="B35" s="15"/>
      <c r="C35" s="16"/>
      <c r="D35" s="16"/>
      <c r="E35" s="16"/>
      <c r="F35" s="16"/>
      <c r="G35" s="17"/>
      <c r="H35" s="17"/>
      <c r="I35" s="16"/>
      <c r="J35" s="22"/>
      <c r="K35" s="18"/>
      <c r="L35" s="16"/>
    </row>
    <row r="36" spans="2:12" ht="15.75" x14ac:dyDescent="0.25">
      <c r="B36" s="19"/>
      <c r="C36" s="17"/>
      <c r="D36" s="17"/>
      <c r="E36" s="17"/>
      <c r="F36" s="17"/>
      <c r="G36" s="17"/>
      <c r="H36" s="17"/>
      <c r="I36" s="17"/>
      <c r="J36" s="21"/>
      <c r="K36" s="18"/>
      <c r="L36" s="17"/>
    </row>
    <row r="37" spans="2:12" ht="15.75" x14ac:dyDescent="0.25">
      <c r="B37" s="15"/>
      <c r="C37" s="16"/>
      <c r="D37" s="16"/>
      <c r="E37" s="16"/>
      <c r="F37" s="16"/>
      <c r="G37" s="17"/>
      <c r="H37" s="17"/>
      <c r="I37" s="16"/>
      <c r="J37" s="22"/>
      <c r="K37" s="18"/>
      <c r="L37" s="16"/>
    </row>
    <row r="38" spans="2:12" ht="15.75" x14ac:dyDescent="0.25">
      <c r="B38" s="19"/>
      <c r="C38" s="17"/>
      <c r="D38" s="17"/>
      <c r="E38" s="17"/>
      <c r="F38" s="16"/>
      <c r="G38" s="17"/>
      <c r="H38" s="17"/>
      <c r="I38" s="17"/>
      <c r="J38" s="21"/>
      <c r="K38" s="18"/>
      <c r="L38" s="17"/>
    </row>
    <row r="39" spans="2:12" ht="15.75" x14ac:dyDescent="0.25">
      <c r="B39" s="15"/>
      <c r="C39" s="16"/>
      <c r="D39" s="16"/>
      <c r="E39" s="16"/>
      <c r="F39" s="16"/>
      <c r="G39" s="17"/>
      <c r="H39" s="17"/>
      <c r="I39" s="16"/>
      <c r="J39" s="22"/>
      <c r="K39" s="18"/>
      <c r="L39" s="16"/>
    </row>
    <row r="40" spans="2:12" ht="15.75" x14ac:dyDescent="0.25">
      <c r="B40" s="19"/>
      <c r="C40" s="17"/>
      <c r="D40" s="17"/>
      <c r="E40" s="17"/>
      <c r="F40" s="16"/>
      <c r="G40" s="17"/>
      <c r="H40" s="17"/>
      <c r="I40" s="17"/>
      <c r="J40" s="21"/>
      <c r="K40" s="18"/>
      <c r="L40" s="17"/>
    </row>
    <row r="41" spans="2:12" ht="15.75" x14ac:dyDescent="0.25">
      <c r="B41" s="15"/>
      <c r="C41" s="16"/>
      <c r="D41" s="16"/>
      <c r="E41" s="16"/>
      <c r="F41" s="16"/>
      <c r="G41" s="17"/>
      <c r="H41" s="17"/>
      <c r="I41" s="16"/>
      <c r="J41" s="22"/>
      <c r="K41" s="18"/>
      <c r="L41" s="16"/>
    </row>
    <row r="42" spans="2:12" ht="15.75" x14ac:dyDescent="0.25">
      <c r="B42" s="19"/>
      <c r="C42" s="17"/>
      <c r="D42" s="17"/>
      <c r="E42" s="17"/>
      <c r="F42" s="16"/>
      <c r="G42" s="17"/>
      <c r="H42" s="17"/>
      <c r="I42" s="17"/>
      <c r="J42" s="21"/>
      <c r="K42" s="18"/>
      <c r="L42" s="17"/>
    </row>
    <row r="43" spans="2:12" ht="15.75" x14ac:dyDescent="0.25">
      <c r="K43" s="27">
        <f>SUBTOTAL(9,K2:K42)</f>
        <v>0</v>
      </c>
    </row>
  </sheetData>
  <conditionalFormatting sqref="L2:L42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15"/>
    <cfRule type="duplicateValues" dxfId="3" priority="16"/>
    <cfRule type="duplicateValues" dxfId="2" priority="17"/>
    <cfRule type="duplicateValues" dxfId="1" priority="18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1846-4AE7-4349-A084-BBFA84E1B602}">
  <dimension ref="B2:L408"/>
  <sheetViews>
    <sheetView showGridLines="0" workbookViewId="0">
      <pane ySplit="2" topLeftCell="A3" activePane="bottomLeft" state="frozen"/>
      <selection activeCell="A7" sqref="A7"/>
      <selection pane="bottomLeft" activeCell="D14" sqref="D14"/>
    </sheetView>
  </sheetViews>
  <sheetFormatPr defaultRowHeight="15" x14ac:dyDescent="0.25"/>
  <cols>
    <col min="2" max="2" width="10.140625" bestFit="1" customWidth="1"/>
    <col min="5" max="5" width="20" bestFit="1" customWidth="1"/>
    <col min="6" max="6" width="18.140625" bestFit="1" customWidth="1"/>
    <col min="7" max="7" width="11.5703125" bestFit="1" customWidth="1"/>
    <col min="11" max="11" width="10.7109375" bestFit="1" customWidth="1"/>
    <col min="12" max="12" width="12.7109375" bestFit="1" customWidth="1"/>
  </cols>
  <sheetData>
    <row r="2" spans="2:12" x14ac:dyDescent="0.25">
      <c r="B2" s="28" t="s">
        <v>0</v>
      </c>
      <c r="C2" s="29" t="s">
        <v>1</v>
      </c>
      <c r="D2" s="29" t="s">
        <v>2</v>
      </c>
      <c r="E2" s="29" t="s">
        <v>3</v>
      </c>
      <c r="F2" s="29" t="s">
        <v>4</v>
      </c>
      <c r="G2" s="29" t="s">
        <v>5</v>
      </c>
      <c r="H2" s="29" t="s">
        <v>6</v>
      </c>
      <c r="I2" s="29" t="s">
        <v>7</v>
      </c>
      <c r="J2" s="29" t="s">
        <v>8</v>
      </c>
      <c r="K2" s="29" t="s">
        <v>9</v>
      </c>
      <c r="L2" s="29" t="s">
        <v>10</v>
      </c>
    </row>
    <row r="3" spans="2:12" x14ac:dyDescent="0.25">
      <c r="B3" s="41"/>
      <c r="C3" s="42"/>
      <c r="D3" s="42"/>
      <c r="E3" s="42"/>
      <c r="F3" s="42"/>
      <c r="G3" s="42"/>
      <c r="H3" s="32"/>
      <c r="I3" s="42"/>
      <c r="J3" s="42"/>
      <c r="K3" s="36"/>
      <c r="L3" s="34"/>
    </row>
    <row r="4" spans="2:12" x14ac:dyDescent="0.25">
      <c r="B4" s="41"/>
      <c r="C4" s="42"/>
      <c r="D4" s="42"/>
      <c r="E4" s="42"/>
      <c r="F4" s="42"/>
      <c r="G4" s="42"/>
      <c r="H4" s="32"/>
      <c r="I4" s="42"/>
      <c r="J4" s="42"/>
      <c r="K4" s="33"/>
      <c r="L4" s="34"/>
    </row>
    <row r="5" spans="2:12" x14ac:dyDescent="0.25">
      <c r="B5" s="41"/>
      <c r="C5" s="42"/>
      <c r="D5" s="42"/>
      <c r="E5" s="42"/>
      <c r="F5" s="42"/>
      <c r="G5" s="42"/>
      <c r="H5" s="32"/>
      <c r="I5" s="42"/>
      <c r="J5" s="42"/>
      <c r="K5" s="36"/>
      <c r="L5" s="34"/>
    </row>
    <row r="6" spans="2:12" x14ac:dyDescent="0.25">
      <c r="B6" s="41"/>
      <c r="C6" s="42"/>
      <c r="D6" s="42"/>
      <c r="E6" s="42"/>
      <c r="F6" s="42"/>
      <c r="G6" s="42"/>
      <c r="H6" s="32"/>
      <c r="I6" s="42"/>
      <c r="J6" s="42"/>
      <c r="K6" s="36"/>
      <c r="L6" s="34"/>
    </row>
    <row r="7" spans="2:12" x14ac:dyDescent="0.25">
      <c r="B7" s="41"/>
      <c r="C7" s="42"/>
      <c r="D7" s="42"/>
      <c r="E7" s="42"/>
      <c r="F7" s="42"/>
      <c r="G7" s="42"/>
      <c r="H7" s="32"/>
      <c r="I7" s="42"/>
      <c r="J7" s="42"/>
      <c r="K7" s="36"/>
      <c r="L7" s="34"/>
    </row>
    <row r="8" spans="2:12" x14ac:dyDescent="0.25">
      <c r="B8" s="41"/>
      <c r="C8" s="42"/>
      <c r="D8" s="42"/>
      <c r="E8" s="42"/>
      <c r="F8" s="42"/>
      <c r="G8" s="42"/>
      <c r="H8" s="32"/>
      <c r="I8" s="42"/>
      <c r="J8" s="42"/>
      <c r="K8" s="36"/>
      <c r="L8" s="34"/>
    </row>
    <row r="9" spans="2:12" x14ac:dyDescent="0.25">
      <c r="B9" s="41"/>
      <c r="C9" s="42"/>
      <c r="D9" s="42"/>
      <c r="E9" s="42"/>
      <c r="F9" s="42"/>
      <c r="G9" s="42"/>
      <c r="H9" s="32"/>
      <c r="I9" s="42"/>
      <c r="J9" s="42"/>
      <c r="K9" s="36"/>
      <c r="L9" s="34"/>
    </row>
    <row r="10" spans="2:12" x14ac:dyDescent="0.25">
      <c r="B10" s="30"/>
      <c r="C10" s="38"/>
      <c r="D10" s="38"/>
      <c r="E10" s="38"/>
      <c r="F10" s="38"/>
      <c r="G10" s="38"/>
      <c r="H10" s="32"/>
      <c r="I10" s="31"/>
      <c r="J10" s="38"/>
      <c r="K10" s="33"/>
      <c r="L10" s="39"/>
    </row>
    <row r="11" spans="2:12" x14ac:dyDescent="0.25">
      <c r="B11" s="30"/>
      <c r="C11" s="38"/>
      <c r="D11" s="38"/>
      <c r="E11" s="38"/>
      <c r="F11" s="38"/>
      <c r="G11" s="38"/>
      <c r="H11" s="32"/>
      <c r="I11" s="31"/>
      <c r="J11" s="38"/>
      <c r="K11" s="36"/>
      <c r="L11" s="39"/>
    </row>
    <row r="12" spans="2:12" x14ac:dyDescent="0.25">
      <c r="B12" s="30"/>
      <c r="C12" s="38"/>
      <c r="D12" s="38"/>
      <c r="E12" s="38"/>
      <c r="F12" s="38"/>
      <c r="G12" s="38"/>
      <c r="H12" s="32"/>
      <c r="I12" s="31"/>
      <c r="J12" s="38"/>
      <c r="K12" s="33"/>
      <c r="L12" s="39"/>
    </row>
    <row r="13" spans="2:12" x14ac:dyDescent="0.25">
      <c r="B13" s="30"/>
      <c r="C13" s="31"/>
      <c r="D13" s="31"/>
      <c r="E13" s="31"/>
      <c r="F13" s="31"/>
      <c r="G13" s="31"/>
      <c r="H13" s="32"/>
      <c r="I13" s="31"/>
      <c r="J13" s="35"/>
      <c r="K13" s="33"/>
      <c r="L13" s="34"/>
    </row>
    <row r="14" spans="2:12" x14ac:dyDescent="0.25">
      <c r="B14" s="30"/>
      <c r="C14" s="31"/>
      <c r="D14" s="31"/>
      <c r="E14" s="31"/>
      <c r="F14" s="31"/>
      <c r="G14" s="31"/>
      <c r="H14" s="32"/>
      <c r="I14" s="31"/>
      <c r="J14" s="31"/>
      <c r="K14" s="33"/>
      <c r="L14" s="34"/>
    </row>
    <row r="15" spans="2:12" x14ac:dyDescent="0.25">
      <c r="B15" s="30"/>
      <c r="C15" s="31"/>
      <c r="D15" s="31"/>
      <c r="E15" s="31"/>
      <c r="F15" s="31"/>
      <c r="G15" s="31"/>
      <c r="H15" s="32"/>
      <c r="I15" s="31"/>
      <c r="J15" s="35"/>
      <c r="K15" s="33"/>
      <c r="L15" s="34"/>
    </row>
    <row r="16" spans="2:12" x14ac:dyDescent="0.25">
      <c r="B16" s="30"/>
      <c r="C16" s="31"/>
      <c r="D16" s="31"/>
      <c r="E16" s="31"/>
      <c r="F16" s="31"/>
      <c r="G16" s="31"/>
      <c r="H16" s="32"/>
      <c r="I16" s="31"/>
      <c r="J16" s="35"/>
      <c r="K16" s="36"/>
      <c r="L16" s="34"/>
    </row>
    <row r="17" spans="2:12" x14ac:dyDescent="0.25">
      <c r="B17" s="30"/>
      <c r="C17" s="31"/>
      <c r="D17" s="31"/>
      <c r="E17" s="31"/>
      <c r="F17" s="31"/>
      <c r="G17" s="31"/>
      <c r="H17" s="32"/>
      <c r="I17" s="31"/>
      <c r="J17" s="31"/>
      <c r="K17" s="36"/>
      <c r="L17" s="34"/>
    </row>
    <row r="18" spans="2:12" x14ac:dyDescent="0.25">
      <c r="B18" s="30"/>
      <c r="C18" s="31"/>
      <c r="D18" s="31"/>
      <c r="E18" s="31"/>
      <c r="F18" s="31"/>
      <c r="G18" s="31"/>
      <c r="H18" s="32"/>
      <c r="I18" s="31"/>
      <c r="J18" s="31"/>
      <c r="K18" s="33"/>
      <c r="L18" s="34"/>
    </row>
    <row r="19" spans="2:12" x14ac:dyDescent="0.25">
      <c r="B19" s="30"/>
      <c r="C19" s="31"/>
      <c r="D19" s="31"/>
      <c r="E19" s="31"/>
      <c r="F19" s="31"/>
      <c r="G19" s="31"/>
      <c r="H19" s="32"/>
      <c r="I19" s="31"/>
      <c r="J19" s="31"/>
      <c r="K19" s="33"/>
      <c r="L19" s="34"/>
    </row>
    <row r="20" spans="2:12" x14ac:dyDescent="0.25">
      <c r="B20" s="30"/>
      <c r="C20" s="31"/>
      <c r="D20" s="31"/>
      <c r="E20" s="31"/>
      <c r="F20" s="31"/>
      <c r="G20" s="31"/>
      <c r="H20" s="32"/>
      <c r="I20" s="31"/>
      <c r="J20" s="31"/>
      <c r="K20" s="33"/>
      <c r="L20" s="34"/>
    </row>
    <row r="21" spans="2:12" x14ac:dyDescent="0.25">
      <c r="B21" s="30"/>
      <c r="C21" s="31"/>
      <c r="D21" s="31"/>
      <c r="E21" s="31"/>
      <c r="F21" s="31"/>
      <c r="G21" s="31"/>
      <c r="H21" s="32"/>
      <c r="I21" s="31"/>
      <c r="J21" s="31"/>
      <c r="K21" s="33"/>
      <c r="L21" s="34"/>
    </row>
    <row r="22" spans="2:12" x14ac:dyDescent="0.25">
      <c r="B22" s="30"/>
      <c r="C22" s="31"/>
      <c r="D22" s="31"/>
      <c r="E22" s="31"/>
      <c r="F22" s="31"/>
      <c r="G22" s="31"/>
      <c r="H22" s="32"/>
      <c r="I22" s="31"/>
      <c r="J22" s="31"/>
      <c r="K22" s="33"/>
      <c r="L22" s="34"/>
    </row>
    <row r="23" spans="2:12" x14ac:dyDescent="0.25">
      <c r="B23" s="30"/>
      <c r="C23" s="31"/>
      <c r="D23" s="31"/>
      <c r="E23" s="31"/>
      <c r="F23" s="31"/>
      <c r="G23" s="31"/>
      <c r="H23" s="32"/>
      <c r="I23" s="31"/>
      <c r="J23" s="31"/>
      <c r="K23" s="33"/>
      <c r="L23" s="34"/>
    </row>
    <row r="24" spans="2:12" x14ac:dyDescent="0.25">
      <c r="B24" s="30"/>
      <c r="C24" s="31"/>
      <c r="D24" s="31"/>
      <c r="E24" s="31"/>
      <c r="F24" s="31"/>
      <c r="G24" s="31"/>
      <c r="H24" s="32"/>
      <c r="I24" s="31"/>
      <c r="J24" s="31"/>
      <c r="K24" s="33"/>
      <c r="L24" s="34"/>
    </row>
    <row r="25" spans="2:12" x14ac:dyDescent="0.25">
      <c r="B25" s="30"/>
      <c r="C25" s="31"/>
      <c r="D25" s="31"/>
      <c r="E25" s="31"/>
      <c r="F25" s="31"/>
      <c r="G25" s="31"/>
      <c r="H25" s="32"/>
      <c r="I25" s="31"/>
      <c r="J25" s="31"/>
      <c r="K25" s="33"/>
      <c r="L25" s="34"/>
    </row>
    <row r="26" spans="2:12" x14ac:dyDescent="0.25">
      <c r="B26" s="30"/>
      <c r="C26" s="31"/>
      <c r="D26" s="31"/>
      <c r="E26" s="31"/>
      <c r="F26" s="31"/>
      <c r="G26" s="31"/>
      <c r="H26" s="32"/>
      <c r="I26" s="31"/>
      <c r="J26" s="31"/>
      <c r="K26" s="33"/>
      <c r="L26" s="34"/>
    </row>
    <row r="27" spans="2:12" x14ac:dyDescent="0.25">
      <c r="B27" s="30"/>
      <c r="C27" s="31"/>
      <c r="D27" s="31"/>
      <c r="E27" s="31"/>
      <c r="F27" s="31"/>
      <c r="G27" s="31"/>
      <c r="H27" s="32"/>
      <c r="I27" s="31"/>
      <c r="J27" s="31"/>
      <c r="K27" s="33"/>
      <c r="L27" s="34"/>
    </row>
    <row r="28" spans="2:12" x14ac:dyDescent="0.25">
      <c r="B28" s="30"/>
      <c r="C28" s="31"/>
      <c r="D28" s="31"/>
      <c r="E28" s="31"/>
      <c r="F28" s="31"/>
      <c r="G28" s="31"/>
      <c r="H28" s="32"/>
      <c r="I28" s="31"/>
      <c r="J28" s="35"/>
      <c r="K28" s="33"/>
      <c r="L28" s="34"/>
    </row>
    <row r="29" spans="2:12" x14ac:dyDescent="0.25">
      <c r="B29" s="30"/>
      <c r="C29" s="31"/>
      <c r="D29" s="31"/>
      <c r="E29" s="31"/>
      <c r="F29" s="31"/>
      <c r="G29" s="31"/>
      <c r="H29" s="32"/>
      <c r="I29" s="31"/>
      <c r="J29" s="31"/>
      <c r="K29" s="33"/>
      <c r="L29" s="34"/>
    </row>
    <row r="30" spans="2:12" x14ac:dyDescent="0.25">
      <c r="B30" s="30"/>
      <c r="C30" s="31"/>
      <c r="D30" s="31"/>
      <c r="E30" s="31"/>
      <c r="F30" s="31"/>
      <c r="G30" s="31"/>
      <c r="H30" s="32"/>
      <c r="I30" s="31"/>
      <c r="J30" s="31"/>
      <c r="K30" s="33"/>
      <c r="L30" s="34"/>
    </row>
    <row r="31" spans="2:12" x14ac:dyDescent="0.25">
      <c r="B31" s="30"/>
      <c r="C31" s="31"/>
      <c r="D31" s="31"/>
      <c r="E31" s="31"/>
      <c r="F31" s="31"/>
      <c r="G31" s="31"/>
      <c r="H31" s="32"/>
      <c r="I31" s="31"/>
      <c r="J31" s="31"/>
      <c r="K31" s="33"/>
      <c r="L31" s="34"/>
    </row>
    <row r="32" spans="2:12" x14ac:dyDescent="0.25">
      <c r="B32" s="30"/>
      <c r="C32" s="31"/>
      <c r="D32" s="31"/>
      <c r="E32" s="31"/>
      <c r="F32" s="31"/>
      <c r="G32" s="31"/>
      <c r="H32" s="32"/>
      <c r="I32" s="31"/>
      <c r="J32" s="31"/>
      <c r="K32" s="36"/>
      <c r="L32" s="34"/>
    </row>
    <row r="33" spans="2:12" x14ac:dyDescent="0.25">
      <c r="B33" s="30"/>
      <c r="C33" s="31"/>
      <c r="D33" s="31"/>
      <c r="E33" s="31"/>
      <c r="F33" s="31"/>
      <c r="G33" s="31"/>
      <c r="H33" s="32"/>
      <c r="I33" s="31"/>
      <c r="J33" s="31"/>
      <c r="K33" s="36"/>
      <c r="L33" s="34"/>
    </row>
    <row r="34" spans="2:12" x14ac:dyDescent="0.25">
      <c r="B34" s="30"/>
      <c r="C34" s="31"/>
      <c r="D34" s="31"/>
      <c r="E34" s="31"/>
      <c r="F34" s="31"/>
      <c r="G34" s="31"/>
      <c r="H34" s="32"/>
      <c r="I34" s="31"/>
      <c r="J34" s="31"/>
      <c r="K34" s="33"/>
      <c r="L34" s="34"/>
    </row>
    <row r="35" spans="2:12" x14ac:dyDescent="0.25">
      <c r="B35" s="30"/>
      <c r="C35" s="31"/>
      <c r="D35" s="31"/>
      <c r="E35" s="31"/>
      <c r="F35" s="31"/>
      <c r="G35" s="31"/>
      <c r="H35" s="32"/>
      <c r="I35" s="31"/>
      <c r="J35" s="31"/>
      <c r="K35" s="33"/>
      <c r="L35" s="34"/>
    </row>
    <row r="36" spans="2:12" x14ac:dyDescent="0.25">
      <c r="B36" s="30"/>
      <c r="C36" s="31"/>
      <c r="D36" s="31"/>
      <c r="E36" s="31"/>
      <c r="F36" s="31"/>
      <c r="G36" s="31"/>
      <c r="H36" s="32"/>
      <c r="I36" s="31"/>
      <c r="J36" s="31"/>
      <c r="K36" s="33"/>
      <c r="L36" s="34"/>
    </row>
    <row r="37" spans="2:12" x14ac:dyDescent="0.25">
      <c r="B37" s="30"/>
      <c r="C37" s="31"/>
      <c r="D37" s="31"/>
      <c r="E37" s="31"/>
      <c r="F37" s="31"/>
      <c r="G37" s="31"/>
      <c r="H37" s="32"/>
      <c r="I37" s="31"/>
      <c r="J37" s="31"/>
      <c r="K37" s="33"/>
      <c r="L37" s="34"/>
    </row>
    <row r="38" spans="2:12" x14ac:dyDescent="0.25">
      <c r="B38" s="30"/>
      <c r="C38" s="31"/>
      <c r="D38" s="31"/>
      <c r="E38" s="31"/>
      <c r="F38" s="31"/>
      <c r="G38" s="31"/>
      <c r="H38" s="32"/>
      <c r="I38" s="31"/>
      <c r="J38" s="31"/>
      <c r="K38" s="33"/>
      <c r="L38" s="34"/>
    </row>
    <row r="39" spans="2:12" x14ac:dyDescent="0.25">
      <c r="B39" s="30"/>
      <c r="C39" s="31"/>
      <c r="D39" s="31"/>
      <c r="E39" s="31"/>
      <c r="F39" s="31"/>
      <c r="G39" s="31"/>
      <c r="H39" s="32"/>
      <c r="I39" s="31"/>
      <c r="J39" s="31"/>
      <c r="K39" s="36"/>
      <c r="L39" s="34"/>
    </row>
    <row r="40" spans="2:12" x14ac:dyDescent="0.25">
      <c r="B40" s="30"/>
      <c r="C40" s="31"/>
      <c r="D40" s="31"/>
      <c r="E40" s="31"/>
      <c r="F40" s="31"/>
      <c r="G40" s="31"/>
      <c r="H40" s="32"/>
      <c r="I40" s="31"/>
      <c r="J40" s="31"/>
      <c r="K40" s="36"/>
      <c r="L40" s="34"/>
    </row>
    <row r="41" spans="2:12" x14ac:dyDescent="0.25">
      <c r="B41" s="30"/>
      <c r="C41" s="31"/>
      <c r="D41" s="31"/>
      <c r="E41" s="31"/>
      <c r="F41" s="31"/>
      <c r="G41" s="31"/>
      <c r="H41" s="32"/>
      <c r="I41" s="31"/>
      <c r="J41" s="35"/>
      <c r="K41" s="33"/>
      <c r="L41" s="34"/>
    </row>
    <row r="42" spans="2:12" x14ac:dyDescent="0.25">
      <c r="B42" s="30"/>
      <c r="C42" s="31"/>
      <c r="D42" s="31"/>
      <c r="E42" s="31"/>
      <c r="F42" s="31"/>
      <c r="G42" s="31"/>
      <c r="H42" s="32"/>
      <c r="I42" s="31"/>
      <c r="J42" s="31"/>
      <c r="K42" s="36"/>
      <c r="L42" s="34"/>
    </row>
    <row r="43" spans="2:12" x14ac:dyDescent="0.25">
      <c r="B43" s="30"/>
      <c r="C43" s="31"/>
      <c r="D43" s="31"/>
      <c r="E43" s="31"/>
      <c r="F43" s="31"/>
      <c r="G43" s="31"/>
      <c r="H43" s="32"/>
      <c r="I43" s="31"/>
      <c r="J43" s="31"/>
      <c r="K43" s="33"/>
      <c r="L43" s="34"/>
    </row>
    <row r="44" spans="2:12" x14ac:dyDescent="0.25">
      <c r="B44" s="30"/>
      <c r="C44" s="31"/>
      <c r="D44" s="31"/>
      <c r="E44" s="31"/>
      <c r="F44" s="31"/>
      <c r="G44" s="31"/>
      <c r="H44" s="32"/>
      <c r="I44" s="31"/>
      <c r="J44" s="31"/>
      <c r="K44" s="36"/>
      <c r="L44" s="34"/>
    </row>
    <row r="45" spans="2:12" x14ac:dyDescent="0.25">
      <c r="B45" s="30"/>
      <c r="C45" s="31"/>
      <c r="D45" s="31"/>
      <c r="E45" s="31"/>
      <c r="F45" s="31"/>
      <c r="G45" s="31"/>
      <c r="H45" s="32"/>
      <c r="I45" s="31"/>
      <c r="J45" s="31"/>
      <c r="K45" s="33"/>
      <c r="L45" s="34"/>
    </row>
    <row r="46" spans="2:12" x14ac:dyDescent="0.25">
      <c r="B46" s="30"/>
      <c r="C46" s="31"/>
      <c r="D46" s="31"/>
      <c r="E46" s="31"/>
      <c r="F46" s="31"/>
      <c r="G46" s="31"/>
      <c r="H46" s="32"/>
      <c r="I46" s="31"/>
      <c r="J46" s="31"/>
      <c r="K46" s="36"/>
      <c r="L46" s="34"/>
    </row>
    <row r="47" spans="2:12" x14ac:dyDescent="0.25">
      <c r="B47" s="30"/>
      <c r="C47" s="31"/>
      <c r="D47" s="31"/>
      <c r="E47" s="31"/>
      <c r="F47" s="31"/>
      <c r="G47" s="31"/>
      <c r="H47" s="32"/>
      <c r="I47" s="31"/>
      <c r="J47" s="31"/>
      <c r="K47" s="36"/>
      <c r="L47" s="34"/>
    </row>
    <row r="48" spans="2:12" x14ac:dyDescent="0.25">
      <c r="B48" s="30"/>
      <c r="C48" s="31"/>
      <c r="D48" s="31"/>
      <c r="E48" s="31"/>
      <c r="F48" s="37"/>
      <c r="G48" s="31"/>
      <c r="H48" s="32"/>
      <c r="I48" s="31"/>
      <c r="J48" s="31"/>
      <c r="K48" s="33"/>
      <c r="L48" s="34"/>
    </row>
    <row r="49" spans="2:12" x14ac:dyDescent="0.25">
      <c r="B49" s="30"/>
      <c r="C49" s="31"/>
      <c r="D49" s="31"/>
      <c r="E49" s="31"/>
      <c r="F49" s="31"/>
      <c r="G49" s="31"/>
      <c r="H49" s="32"/>
      <c r="I49" s="31"/>
      <c r="J49" s="31"/>
      <c r="K49" s="36"/>
      <c r="L49" s="34"/>
    </row>
    <row r="50" spans="2:12" x14ac:dyDescent="0.25">
      <c r="B50" s="30"/>
      <c r="C50" s="31"/>
      <c r="D50" s="31"/>
      <c r="E50" s="31"/>
      <c r="F50" s="31"/>
      <c r="G50" s="31"/>
      <c r="H50" s="32"/>
      <c r="I50" s="31"/>
      <c r="J50" s="31"/>
      <c r="K50" s="36"/>
      <c r="L50" s="34"/>
    </row>
    <row r="51" spans="2:12" x14ac:dyDescent="0.25">
      <c r="B51" s="30"/>
      <c r="C51" s="31"/>
      <c r="D51" s="31"/>
      <c r="E51" s="31"/>
      <c r="F51" s="31"/>
      <c r="G51" s="31"/>
      <c r="H51" s="32"/>
      <c r="I51" s="31"/>
      <c r="J51" s="31"/>
      <c r="K51" s="36"/>
      <c r="L51" s="34"/>
    </row>
    <row r="52" spans="2:12" x14ac:dyDescent="0.25">
      <c r="B52" s="30"/>
      <c r="C52" s="31"/>
      <c r="D52" s="31"/>
      <c r="E52" s="31"/>
      <c r="F52" s="31"/>
      <c r="G52" s="31"/>
      <c r="H52" s="32"/>
      <c r="I52" s="31"/>
      <c r="J52" s="31"/>
      <c r="K52" s="36"/>
      <c r="L52" s="34"/>
    </row>
    <row r="53" spans="2:12" x14ac:dyDescent="0.25">
      <c r="B53" s="30"/>
      <c r="C53" s="31"/>
      <c r="D53" s="31"/>
      <c r="E53" s="31"/>
      <c r="F53" s="31"/>
      <c r="G53" s="31"/>
      <c r="H53" s="32"/>
      <c r="I53" s="31"/>
      <c r="J53" s="31"/>
      <c r="K53" s="36"/>
      <c r="L53" s="34"/>
    </row>
    <row r="54" spans="2:12" x14ac:dyDescent="0.25">
      <c r="B54" s="30"/>
      <c r="C54" s="31"/>
      <c r="D54" s="31"/>
      <c r="E54" s="31"/>
      <c r="F54" s="31"/>
      <c r="G54" s="31"/>
      <c r="H54" s="32"/>
      <c r="I54" s="31"/>
      <c r="J54" s="31"/>
      <c r="K54" s="36"/>
      <c r="L54" s="34"/>
    </row>
    <row r="55" spans="2:12" x14ac:dyDescent="0.25">
      <c r="B55" s="30"/>
      <c r="C55" s="31"/>
      <c r="D55" s="31"/>
      <c r="E55" s="31"/>
      <c r="F55" s="31"/>
      <c r="G55" s="31"/>
      <c r="H55" s="32"/>
      <c r="I55" s="31"/>
      <c r="J55" s="35"/>
      <c r="K55" s="36"/>
      <c r="L55" s="34"/>
    </row>
    <row r="56" spans="2:12" x14ac:dyDescent="0.25">
      <c r="B56" s="30"/>
      <c r="C56" s="31"/>
      <c r="D56" s="31"/>
      <c r="E56" s="31"/>
      <c r="F56" s="31"/>
      <c r="G56" s="31"/>
      <c r="H56" s="32"/>
      <c r="I56" s="31"/>
      <c r="J56" s="31"/>
      <c r="K56" s="33"/>
      <c r="L56" s="34"/>
    </row>
    <row r="57" spans="2:12" x14ac:dyDescent="0.25">
      <c r="B57" s="30"/>
      <c r="C57" s="31"/>
      <c r="D57" s="31"/>
      <c r="E57" s="31"/>
      <c r="F57" s="31"/>
      <c r="G57" s="31"/>
      <c r="H57" s="32"/>
      <c r="I57" s="31"/>
      <c r="J57" s="31"/>
      <c r="K57" s="36"/>
      <c r="L57" s="34"/>
    </row>
    <row r="58" spans="2:12" x14ac:dyDescent="0.25">
      <c r="B58" s="30"/>
      <c r="C58" s="31"/>
      <c r="D58" s="31"/>
      <c r="E58" s="31"/>
      <c r="F58" s="31"/>
      <c r="G58" s="31"/>
      <c r="H58" s="32"/>
      <c r="I58" s="31"/>
      <c r="J58" s="31"/>
      <c r="K58" s="36"/>
      <c r="L58" s="34"/>
    </row>
    <row r="59" spans="2:12" x14ac:dyDescent="0.25">
      <c r="B59" s="30"/>
      <c r="C59" s="31"/>
      <c r="D59" s="31"/>
      <c r="E59" s="31"/>
      <c r="F59" s="31"/>
      <c r="G59" s="31"/>
      <c r="H59" s="32"/>
      <c r="I59" s="31"/>
      <c r="J59" s="35"/>
      <c r="K59" s="36"/>
      <c r="L59" s="34"/>
    </row>
    <row r="60" spans="2:12" x14ac:dyDescent="0.25">
      <c r="B60" s="30"/>
      <c r="C60" s="38"/>
      <c r="D60" s="38"/>
      <c r="E60" s="38"/>
      <c r="F60" s="38"/>
      <c r="G60" s="38"/>
      <c r="H60" s="32"/>
      <c r="I60" s="31"/>
      <c r="J60" s="38"/>
      <c r="K60" s="36"/>
      <c r="L60" s="39"/>
    </row>
    <row r="61" spans="2:12" x14ac:dyDescent="0.25">
      <c r="B61" s="30"/>
      <c r="C61" s="31"/>
      <c r="D61" s="31"/>
      <c r="E61" s="31"/>
      <c r="F61" s="31"/>
      <c r="G61" s="31"/>
      <c r="H61" s="32"/>
      <c r="I61" s="31"/>
      <c r="J61" s="31"/>
      <c r="K61" s="33"/>
      <c r="L61" s="34"/>
    </row>
    <row r="62" spans="2:12" x14ac:dyDescent="0.25">
      <c r="B62" s="30"/>
      <c r="C62" s="38"/>
      <c r="D62" s="38"/>
      <c r="E62" s="38"/>
      <c r="F62" s="38"/>
      <c r="G62" s="38"/>
      <c r="H62" s="32"/>
      <c r="I62" s="31"/>
      <c r="J62" s="40"/>
      <c r="K62" s="33"/>
      <c r="L62" s="39"/>
    </row>
    <row r="63" spans="2:12" x14ac:dyDescent="0.25">
      <c r="B63" s="30"/>
      <c r="C63" s="38"/>
      <c r="D63" s="38"/>
      <c r="E63" s="38"/>
      <c r="F63" s="38"/>
      <c r="G63" s="38"/>
      <c r="H63" s="32"/>
      <c r="I63" s="31"/>
      <c r="J63" s="38"/>
      <c r="K63" s="36"/>
      <c r="L63" s="39"/>
    </row>
    <row r="64" spans="2:12" x14ac:dyDescent="0.25">
      <c r="B64" s="30"/>
      <c r="C64" s="38"/>
      <c r="D64" s="38"/>
      <c r="E64" s="38"/>
      <c r="F64" s="38"/>
      <c r="G64" s="38"/>
      <c r="H64" s="32"/>
      <c r="I64" s="31"/>
      <c r="J64" s="38"/>
      <c r="K64" s="33"/>
      <c r="L64" s="39"/>
    </row>
    <row r="65" spans="2:12" x14ac:dyDescent="0.25">
      <c r="B65" s="30"/>
      <c r="C65" s="38"/>
      <c r="D65" s="38"/>
      <c r="E65" s="38"/>
      <c r="F65" s="38"/>
      <c r="G65" s="38"/>
      <c r="H65" s="32"/>
      <c r="I65" s="31"/>
      <c r="J65" s="38"/>
      <c r="K65" s="33"/>
      <c r="L65" s="39"/>
    </row>
    <row r="66" spans="2:12" x14ac:dyDescent="0.25">
      <c r="B66" s="30"/>
      <c r="C66" s="31"/>
      <c r="D66" s="31"/>
      <c r="E66" s="31"/>
      <c r="F66" s="31"/>
      <c r="G66" s="31"/>
      <c r="H66" s="32"/>
      <c r="I66" s="31"/>
      <c r="J66" s="31"/>
      <c r="K66" s="36"/>
      <c r="L66" s="34"/>
    </row>
    <row r="67" spans="2:12" x14ac:dyDescent="0.25">
      <c r="B67" s="30"/>
      <c r="C67" s="38"/>
      <c r="D67" s="38"/>
      <c r="E67" s="38"/>
      <c r="F67" s="38"/>
      <c r="G67" s="38"/>
      <c r="H67" s="32"/>
      <c r="I67" s="31"/>
      <c r="J67" s="38"/>
      <c r="K67" s="33"/>
      <c r="L67" s="39"/>
    </row>
    <row r="68" spans="2:12" x14ac:dyDescent="0.25">
      <c r="B68" s="30"/>
      <c r="C68" s="38"/>
      <c r="D68" s="38"/>
      <c r="E68" s="38"/>
      <c r="F68" s="38"/>
      <c r="G68" s="38"/>
      <c r="H68" s="32"/>
      <c r="I68" s="31"/>
      <c r="J68" s="38"/>
      <c r="K68" s="36"/>
      <c r="L68" s="39"/>
    </row>
    <row r="69" spans="2:12" x14ac:dyDescent="0.25">
      <c r="B69" s="30"/>
      <c r="C69" s="38"/>
      <c r="D69" s="38"/>
      <c r="E69" s="38"/>
      <c r="F69" s="38"/>
      <c r="G69" s="38"/>
      <c r="H69" s="32"/>
      <c r="I69" s="31"/>
      <c r="J69" s="38"/>
      <c r="K69" s="33"/>
      <c r="L69" s="39"/>
    </row>
    <row r="70" spans="2:12" x14ac:dyDescent="0.25">
      <c r="B70" s="30"/>
      <c r="C70" s="38"/>
      <c r="D70" s="38"/>
      <c r="E70" s="38"/>
      <c r="F70" s="38"/>
      <c r="G70" s="38"/>
      <c r="H70" s="32"/>
      <c r="I70" s="31"/>
      <c r="J70" s="38"/>
      <c r="K70" s="33"/>
      <c r="L70" s="39"/>
    </row>
    <row r="71" spans="2:12" x14ac:dyDescent="0.25">
      <c r="B71" s="30"/>
      <c r="C71" s="38"/>
      <c r="D71" s="38"/>
      <c r="E71" s="38"/>
      <c r="F71" s="38"/>
      <c r="G71" s="38"/>
      <c r="H71" s="32"/>
      <c r="I71" s="31"/>
      <c r="J71" s="38"/>
      <c r="K71" s="33"/>
      <c r="L71" s="39"/>
    </row>
    <row r="72" spans="2:12" x14ac:dyDescent="0.25">
      <c r="B72" s="30"/>
      <c r="C72" s="38"/>
      <c r="D72" s="38"/>
      <c r="E72" s="38"/>
      <c r="F72" s="38"/>
      <c r="G72" s="38"/>
      <c r="H72" s="32"/>
      <c r="I72" s="31"/>
      <c r="J72" s="40"/>
      <c r="K72" s="36"/>
      <c r="L72" s="39"/>
    </row>
    <row r="73" spans="2:12" x14ac:dyDescent="0.25">
      <c r="B73" s="30"/>
      <c r="C73" s="38"/>
      <c r="D73" s="38"/>
      <c r="E73" s="38"/>
      <c r="F73" s="38"/>
      <c r="G73" s="38"/>
      <c r="H73" s="32"/>
      <c r="I73" s="31"/>
      <c r="J73" s="38"/>
      <c r="K73" s="36"/>
      <c r="L73" s="39"/>
    </row>
    <row r="74" spans="2:12" x14ac:dyDescent="0.25">
      <c r="B74" s="30"/>
      <c r="C74" s="38"/>
      <c r="D74" s="38"/>
      <c r="E74" s="38"/>
      <c r="F74" s="38"/>
      <c r="G74" s="38"/>
      <c r="H74" s="32"/>
      <c r="I74" s="31"/>
      <c r="J74" s="38"/>
      <c r="K74" s="33"/>
      <c r="L74" s="39"/>
    </row>
    <row r="75" spans="2:12" x14ac:dyDescent="0.25">
      <c r="B75" s="30"/>
      <c r="C75" s="38"/>
      <c r="D75" s="38"/>
      <c r="E75" s="38"/>
      <c r="F75" s="38"/>
      <c r="G75" s="38"/>
      <c r="H75" s="32"/>
      <c r="I75" s="31"/>
      <c r="J75" s="38"/>
      <c r="K75" s="36"/>
      <c r="L75" s="39"/>
    </row>
    <row r="76" spans="2:12" x14ac:dyDescent="0.25">
      <c r="B76" s="30"/>
      <c r="C76" s="38"/>
      <c r="D76" s="38"/>
      <c r="E76" s="38"/>
      <c r="F76" s="38"/>
      <c r="G76" s="38"/>
      <c r="H76" s="32"/>
      <c r="I76" s="31"/>
      <c r="J76" s="38"/>
      <c r="K76" s="33"/>
      <c r="L76" s="39"/>
    </row>
    <row r="77" spans="2:12" x14ac:dyDescent="0.25">
      <c r="B77" s="30"/>
      <c r="C77" s="38"/>
      <c r="D77" s="38"/>
      <c r="E77" s="38"/>
      <c r="F77" s="38"/>
      <c r="G77" s="38"/>
      <c r="H77" s="32"/>
      <c r="I77" s="31"/>
      <c r="J77" s="38"/>
      <c r="K77" s="36"/>
      <c r="L77" s="39"/>
    </row>
    <row r="78" spans="2:12" x14ac:dyDescent="0.25">
      <c r="B78" s="30"/>
      <c r="C78" s="38"/>
      <c r="D78" s="38"/>
      <c r="E78" s="38"/>
      <c r="F78" s="38"/>
      <c r="G78" s="38"/>
      <c r="H78" s="32"/>
      <c r="I78" s="31"/>
      <c r="J78" s="38"/>
      <c r="K78" s="36"/>
      <c r="L78" s="39"/>
    </row>
    <row r="79" spans="2:12" x14ac:dyDescent="0.25">
      <c r="B79" s="30"/>
      <c r="C79" s="38"/>
      <c r="D79" s="38"/>
      <c r="E79" s="38"/>
      <c r="F79" s="38"/>
      <c r="G79" s="38"/>
      <c r="H79" s="32"/>
      <c r="I79" s="31"/>
      <c r="J79" s="38"/>
      <c r="K79" s="36"/>
      <c r="L79" s="39"/>
    </row>
    <row r="80" spans="2:12" x14ac:dyDescent="0.25">
      <c r="B80" s="30"/>
      <c r="C80" s="38"/>
      <c r="D80" s="38"/>
      <c r="E80" s="38"/>
      <c r="F80" s="38"/>
      <c r="G80" s="38"/>
      <c r="H80" s="32"/>
      <c r="I80" s="31"/>
      <c r="J80" s="40"/>
      <c r="K80" s="36"/>
      <c r="L80" s="39"/>
    </row>
    <row r="81" spans="2:12" x14ac:dyDescent="0.25">
      <c r="B81" s="30"/>
      <c r="C81" s="38"/>
      <c r="D81" s="38"/>
      <c r="E81" s="38"/>
      <c r="F81" s="38"/>
      <c r="G81" s="38"/>
      <c r="H81" s="32"/>
      <c r="I81" s="31"/>
      <c r="J81" s="38"/>
      <c r="K81" s="33"/>
      <c r="L81" s="39"/>
    </row>
    <row r="82" spans="2:12" x14ac:dyDescent="0.25">
      <c r="B82" s="30"/>
      <c r="C82" s="38"/>
      <c r="D82" s="38"/>
      <c r="E82" s="38"/>
      <c r="F82" s="38"/>
      <c r="G82" s="38"/>
      <c r="H82" s="32"/>
      <c r="I82" s="31"/>
      <c r="J82" s="40"/>
      <c r="K82" s="33"/>
      <c r="L82" s="39"/>
    </row>
    <row r="83" spans="2:12" x14ac:dyDescent="0.25">
      <c r="B83" s="30"/>
      <c r="C83" s="38"/>
      <c r="D83" s="38"/>
      <c r="E83" s="38"/>
      <c r="F83" s="38"/>
      <c r="G83" s="38"/>
      <c r="H83" s="32"/>
      <c r="I83" s="31"/>
      <c r="J83" s="38"/>
      <c r="K83" s="36"/>
      <c r="L83" s="39"/>
    </row>
    <row r="84" spans="2:12" x14ac:dyDescent="0.25">
      <c r="B84" s="30"/>
      <c r="C84" s="38"/>
      <c r="D84" s="38"/>
      <c r="E84" s="38"/>
      <c r="F84" s="38"/>
      <c r="G84" s="38"/>
      <c r="H84" s="32"/>
      <c r="I84" s="31"/>
      <c r="J84" s="38"/>
      <c r="K84" s="33"/>
      <c r="L84" s="39"/>
    </row>
    <row r="85" spans="2:12" x14ac:dyDescent="0.25">
      <c r="B85" s="30"/>
      <c r="C85" s="38"/>
      <c r="D85" s="38"/>
      <c r="E85" s="38"/>
      <c r="F85" s="38"/>
      <c r="G85" s="38"/>
      <c r="H85" s="32"/>
      <c r="I85" s="31"/>
      <c r="J85" s="38"/>
      <c r="K85" s="33"/>
      <c r="L85" s="39"/>
    </row>
    <row r="86" spans="2:12" x14ac:dyDescent="0.25">
      <c r="B86" s="30"/>
      <c r="C86" s="38"/>
      <c r="D86" s="38"/>
      <c r="E86" s="38"/>
      <c r="F86" s="38"/>
      <c r="G86" s="38"/>
      <c r="H86" s="32"/>
      <c r="I86" s="31"/>
      <c r="J86" s="38"/>
      <c r="K86" s="36"/>
      <c r="L86" s="39"/>
    </row>
    <row r="87" spans="2:12" x14ac:dyDescent="0.25">
      <c r="B87" s="30"/>
      <c r="C87" s="38"/>
      <c r="D87" s="38"/>
      <c r="E87" s="38"/>
      <c r="F87" s="38"/>
      <c r="G87" s="38"/>
      <c r="H87" s="32"/>
      <c r="I87" s="31"/>
      <c r="J87" s="38"/>
      <c r="K87" s="36"/>
      <c r="L87" s="39"/>
    </row>
    <row r="88" spans="2:12" x14ac:dyDescent="0.25">
      <c r="B88" s="30"/>
      <c r="C88" s="38"/>
      <c r="D88" s="38"/>
      <c r="E88" s="38"/>
      <c r="F88" s="38"/>
      <c r="G88" s="38"/>
      <c r="H88" s="32"/>
      <c r="I88" s="31"/>
      <c r="J88" s="38"/>
      <c r="K88" s="33"/>
      <c r="L88" s="39"/>
    </row>
    <row r="89" spans="2:12" x14ac:dyDescent="0.25">
      <c r="B89" s="30"/>
      <c r="C89" s="38"/>
      <c r="D89" s="38"/>
      <c r="E89" s="38"/>
      <c r="F89" s="38"/>
      <c r="G89" s="38"/>
      <c r="H89" s="32"/>
      <c r="I89" s="31"/>
      <c r="J89" s="38"/>
      <c r="K89" s="33"/>
      <c r="L89" s="39"/>
    </row>
    <row r="90" spans="2:12" x14ac:dyDescent="0.25">
      <c r="B90" s="30"/>
      <c r="C90" s="38"/>
      <c r="D90" s="38"/>
      <c r="E90" s="38"/>
      <c r="F90" s="38"/>
      <c r="G90" s="38"/>
      <c r="H90" s="32"/>
      <c r="I90" s="31"/>
      <c r="J90" s="40"/>
      <c r="K90" s="33"/>
      <c r="L90" s="39"/>
    </row>
    <row r="91" spans="2:12" x14ac:dyDescent="0.25">
      <c r="B91" s="30"/>
      <c r="C91" s="38"/>
      <c r="D91" s="38"/>
      <c r="E91" s="38"/>
      <c r="F91" s="38"/>
      <c r="G91" s="38"/>
      <c r="H91" s="32"/>
      <c r="I91" s="31"/>
      <c r="J91" s="38"/>
      <c r="K91" s="33"/>
      <c r="L91" s="39"/>
    </row>
    <row r="92" spans="2:12" x14ac:dyDescent="0.25">
      <c r="B92" s="30"/>
      <c r="C92" s="38"/>
      <c r="D92" s="38"/>
      <c r="E92" s="38"/>
      <c r="F92" s="38"/>
      <c r="G92" s="38"/>
      <c r="H92" s="32"/>
      <c r="I92" s="31"/>
      <c r="J92" s="38"/>
      <c r="K92" s="33"/>
      <c r="L92" s="39"/>
    </row>
    <row r="93" spans="2:12" x14ac:dyDescent="0.25">
      <c r="B93" s="30"/>
      <c r="C93" s="38"/>
      <c r="D93" s="38"/>
      <c r="E93" s="38"/>
      <c r="F93" s="38"/>
      <c r="G93" s="38"/>
      <c r="H93" s="32"/>
      <c r="I93" s="31"/>
      <c r="J93" s="38"/>
      <c r="K93" s="33"/>
      <c r="L93" s="39"/>
    </row>
    <row r="94" spans="2:12" x14ac:dyDescent="0.25">
      <c r="B94" s="30"/>
      <c r="C94" s="38"/>
      <c r="D94" s="38"/>
      <c r="E94" s="38"/>
      <c r="F94" s="38"/>
      <c r="G94" s="38"/>
      <c r="H94" s="32"/>
      <c r="I94" s="31"/>
      <c r="J94" s="38"/>
      <c r="K94" s="33"/>
      <c r="L94" s="39"/>
    </row>
    <row r="95" spans="2:12" x14ac:dyDescent="0.25">
      <c r="B95" s="30"/>
      <c r="C95" s="38"/>
      <c r="D95" s="38"/>
      <c r="E95" s="38"/>
      <c r="F95" s="38"/>
      <c r="G95" s="38"/>
      <c r="H95" s="32"/>
      <c r="I95" s="31"/>
      <c r="J95" s="38"/>
      <c r="K95" s="33"/>
      <c r="L95" s="39"/>
    </row>
    <row r="96" spans="2:12" x14ac:dyDescent="0.25">
      <c r="B96" s="30"/>
      <c r="C96" s="38"/>
      <c r="D96" s="38"/>
      <c r="E96" s="38"/>
      <c r="F96" s="38"/>
      <c r="G96" s="38"/>
      <c r="H96" s="32"/>
      <c r="I96" s="31"/>
      <c r="J96" s="38"/>
      <c r="K96" s="33"/>
      <c r="L96" s="39"/>
    </row>
    <row r="97" spans="2:12" x14ac:dyDescent="0.25">
      <c r="B97" s="30"/>
      <c r="C97" s="38"/>
      <c r="D97" s="38"/>
      <c r="E97" s="38"/>
      <c r="F97" s="38"/>
      <c r="G97" s="38"/>
      <c r="H97" s="32"/>
      <c r="I97" s="31"/>
      <c r="J97" s="38"/>
      <c r="K97" s="33"/>
      <c r="L97" s="39"/>
    </row>
    <row r="98" spans="2:12" x14ac:dyDescent="0.25">
      <c r="B98" s="30"/>
      <c r="C98" s="38"/>
      <c r="D98" s="38"/>
      <c r="E98" s="38"/>
      <c r="F98" s="38"/>
      <c r="G98" s="38"/>
      <c r="H98" s="32"/>
      <c r="I98" s="31"/>
      <c r="J98" s="38"/>
      <c r="K98" s="33"/>
      <c r="L98" s="39"/>
    </row>
    <row r="99" spans="2:12" x14ac:dyDescent="0.25">
      <c r="B99" s="30"/>
      <c r="C99" s="38"/>
      <c r="D99" s="38"/>
      <c r="E99" s="38"/>
      <c r="F99" s="38"/>
      <c r="G99" s="38"/>
      <c r="H99" s="32"/>
      <c r="I99" s="31"/>
      <c r="J99" s="40"/>
      <c r="K99" s="33"/>
      <c r="L99" s="39"/>
    </row>
    <row r="100" spans="2:12" x14ac:dyDescent="0.25">
      <c r="B100" s="30"/>
      <c r="C100" s="38"/>
      <c r="D100" s="38"/>
      <c r="E100" s="38"/>
      <c r="F100" s="38"/>
      <c r="G100" s="38"/>
      <c r="H100" s="32"/>
      <c r="I100" s="31"/>
      <c r="J100" s="38"/>
      <c r="K100" s="36"/>
      <c r="L100" s="39"/>
    </row>
    <row r="101" spans="2:12" x14ac:dyDescent="0.25">
      <c r="B101" s="30"/>
      <c r="C101" s="38"/>
      <c r="D101" s="38"/>
      <c r="E101" s="38"/>
      <c r="F101" s="38"/>
      <c r="G101" s="38"/>
      <c r="H101" s="32"/>
      <c r="I101" s="31"/>
      <c r="J101" s="38"/>
      <c r="K101" s="33"/>
      <c r="L101" s="39"/>
    </row>
    <row r="102" spans="2:12" x14ac:dyDescent="0.25">
      <c r="B102" s="30"/>
      <c r="C102" s="38"/>
      <c r="D102" s="38"/>
      <c r="E102" s="38"/>
      <c r="F102" s="38"/>
      <c r="G102" s="38"/>
      <c r="H102" s="32"/>
      <c r="I102" s="31"/>
      <c r="J102" s="38"/>
      <c r="K102" s="33"/>
      <c r="L102" s="39"/>
    </row>
    <row r="103" spans="2:12" x14ac:dyDescent="0.25">
      <c r="B103" s="30"/>
      <c r="C103" s="38"/>
      <c r="D103" s="38"/>
      <c r="E103" s="38"/>
      <c r="F103" s="38"/>
      <c r="G103" s="38"/>
      <c r="H103" s="32"/>
      <c r="I103" s="31"/>
      <c r="J103" s="38"/>
      <c r="K103" s="36"/>
      <c r="L103" s="39"/>
    </row>
    <row r="104" spans="2:12" x14ac:dyDescent="0.25">
      <c r="B104" s="30"/>
      <c r="C104" s="38"/>
      <c r="D104" s="38"/>
      <c r="E104" s="38"/>
      <c r="F104" s="38"/>
      <c r="G104" s="38"/>
      <c r="H104" s="32"/>
      <c r="I104" s="31"/>
      <c r="J104" s="38"/>
      <c r="K104" s="36"/>
      <c r="L104" s="39"/>
    </row>
    <row r="105" spans="2:12" x14ac:dyDescent="0.25">
      <c r="B105" s="30"/>
      <c r="C105" s="38"/>
      <c r="D105" s="38"/>
      <c r="E105" s="38"/>
      <c r="F105" s="38"/>
      <c r="G105" s="38"/>
      <c r="H105" s="32"/>
      <c r="I105" s="31"/>
      <c r="J105" s="40"/>
      <c r="K105" s="33"/>
      <c r="L105" s="39"/>
    </row>
    <row r="106" spans="2:12" x14ac:dyDescent="0.25">
      <c r="B106" s="30"/>
      <c r="C106" s="38"/>
      <c r="D106" s="38"/>
      <c r="E106" s="38"/>
      <c r="F106" s="38"/>
      <c r="G106" s="38"/>
      <c r="H106" s="32"/>
      <c r="I106" s="31"/>
      <c r="J106" s="40"/>
      <c r="K106" s="33"/>
      <c r="L106" s="39"/>
    </row>
    <row r="107" spans="2:12" x14ac:dyDescent="0.25">
      <c r="B107" s="30"/>
      <c r="C107" s="38"/>
      <c r="D107" s="38"/>
      <c r="E107" s="38"/>
      <c r="F107" s="38"/>
      <c r="G107" s="38"/>
      <c r="H107" s="32"/>
      <c r="I107" s="31"/>
      <c r="J107" s="38"/>
      <c r="K107" s="36"/>
      <c r="L107" s="39"/>
    </row>
    <row r="108" spans="2:12" x14ac:dyDescent="0.25">
      <c r="B108" s="30"/>
      <c r="C108" s="38"/>
      <c r="D108" s="38"/>
      <c r="E108" s="38"/>
      <c r="F108" s="38"/>
      <c r="G108" s="38"/>
      <c r="H108" s="32"/>
      <c r="I108" s="31"/>
      <c r="J108" s="38"/>
      <c r="K108" s="36"/>
      <c r="L108" s="39"/>
    </row>
    <row r="109" spans="2:12" x14ac:dyDescent="0.25">
      <c r="B109" s="30"/>
      <c r="C109" s="38"/>
      <c r="D109" s="38"/>
      <c r="E109" s="38"/>
      <c r="F109" s="38"/>
      <c r="G109" s="38"/>
      <c r="H109" s="32"/>
      <c r="I109" s="31"/>
      <c r="J109" s="38"/>
      <c r="K109" s="36"/>
      <c r="L109" s="39"/>
    </row>
    <row r="110" spans="2:12" x14ac:dyDescent="0.25">
      <c r="B110" s="30"/>
      <c r="C110" s="38"/>
      <c r="D110" s="38"/>
      <c r="E110" s="38"/>
      <c r="F110" s="38"/>
      <c r="G110" s="38"/>
      <c r="H110" s="32"/>
      <c r="I110" s="31"/>
      <c r="J110" s="38"/>
      <c r="K110" s="36"/>
      <c r="L110" s="39"/>
    </row>
    <row r="111" spans="2:12" x14ac:dyDescent="0.25">
      <c r="B111" s="30"/>
      <c r="C111" s="38"/>
      <c r="D111" s="38"/>
      <c r="E111" s="38"/>
      <c r="F111" s="38"/>
      <c r="G111" s="38"/>
      <c r="H111" s="32"/>
      <c r="I111" s="31"/>
      <c r="J111" s="40"/>
      <c r="K111" s="36"/>
      <c r="L111" s="39"/>
    </row>
    <row r="112" spans="2:12" x14ac:dyDescent="0.25">
      <c r="B112" s="30"/>
      <c r="C112" s="38"/>
      <c r="D112" s="38"/>
      <c r="E112" s="38"/>
      <c r="F112" s="38"/>
      <c r="G112" s="38"/>
      <c r="H112" s="32"/>
      <c r="I112" s="31"/>
      <c r="J112" s="38"/>
      <c r="K112" s="36"/>
      <c r="L112" s="39"/>
    </row>
    <row r="113" spans="2:12" x14ac:dyDescent="0.25">
      <c r="B113" s="30"/>
      <c r="C113" s="38"/>
      <c r="D113" s="38"/>
      <c r="E113" s="38"/>
      <c r="F113" s="38"/>
      <c r="G113" s="38"/>
      <c r="H113" s="32"/>
      <c r="I113" s="31"/>
      <c r="J113" s="38"/>
      <c r="K113" s="36"/>
      <c r="L113" s="39"/>
    </row>
    <row r="114" spans="2:12" x14ac:dyDescent="0.25">
      <c r="B114" s="30"/>
      <c r="C114" s="38"/>
      <c r="D114" s="38"/>
      <c r="E114" s="38"/>
      <c r="F114" s="38"/>
      <c r="G114" s="38"/>
      <c r="H114" s="32"/>
      <c r="I114" s="31"/>
      <c r="J114" s="38"/>
      <c r="K114" s="33"/>
      <c r="L114" s="39"/>
    </row>
    <row r="115" spans="2:12" x14ac:dyDescent="0.25">
      <c r="B115" s="30"/>
      <c r="C115" s="38"/>
      <c r="D115" s="38"/>
      <c r="E115" s="38"/>
      <c r="F115" s="38"/>
      <c r="G115" s="38"/>
      <c r="H115" s="32"/>
      <c r="I115" s="31"/>
      <c r="J115" s="38"/>
      <c r="K115" s="33"/>
      <c r="L115" s="39"/>
    </row>
    <row r="116" spans="2:12" x14ac:dyDescent="0.25">
      <c r="B116" s="30"/>
      <c r="C116" s="38"/>
      <c r="D116" s="38"/>
      <c r="E116" s="38"/>
      <c r="F116" s="38"/>
      <c r="G116" s="38"/>
      <c r="H116" s="32"/>
      <c r="I116" s="31"/>
      <c r="J116" s="40"/>
      <c r="K116" s="33"/>
      <c r="L116" s="39"/>
    </row>
    <row r="117" spans="2:12" x14ac:dyDescent="0.25">
      <c r="B117" s="30"/>
      <c r="C117" s="38"/>
      <c r="D117" s="38"/>
      <c r="E117" s="38"/>
      <c r="F117" s="38"/>
      <c r="G117" s="38"/>
      <c r="H117" s="32"/>
      <c r="I117" s="31"/>
      <c r="J117" s="38"/>
      <c r="K117" s="33"/>
      <c r="L117" s="39"/>
    </row>
    <row r="118" spans="2:12" x14ac:dyDescent="0.25">
      <c r="B118" s="30"/>
      <c r="C118" s="38"/>
      <c r="D118" s="38"/>
      <c r="E118" s="38"/>
      <c r="F118" s="38"/>
      <c r="G118" s="38"/>
      <c r="H118" s="32"/>
      <c r="I118" s="31"/>
      <c r="J118" s="38"/>
      <c r="K118" s="36"/>
      <c r="L118" s="39"/>
    </row>
    <row r="119" spans="2:12" x14ac:dyDescent="0.25">
      <c r="B119" s="30"/>
      <c r="C119" s="38"/>
      <c r="D119" s="38"/>
      <c r="E119" s="38"/>
      <c r="F119" s="38"/>
      <c r="G119" s="38"/>
      <c r="H119" s="32"/>
      <c r="I119" s="31"/>
      <c r="J119" s="38"/>
      <c r="K119" s="36"/>
      <c r="L119" s="39"/>
    </row>
    <row r="120" spans="2:12" x14ac:dyDescent="0.25">
      <c r="B120" s="30"/>
      <c r="C120" s="38"/>
      <c r="D120" s="38"/>
      <c r="E120" s="38"/>
      <c r="F120" s="38"/>
      <c r="G120" s="38"/>
      <c r="H120" s="32"/>
      <c r="I120" s="31"/>
      <c r="J120" s="38"/>
      <c r="K120" s="33"/>
      <c r="L120" s="39"/>
    </row>
    <row r="121" spans="2:12" x14ac:dyDescent="0.25">
      <c r="B121" s="30"/>
      <c r="C121" s="38"/>
      <c r="D121" s="38"/>
      <c r="E121" s="38"/>
      <c r="F121" s="38"/>
      <c r="G121" s="38"/>
      <c r="H121" s="32"/>
      <c r="I121" s="31"/>
      <c r="J121" s="38"/>
      <c r="K121" s="33"/>
      <c r="L121" s="39"/>
    </row>
    <row r="122" spans="2:12" x14ac:dyDescent="0.25">
      <c r="B122" s="30"/>
      <c r="C122" s="38"/>
      <c r="D122" s="38"/>
      <c r="E122" s="38"/>
      <c r="F122" s="38"/>
      <c r="G122" s="38"/>
      <c r="H122" s="32"/>
      <c r="I122" s="31"/>
      <c r="J122" s="38"/>
      <c r="K122" s="36"/>
      <c r="L122" s="39"/>
    </row>
    <row r="123" spans="2:12" x14ac:dyDescent="0.25">
      <c r="B123" s="30"/>
      <c r="C123" s="38"/>
      <c r="D123" s="38"/>
      <c r="E123" s="38"/>
      <c r="F123" s="38"/>
      <c r="G123" s="38"/>
      <c r="H123" s="32"/>
      <c r="I123" s="31"/>
      <c r="J123" s="38"/>
      <c r="K123" s="33"/>
      <c r="L123" s="39"/>
    </row>
    <row r="124" spans="2:12" x14ac:dyDescent="0.25">
      <c r="B124" s="30"/>
      <c r="C124" s="38"/>
      <c r="D124" s="38"/>
      <c r="E124" s="38"/>
      <c r="F124" s="38"/>
      <c r="G124" s="38"/>
      <c r="H124" s="32"/>
      <c r="I124" s="31"/>
      <c r="J124" s="38"/>
      <c r="K124" s="33"/>
      <c r="L124" s="39"/>
    </row>
    <row r="125" spans="2:12" x14ac:dyDescent="0.25">
      <c r="B125" s="30"/>
      <c r="C125" s="38"/>
      <c r="D125" s="38"/>
      <c r="E125" s="38"/>
      <c r="F125" s="38"/>
      <c r="G125" s="38"/>
      <c r="H125" s="32"/>
      <c r="I125" s="31"/>
      <c r="J125" s="40"/>
      <c r="K125" s="33"/>
      <c r="L125" s="39"/>
    </row>
    <row r="126" spans="2:12" x14ac:dyDescent="0.25">
      <c r="B126" s="30"/>
      <c r="C126" s="38"/>
      <c r="D126" s="38"/>
      <c r="E126" s="38"/>
      <c r="F126" s="38"/>
      <c r="G126" s="38"/>
      <c r="H126" s="32"/>
      <c r="I126" s="31"/>
      <c r="J126" s="38"/>
      <c r="K126" s="33"/>
      <c r="L126" s="39"/>
    </row>
    <row r="127" spans="2:12" x14ac:dyDescent="0.25">
      <c r="B127" s="30"/>
      <c r="C127" s="38"/>
      <c r="D127" s="38"/>
      <c r="E127" s="38"/>
      <c r="F127" s="38"/>
      <c r="G127" s="38"/>
      <c r="H127" s="32"/>
      <c r="I127" s="31"/>
      <c r="J127" s="40"/>
      <c r="K127" s="33"/>
      <c r="L127" s="39"/>
    </row>
    <row r="128" spans="2:12" x14ac:dyDescent="0.25">
      <c r="B128" s="30"/>
      <c r="C128" s="38"/>
      <c r="D128" s="38"/>
      <c r="E128" s="38"/>
      <c r="F128" s="38"/>
      <c r="G128" s="38"/>
      <c r="H128" s="32"/>
      <c r="I128" s="31"/>
      <c r="J128" s="38"/>
      <c r="K128" s="33"/>
      <c r="L128" s="39"/>
    </row>
    <row r="129" spans="2:12" x14ac:dyDescent="0.25">
      <c r="B129" s="30"/>
      <c r="C129" s="38"/>
      <c r="D129" s="38"/>
      <c r="E129" s="38"/>
      <c r="F129" s="38"/>
      <c r="G129" s="38"/>
      <c r="H129" s="32"/>
      <c r="I129" s="31"/>
      <c r="J129" s="40"/>
      <c r="K129" s="36"/>
      <c r="L129" s="39"/>
    </row>
    <row r="130" spans="2:12" x14ac:dyDescent="0.25">
      <c r="B130" s="30"/>
      <c r="C130" s="38"/>
      <c r="D130" s="38"/>
      <c r="E130" s="38"/>
      <c r="F130" s="38"/>
      <c r="G130" s="38"/>
      <c r="H130" s="32"/>
      <c r="I130" s="31"/>
      <c r="J130" s="38"/>
      <c r="K130" s="36"/>
      <c r="L130" s="39"/>
    </row>
    <row r="131" spans="2:12" x14ac:dyDescent="0.25">
      <c r="B131" s="30"/>
      <c r="C131" s="38"/>
      <c r="D131" s="38"/>
      <c r="E131" s="38"/>
      <c r="F131" s="38"/>
      <c r="G131" s="38"/>
      <c r="H131" s="32"/>
      <c r="I131" s="31"/>
      <c r="J131" s="38"/>
      <c r="K131" s="36"/>
      <c r="L131" s="39"/>
    </row>
    <row r="132" spans="2:12" x14ac:dyDescent="0.25">
      <c r="B132" s="30"/>
      <c r="C132" s="38"/>
      <c r="D132" s="38"/>
      <c r="E132" s="38"/>
      <c r="F132" s="38"/>
      <c r="G132" s="38"/>
      <c r="H132" s="32"/>
      <c r="I132" s="31"/>
      <c r="J132" s="38"/>
      <c r="K132" s="36"/>
      <c r="L132" s="39"/>
    </row>
    <row r="133" spans="2:12" x14ac:dyDescent="0.25">
      <c r="B133" s="30"/>
      <c r="C133" s="38"/>
      <c r="D133" s="38"/>
      <c r="E133" s="38"/>
      <c r="F133" s="38"/>
      <c r="G133" s="38"/>
      <c r="H133" s="32"/>
      <c r="I133" s="31"/>
      <c r="J133" s="40"/>
      <c r="K133" s="33"/>
      <c r="L133" s="39"/>
    </row>
    <row r="134" spans="2:12" x14ac:dyDescent="0.25">
      <c r="B134" s="30"/>
      <c r="C134" s="38"/>
      <c r="D134" s="38"/>
      <c r="E134" s="38"/>
      <c r="F134" s="38"/>
      <c r="G134" s="38"/>
      <c r="H134" s="32"/>
      <c r="I134" s="31"/>
      <c r="J134" s="40"/>
      <c r="K134" s="33"/>
      <c r="L134" s="39"/>
    </row>
    <row r="135" spans="2:12" x14ac:dyDescent="0.25">
      <c r="B135" s="30"/>
      <c r="C135" s="38"/>
      <c r="D135" s="38"/>
      <c r="E135" s="38"/>
      <c r="F135" s="38"/>
      <c r="G135" s="38"/>
      <c r="H135" s="32"/>
      <c r="I135" s="31"/>
      <c r="J135" s="40"/>
      <c r="K135" s="33"/>
      <c r="L135" s="39"/>
    </row>
    <row r="136" spans="2:12" x14ac:dyDescent="0.25">
      <c r="B136" s="30"/>
      <c r="C136" s="38"/>
      <c r="D136" s="38"/>
      <c r="E136" s="38"/>
      <c r="F136" s="38"/>
      <c r="G136" s="38"/>
      <c r="H136" s="32"/>
      <c r="I136" s="31"/>
      <c r="J136" s="38"/>
      <c r="K136" s="33"/>
      <c r="L136" s="39"/>
    </row>
    <row r="137" spans="2:12" x14ac:dyDescent="0.25">
      <c r="B137" s="30"/>
      <c r="C137" s="38"/>
      <c r="D137" s="38"/>
      <c r="E137" s="38"/>
      <c r="F137" s="38"/>
      <c r="G137" s="38"/>
      <c r="H137" s="32"/>
      <c r="I137" s="31"/>
      <c r="J137" s="40"/>
      <c r="K137" s="33"/>
      <c r="L137" s="39"/>
    </row>
    <row r="138" spans="2:12" x14ac:dyDescent="0.25">
      <c r="B138" s="30"/>
      <c r="C138" s="38"/>
      <c r="D138" s="38"/>
      <c r="E138" s="38"/>
      <c r="F138" s="38"/>
      <c r="G138" s="38"/>
      <c r="H138" s="32"/>
      <c r="I138" s="31"/>
      <c r="J138" s="38"/>
      <c r="K138" s="33"/>
      <c r="L138" s="39"/>
    </row>
    <row r="139" spans="2:12" x14ac:dyDescent="0.25">
      <c r="B139" s="30"/>
      <c r="C139" s="38"/>
      <c r="D139" s="38"/>
      <c r="E139" s="38"/>
      <c r="F139" s="38"/>
      <c r="G139" s="38"/>
      <c r="H139" s="32"/>
      <c r="I139" s="31"/>
      <c r="J139" s="38"/>
      <c r="K139" s="33"/>
      <c r="L139" s="39"/>
    </row>
    <row r="140" spans="2:12" x14ac:dyDescent="0.25">
      <c r="B140" s="30"/>
      <c r="C140" s="38"/>
      <c r="D140" s="38"/>
      <c r="E140" s="38"/>
      <c r="F140" s="38"/>
      <c r="G140" s="38"/>
      <c r="H140" s="32"/>
      <c r="I140" s="31"/>
      <c r="J140" s="38"/>
      <c r="K140" s="33"/>
      <c r="L140" s="39"/>
    </row>
    <row r="141" spans="2:12" x14ac:dyDescent="0.25">
      <c r="B141" s="30"/>
      <c r="C141" s="38"/>
      <c r="D141" s="38"/>
      <c r="E141" s="38"/>
      <c r="F141" s="38"/>
      <c r="G141" s="38"/>
      <c r="H141" s="32"/>
      <c r="I141" s="31"/>
      <c r="J141" s="38"/>
      <c r="K141" s="33"/>
      <c r="L141" s="39"/>
    </row>
    <row r="142" spans="2:12" x14ac:dyDescent="0.25">
      <c r="B142" s="30"/>
      <c r="C142" s="38"/>
      <c r="D142" s="38"/>
      <c r="E142" s="38"/>
      <c r="F142" s="38"/>
      <c r="G142" s="38"/>
      <c r="H142" s="32"/>
      <c r="I142" s="31"/>
      <c r="J142" s="38"/>
      <c r="K142" s="36"/>
      <c r="L142" s="39"/>
    </row>
    <row r="143" spans="2:12" x14ac:dyDescent="0.25">
      <c r="B143" s="30"/>
      <c r="C143" s="38"/>
      <c r="D143" s="38"/>
      <c r="E143" s="38"/>
      <c r="F143" s="38"/>
      <c r="G143" s="38"/>
      <c r="H143" s="32"/>
      <c r="I143" s="31"/>
      <c r="J143" s="38"/>
      <c r="K143" s="36"/>
      <c r="L143" s="39"/>
    </row>
    <row r="144" spans="2:12" x14ac:dyDescent="0.25">
      <c r="B144" s="30"/>
      <c r="C144" s="38"/>
      <c r="D144" s="38"/>
      <c r="E144" s="38"/>
      <c r="F144" s="38"/>
      <c r="G144" s="38"/>
      <c r="H144" s="32"/>
      <c r="I144" s="31"/>
      <c r="J144" s="38"/>
      <c r="K144" s="36"/>
      <c r="L144" s="39"/>
    </row>
    <row r="145" spans="2:12" x14ac:dyDescent="0.25">
      <c r="B145" s="30"/>
      <c r="C145" s="38"/>
      <c r="D145" s="38"/>
      <c r="E145" s="38"/>
      <c r="F145" s="38"/>
      <c r="G145" s="38"/>
      <c r="H145" s="32"/>
      <c r="I145" s="31"/>
      <c r="J145" s="38"/>
      <c r="K145" s="36"/>
      <c r="L145" s="39"/>
    </row>
    <row r="146" spans="2:12" x14ac:dyDescent="0.25">
      <c r="B146" s="30"/>
      <c r="C146" s="38"/>
      <c r="D146" s="38"/>
      <c r="E146" s="38"/>
      <c r="F146" s="38"/>
      <c r="G146" s="38"/>
      <c r="H146" s="32"/>
      <c r="I146" s="31"/>
      <c r="J146" s="38"/>
      <c r="K146" s="33"/>
      <c r="L146" s="39"/>
    </row>
    <row r="147" spans="2:12" x14ac:dyDescent="0.25">
      <c r="B147" s="30"/>
      <c r="C147" s="38"/>
      <c r="D147" s="38"/>
      <c r="E147" s="38"/>
      <c r="F147" s="38"/>
      <c r="G147" s="38"/>
      <c r="H147" s="32"/>
      <c r="I147" s="31"/>
      <c r="J147" s="38"/>
      <c r="K147" s="33"/>
      <c r="L147" s="39"/>
    </row>
    <row r="148" spans="2:12" x14ac:dyDescent="0.25">
      <c r="B148" s="30"/>
      <c r="C148" s="38"/>
      <c r="D148" s="38"/>
      <c r="E148" s="38"/>
      <c r="F148" s="38"/>
      <c r="G148" s="38"/>
      <c r="H148" s="32"/>
      <c r="I148" s="31"/>
      <c r="J148" s="38"/>
      <c r="K148" s="33"/>
      <c r="L148" s="39"/>
    </row>
    <row r="149" spans="2:12" x14ac:dyDescent="0.25">
      <c r="B149" s="30"/>
      <c r="C149" s="38"/>
      <c r="D149" s="38"/>
      <c r="E149" s="38"/>
      <c r="F149" s="38"/>
      <c r="G149" s="38"/>
      <c r="H149" s="32"/>
      <c r="I149" s="31"/>
      <c r="J149" s="38"/>
      <c r="K149" s="33"/>
      <c r="L149" s="39"/>
    </row>
    <row r="150" spans="2:12" x14ac:dyDescent="0.25">
      <c r="B150" s="30"/>
      <c r="C150" s="38"/>
      <c r="D150" s="38"/>
      <c r="E150" s="38"/>
      <c r="F150" s="38"/>
      <c r="G150" s="38"/>
      <c r="H150" s="32"/>
      <c r="I150" s="31"/>
      <c r="J150" s="38"/>
      <c r="K150" s="36"/>
      <c r="L150" s="39"/>
    </row>
    <row r="151" spans="2:12" x14ac:dyDescent="0.25">
      <c r="B151" s="30"/>
      <c r="C151" s="38"/>
      <c r="D151" s="38"/>
      <c r="E151" s="38"/>
      <c r="F151" s="38"/>
      <c r="G151" s="38"/>
      <c r="H151" s="32"/>
      <c r="I151" s="31"/>
      <c r="J151" s="40"/>
      <c r="K151" s="33"/>
      <c r="L151" s="39"/>
    </row>
    <row r="152" spans="2:12" x14ac:dyDescent="0.25">
      <c r="B152" s="30"/>
      <c r="C152" s="38"/>
      <c r="D152" s="38"/>
      <c r="E152" s="38"/>
      <c r="F152" s="38"/>
      <c r="G152" s="38"/>
      <c r="H152" s="32"/>
      <c r="I152" s="31"/>
      <c r="J152" s="40"/>
      <c r="K152" s="33"/>
      <c r="L152" s="39"/>
    </row>
    <row r="153" spans="2:12" x14ac:dyDescent="0.25">
      <c r="B153" s="30"/>
      <c r="C153" s="38"/>
      <c r="D153" s="38"/>
      <c r="E153" s="38"/>
      <c r="F153" s="38"/>
      <c r="G153" s="38"/>
      <c r="H153" s="32"/>
      <c r="I153" s="31"/>
      <c r="J153" s="40"/>
      <c r="K153" s="33"/>
      <c r="L153" s="39"/>
    </row>
    <row r="154" spans="2:12" x14ac:dyDescent="0.25">
      <c r="B154" s="30"/>
      <c r="C154" s="38"/>
      <c r="D154" s="38"/>
      <c r="E154" s="38"/>
      <c r="F154" s="38"/>
      <c r="G154" s="38"/>
      <c r="H154" s="32"/>
      <c r="I154" s="31"/>
      <c r="J154" s="38"/>
      <c r="K154" s="33"/>
      <c r="L154" s="39"/>
    </row>
    <row r="155" spans="2:12" x14ac:dyDescent="0.25">
      <c r="B155" s="30"/>
      <c r="C155" s="38"/>
      <c r="D155" s="38"/>
      <c r="E155" s="38"/>
      <c r="F155" s="38"/>
      <c r="G155" s="38"/>
      <c r="H155" s="32"/>
      <c r="I155" s="31"/>
      <c r="J155" s="38"/>
      <c r="K155" s="33"/>
      <c r="L155" s="39"/>
    </row>
    <row r="156" spans="2:12" x14ac:dyDescent="0.25">
      <c r="B156" s="30"/>
      <c r="C156" s="38"/>
      <c r="D156" s="38"/>
      <c r="E156" s="38"/>
      <c r="F156" s="38"/>
      <c r="G156" s="38"/>
      <c r="H156" s="32"/>
      <c r="I156" s="31"/>
      <c r="J156" s="40"/>
      <c r="K156" s="33"/>
      <c r="L156" s="39"/>
    </row>
    <row r="157" spans="2:12" x14ac:dyDescent="0.25">
      <c r="B157" s="30"/>
      <c r="C157" s="38"/>
      <c r="D157" s="38"/>
      <c r="E157" s="38"/>
      <c r="F157" s="38"/>
      <c r="G157" s="38"/>
      <c r="H157" s="32"/>
      <c r="I157" s="31"/>
      <c r="J157" s="38"/>
      <c r="K157" s="33"/>
      <c r="L157" s="39"/>
    </row>
    <row r="158" spans="2:12" x14ac:dyDescent="0.25">
      <c r="B158" s="30"/>
      <c r="C158" s="38"/>
      <c r="D158" s="38"/>
      <c r="E158" s="38"/>
      <c r="F158" s="38"/>
      <c r="G158" s="38"/>
      <c r="H158" s="32"/>
      <c r="I158" s="31"/>
      <c r="J158" s="38"/>
      <c r="K158" s="33"/>
      <c r="L158" s="39"/>
    </row>
    <row r="159" spans="2:12" x14ac:dyDescent="0.25">
      <c r="B159" s="30"/>
      <c r="C159" s="38"/>
      <c r="D159" s="38"/>
      <c r="E159" s="38"/>
      <c r="F159" s="38"/>
      <c r="G159" s="38"/>
      <c r="H159" s="32"/>
      <c r="I159" s="31"/>
      <c r="J159" s="38"/>
      <c r="K159" s="33"/>
      <c r="L159" s="39"/>
    </row>
    <row r="160" spans="2:12" x14ac:dyDescent="0.25">
      <c r="B160" s="30"/>
      <c r="C160" s="38"/>
      <c r="D160" s="38"/>
      <c r="E160" s="38"/>
      <c r="F160" s="38"/>
      <c r="G160" s="38"/>
      <c r="H160" s="32"/>
      <c r="I160" s="31"/>
      <c r="J160" s="38"/>
      <c r="K160" s="33"/>
      <c r="L160" s="39"/>
    </row>
    <row r="161" spans="2:12" x14ac:dyDescent="0.25">
      <c r="B161" s="30"/>
      <c r="C161" s="38"/>
      <c r="D161" s="38"/>
      <c r="E161" s="38"/>
      <c r="F161" s="38"/>
      <c r="G161" s="38"/>
      <c r="H161" s="32"/>
      <c r="I161" s="31"/>
      <c r="J161" s="38"/>
      <c r="K161" s="33"/>
      <c r="L161" s="39"/>
    </row>
    <row r="162" spans="2:12" x14ac:dyDescent="0.25">
      <c r="B162" s="30"/>
      <c r="C162" s="38"/>
      <c r="D162" s="38"/>
      <c r="E162" s="38"/>
      <c r="F162" s="38"/>
      <c r="G162" s="38"/>
      <c r="H162" s="32"/>
      <c r="I162" s="31"/>
      <c r="J162" s="38"/>
      <c r="K162" s="33"/>
      <c r="L162" s="39"/>
    </row>
    <row r="163" spans="2:12" x14ac:dyDescent="0.25">
      <c r="B163" s="30"/>
      <c r="C163" s="38"/>
      <c r="D163" s="38"/>
      <c r="E163" s="38"/>
      <c r="F163" s="38"/>
      <c r="G163" s="38"/>
      <c r="H163" s="32"/>
      <c r="I163" s="31"/>
      <c r="J163" s="38"/>
      <c r="K163" s="33"/>
      <c r="L163" s="39"/>
    </row>
    <row r="164" spans="2:12" x14ac:dyDescent="0.25">
      <c r="B164" s="30"/>
      <c r="C164" s="38"/>
      <c r="D164" s="38"/>
      <c r="E164" s="38"/>
      <c r="F164" s="38"/>
      <c r="G164" s="38"/>
      <c r="H164" s="32"/>
      <c r="I164" s="31"/>
      <c r="J164" s="40"/>
      <c r="K164" s="33"/>
      <c r="L164" s="39"/>
    </row>
    <row r="165" spans="2:12" x14ac:dyDescent="0.25">
      <c r="B165" s="30"/>
      <c r="C165" s="38"/>
      <c r="D165" s="38"/>
      <c r="E165" s="38"/>
      <c r="F165" s="38"/>
      <c r="G165" s="38"/>
      <c r="H165" s="32"/>
      <c r="I165" s="31"/>
      <c r="J165" s="38"/>
      <c r="K165" s="33"/>
      <c r="L165" s="39"/>
    </row>
    <row r="166" spans="2:12" x14ac:dyDescent="0.25">
      <c r="B166" s="30"/>
      <c r="C166" s="38"/>
      <c r="D166" s="38"/>
      <c r="E166" s="38"/>
      <c r="F166" s="38"/>
      <c r="G166" s="38"/>
      <c r="H166" s="32"/>
      <c r="I166" s="31"/>
      <c r="J166" s="38"/>
      <c r="K166" s="36"/>
      <c r="L166" s="39"/>
    </row>
    <row r="167" spans="2:12" x14ac:dyDescent="0.25">
      <c r="B167" s="30"/>
      <c r="C167" s="38"/>
      <c r="D167" s="38"/>
      <c r="E167" s="38"/>
      <c r="F167" s="38"/>
      <c r="G167" s="38"/>
      <c r="H167" s="32"/>
      <c r="I167" s="31"/>
      <c r="J167" s="38"/>
      <c r="K167" s="36"/>
      <c r="L167" s="39"/>
    </row>
    <row r="168" spans="2:12" x14ac:dyDescent="0.25">
      <c r="B168" s="30"/>
      <c r="C168" s="38"/>
      <c r="D168" s="38"/>
      <c r="E168" s="38"/>
      <c r="F168" s="38"/>
      <c r="G168" s="38"/>
      <c r="H168" s="32"/>
      <c r="I168" s="31"/>
      <c r="J168" s="38"/>
      <c r="K168" s="36"/>
      <c r="L168" s="39"/>
    </row>
    <row r="169" spans="2:12" x14ac:dyDescent="0.25">
      <c r="B169" s="30"/>
      <c r="C169" s="38"/>
      <c r="D169" s="38"/>
      <c r="E169" s="38"/>
      <c r="F169" s="38"/>
      <c r="G169" s="38"/>
      <c r="H169" s="32"/>
      <c r="I169" s="31"/>
      <c r="J169" s="38"/>
      <c r="K169" s="36"/>
      <c r="L169" s="39"/>
    </row>
    <row r="170" spans="2:12" x14ac:dyDescent="0.25">
      <c r="B170" s="30"/>
      <c r="C170" s="38"/>
      <c r="D170" s="38"/>
      <c r="E170" s="38"/>
      <c r="F170" s="38"/>
      <c r="G170" s="38"/>
      <c r="H170" s="32"/>
      <c r="I170" s="31"/>
      <c r="J170" s="38"/>
      <c r="K170" s="33"/>
      <c r="L170" s="39"/>
    </row>
    <row r="171" spans="2:12" x14ac:dyDescent="0.25">
      <c r="B171" s="30"/>
      <c r="C171" s="38"/>
      <c r="D171" s="38"/>
      <c r="E171" s="38"/>
      <c r="F171" s="38"/>
      <c r="G171" s="38"/>
      <c r="H171" s="32"/>
      <c r="I171" s="31"/>
      <c r="J171" s="40"/>
      <c r="K171" s="36"/>
      <c r="L171" s="39"/>
    </row>
    <row r="172" spans="2:12" x14ac:dyDescent="0.25">
      <c r="B172" s="30"/>
      <c r="C172" s="38"/>
      <c r="D172" s="38"/>
      <c r="E172" s="38"/>
      <c r="F172" s="38"/>
      <c r="G172" s="38"/>
      <c r="H172" s="32"/>
      <c r="I172" s="31"/>
      <c r="J172" s="38"/>
      <c r="K172" s="36"/>
      <c r="L172" s="39"/>
    </row>
    <row r="173" spans="2:12" x14ac:dyDescent="0.25">
      <c r="B173" s="30"/>
      <c r="C173" s="38"/>
      <c r="D173" s="38"/>
      <c r="E173" s="38"/>
      <c r="F173" s="38"/>
      <c r="G173" s="38"/>
      <c r="H173" s="32"/>
      <c r="I173" s="31"/>
      <c r="J173" s="38"/>
      <c r="K173" s="33"/>
      <c r="L173" s="39"/>
    </row>
    <row r="174" spans="2:12" x14ac:dyDescent="0.25">
      <c r="B174" s="30"/>
      <c r="C174" s="38"/>
      <c r="D174" s="38"/>
      <c r="E174" s="38"/>
      <c r="F174" s="38"/>
      <c r="G174" s="38"/>
      <c r="H174" s="32"/>
      <c r="I174" s="31"/>
      <c r="J174" s="40"/>
      <c r="K174" s="36"/>
      <c r="L174" s="39"/>
    </row>
    <row r="175" spans="2:12" x14ac:dyDescent="0.25">
      <c r="B175" s="30"/>
      <c r="C175" s="38"/>
      <c r="D175" s="38"/>
      <c r="E175" s="38"/>
      <c r="F175" s="38"/>
      <c r="G175" s="38"/>
      <c r="H175" s="32"/>
      <c r="I175" s="31"/>
      <c r="J175" s="38"/>
      <c r="K175" s="33"/>
      <c r="L175" s="39"/>
    </row>
    <row r="176" spans="2:12" x14ac:dyDescent="0.25">
      <c r="B176" s="30"/>
      <c r="C176" s="38"/>
      <c r="D176" s="38"/>
      <c r="E176" s="38"/>
      <c r="F176" s="38"/>
      <c r="G176" s="38"/>
      <c r="H176" s="32"/>
      <c r="I176" s="31"/>
      <c r="J176" s="38"/>
      <c r="K176" s="36"/>
      <c r="L176" s="39"/>
    </row>
    <row r="177" spans="2:12" x14ac:dyDescent="0.25">
      <c r="B177" s="30"/>
      <c r="C177" s="38"/>
      <c r="D177" s="38"/>
      <c r="E177" s="38"/>
      <c r="F177" s="38"/>
      <c r="G177" s="38"/>
      <c r="H177" s="32"/>
      <c r="I177" s="31"/>
      <c r="J177" s="38"/>
      <c r="K177" s="33"/>
      <c r="L177" s="39"/>
    </row>
    <row r="178" spans="2:12" x14ac:dyDescent="0.25">
      <c r="B178" s="30"/>
      <c r="C178" s="38"/>
      <c r="D178" s="38"/>
      <c r="E178" s="38"/>
      <c r="F178" s="38"/>
      <c r="G178" s="38"/>
      <c r="H178" s="32"/>
      <c r="I178" s="31"/>
      <c r="J178" s="38"/>
      <c r="K178" s="33"/>
      <c r="L178" s="39"/>
    </row>
    <row r="179" spans="2:12" x14ac:dyDescent="0.25">
      <c r="B179" s="30"/>
      <c r="C179" s="38"/>
      <c r="D179" s="38"/>
      <c r="E179" s="38"/>
      <c r="F179" s="38"/>
      <c r="G179" s="38"/>
      <c r="H179" s="32"/>
      <c r="I179" s="31"/>
      <c r="J179" s="38"/>
      <c r="K179" s="36"/>
      <c r="L179" s="39"/>
    </row>
    <row r="180" spans="2:12" x14ac:dyDescent="0.25">
      <c r="B180" s="30"/>
      <c r="C180" s="38"/>
      <c r="D180" s="38"/>
      <c r="E180" s="38"/>
      <c r="F180" s="38"/>
      <c r="G180" s="38"/>
      <c r="H180" s="32"/>
      <c r="I180" s="31"/>
      <c r="J180" s="38"/>
      <c r="K180" s="33"/>
      <c r="L180" s="39"/>
    </row>
    <row r="181" spans="2:12" x14ac:dyDescent="0.25">
      <c r="B181" s="30"/>
      <c r="C181" s="38"/>
      <c r="D181" s="38"/>
      <c r="E181" s="38"/>
      <c r="F181" s="38"/>
      <c r="G181" s="38"/>
      <c r="H181" s="32"/>
      <c r="I181" s="31"/>
      <c r="J181" s="38"/>
      <c r="K181" s="36"/>
      <c r="L181" s="39"/>
    </row>
    <row r="182" spans="2:12" x14ac:dyDescent="0.25">
      <c r="B182" s="30"/>
      <c r="C182" s="38"/>
      <c r="D182" s="38"/>
      <c r="E182" s="38"/>
      <c r="F182" s="38"/>
      <c r="G182" s="38"/>
      <c r="H182" s="32"/>
      <c r="I182" s="31"/>
      <c r="J182" s="38"/>
      <c r="K182" s="33"/>
      <c r="L182" s="39"/>
    </row>
    <row r="183" spans="2:12" x14ac:dyDescent="0.25">
      <c r="B183" s="30"/>
      <c r="C183" s="38"/>
      <c r="D183" s="38"/>
      <c r="E183" s="38"/>
      <c r="F183" s="38"/>
      <c r="G183" s="38"/>
      <c r="H183" s="32"/>
      <c r="I183" s="31"/>
      <c r="J183" s="38"/>
      <c r="K183" s="33"/>
      <c r="L183" s="39"/>
    </row>
    <row r="184" spans="2:12" x14ac:dyDescent="0.25">
      <c r="B184" s="30"/>
      <c r="C184" s="38"/>
      <c r="D184" s="38"/>
      <c r="E184" s="38"/>
      <c r="F184" s="38"/>
      <c r="G184" s="38"/>
      <c r="H184" s="32"/>
      <c r="I184" s="31"/>
      <c r="J184" s="38"/>
      <c r="K184" s="33"/>
      <c r="L184" s="39"/>
    </row>
    <row r="185" spans="2:12" x14ac:dyDescent="0.25">
      <c r="B185" s="30"/>
      <c r="C185" s="38"/>
      <c r="D185" s="38"/>
      <c r="E185" s="38"/>
      <c r="F185" s="38"/>
      <c r="G185" s="38"/>
      <c r="H185" s="32"/>
      <c r="I185" s="31"/>
      <c r="J185" s="38"/>
      <c r="K185" s="33"/>
      <c r="L185" s="39"/>
    </row>
    <row r="186" spans="2:12" x14ac:dyDescent="0.25">
      <c r="B186" s="30"/>
      <c r="C186" s="38"/>
      <c r="D186" s="38"/>
      <c r="E186" s="38"/>
      <c r="F186" s="38"/>
      <c r="G186" s="38"/>
      <c r="H186" s="32"/>
      <c r="I186" s="31"/>
      <c r="J186" s="38"/>
      <c r="K186" s="33"/>
      <c r="L186" s="39"/>
    </row>
    <row r="187" spans="2:12" x14ac:dyDescent="0.25">
      <c r="B187" s="30"/>
      <c r="C187" s="38"/>
      <c r="D187" s="38"/>
      <c r="E187" s="38"/>
      <c r="F187" s="38"/>
      <c r="G187" s="38"/>
      <c r="H187" s="32"/>
      <c r="I187" s="31"/>
      <c r="J187" s="40"/>
      <c r="K187" s="33"/>
      <c r="L187" s="39"/>
    </row>
    <row r="188" spans="2:12" x14ac:dyDescent="0.25">
      <c r="B188" s="30"/>
      <c r="C188" s="38"/>
      <c r="D188" s="38"/>
      <c r="E188" s="38"/>
      <c r="F188" s="38"/>
      <c r="G188" s="38"/>
      <c r="H188" s="32"/>
      <c r="I188" s="31"/>
      <c r="J188" s="38"/>
      <c r="K188" s="33"/>
      <c r="L188" s="39"/>
    </row>
    <row r="189" spans="2:12" x14ac:dyDescent="0.25">
      <c r="B189" s="30"/>
      <c r="C189" s="38"/>
      <c r="D189" s="38"/>
      <c r="E189" s="38"/>
      <c r="F189" s="38"/>
      <c r="G189" s="38"/>
      <c r="H189" s="32"/>
      <c r="I189" s="31"/>
      <c r="J189" s="38"/>
      <c r="K189" s="36"/>
      <c r="L189" s="39"/>
    </row>
    <row r="190" spans="2:12" x14ac:dyDescent="0.25">
      <c r="B190" s="30"/>
      <c r="C190" s="38"/>
      <c r="D190" s="38"/>
      <c r="E190" s="38"/>
      <c r="F190" s="38"/>
      <c r="G190" s="38"/>
      <c r="H190" s="32"/>
      <c r="I190" s="31"/>
      <c r="J190" s="38"/>
      <c r="K190" s="33"/>
      <c r="L190" s="39"/>
    </row>
    <row r="191" spans="2:12" x14ac:dyDescent="0.25">
      <c r="B191" s="30"/>
      <c r="C191" s="38"/>
      <c r="D191" s="38"/>
      <c r="E191" s="38"/>
      <c r="F191" s="38"/>
      <c r="G191" s="38"/>
      <c r="H191" s="32"/>
      <c r="I191" s="31"/>
      <c r="J191" s="38"/>
      <c r="K191" s="33"/>
      <c r="L191" s="39"/>
    </row>
    <row r="192" spans="2:12" x14ac:dyDescent="0.25">
      <c r="B192" s="30"/>
      <c r="C192" s="38"/>
      <c r="D192" s="38"/>
      <c r="E192" s="38"/>
      <c r="F192" s="38"/>
      <c r="G192" s="38"/>
      <c r="H192" s="32"/>
      <c r="I192" s="31"/>
      <c r="J192" s="38"/>
      <c r="K192" s="33"/>
      <c r="L192" s="39"/>
    </row>
    <row r="193" spans="2:12" x14ac:dyDescent="0.25">
      <c r="B193" s="30"/>
      <c r="C193" s="38"/>
      <c r="D193" s="38"/>
      <c r="E193" s="38"/>
      <c r="F193" s="38"/>
      <c r="G193" s="38"/>
      <c r="H193" s="32"/>
      <c r="I193" s="31"/>
      <c r="J193" s="40"/>
      <c r="K193" s="33"/>
      <c r="L193" s="39"/>
    </row>
    <row r="194" spans="2:12" x14ac:dyDescent="0.25">
      <c r="B194" s="30"/>
      <c r="C194" s="38"/>
      <c r="D194" s="38"/>
      <c r="E194" s="38"/>
      <c r="F194" s="38"/>
      <c r="G194" s="38"/>
      <c r="H194" s="32"/>
      <c r="I194" s="31"/>
      <c r="J194" s="38"/>
      <c r="K194" s="33"/>
      <c r="L194" s="39"/>
    </row>
    <row r="195" spans="2:12" x14ac:dyDescent="0.25">
      <c r="B195" s="30"/>
      <c r="C195" s="38"/>
      <c r="D195" s="38"/>
      <c r="E195" s="38"/>
      <c r="F195" s="38"/>
      <c r="G195" s="38"/>
      <c r="H195" s="32"/>
      <c r="I195" s="31"/>
      <c r="J195" s="40"/>
      <c r="K195" s="36"/>
      <c r="L195" s="39"/>
    </row>
    <row r="196" spans="2:12" x14ac:dyDescent="0.25">
      <c r="B196" s="30"/>
      <c r="C196" s="38"/>
      <c r="D196" s="38"/>
      <c r="E196" s="38"/>
      <c r="F196" s="38"/>
      <c r="G196" s="38"/>
      <c r="H196" s="32"/>
      <c r="I196" s="31"/>
      <c r="J196" s="38"/>
      <c r="K196" s="33"/>
      <c r="L196" s="39"/>
    </row>
    <row r="197" spans="2:12" x14ac:dyDescent="0.25">
      <c r="B197" s="30"/>
      <c r="C197" s="38"/>
      <c r="D197" s="38"/>
      <c r="E197" s="38"/>
      <c r="F197" s="38"/>
      <c r="G197" s="38"/>
      <c r="H197" s="32"/>
      <c r="I197" s="31"/>
      <c r="J197" s="38"/>
      <c r="K197" s="33"/>
      <c r="L197" s="39"/>
    </row>
    <row r="198" spans="2:12" x14ac:dyDescent="0.25">
      <c r="B198" s="30"/>
      <c r="C198" s="38"/>
      <c r="D198" s="38"/>
      <c r="E198" s="38"/>
      <c r="F198" s="38"/>
      <c r="G198" s="38"/>
      <c r="H198" s="32"/>
      <c r="I198" s="31"/>
      <c r="J198" s="38"/>
      <c r="K198" s="33"/>
      <c r="L198" s="39"/>
    </row>
    <row r="199" spans="2:12" x14ac:dyDescent="0.25">
      <c r="B199" s="30"/>
      <c r="C199" s="38"/>
      <c r="D199" s="38"/>
      <c r="E199" s="38"/>
      <c r="F199" s="38"/>
      <c r="G199" s="38"/>
      <c r="H199" s="32"/>
      <c r="I199" s="31"/>
      <c r="J199" s="38"/>
      <c r="K199" s="33"/>
      <c r="L199" s="39"/>
    </row>
    <row r="200" spans="2:12" x14ac:dyDescent="0.25">
      <c r="B200" s="30"/>
      <c r="C200" s="38"/>
      <c r="D200" s="38"/>
      <c r="E200" s="38"/>
      <c r="F200" s="38"/>
      <c r="G200" s="38"/>
      <c r="H200" s="32"/>
      <c r="I200" s="31"/>
      <c r="J200" s="38"/>
      <c r="K200" s="33"/>
      <c r="L200" s="39"/>
    </row>
    <row r="201" spans="2:12" x14ac:dyDescent="0.25">
      <c r="B201" s="30"/>
      <c r="C201" s="38"/>
      <c r="D201" s="38"/>
      <c r="E201" s="38"/>
      <c r="F201" s="38"/>
      <c r="G201" s="38"/>
      <c r="H201" s="32"/>
      <c r="I201" s="31"/>
      <c r="J201" s="40"/>
      <c r="K201" s="33"/>
      <c r="L201" s="39"/>
    </row>
    <row r="202" spans="2:12" x14ac:dyDescent="0.25">
      <c r="B202" s="30"/>
      <c r="C202" s="38"/>
      <c r="D202" s="38"/>
      <c r="E202" s="38"/>
      <c r="F202" s="38"/>
      <c r="G202" s="38"/>
      <c r="H202" s="32"/>
      <c r="I202" s="31"/>
      <c r="J202" s="38"/>
      <c r="K202" s="33"/>
      <c r="L202" s="39"/>
    </row>
    <row r="203" spans="2:12" x14ac:dyDescent="0.25">
      <c r="B203" s="30"/>
      <c r="C203" s="38"/>
      <c r="D203" s="38"/>
      <c r="E203" s="38"/>
      <c r="F203" s="38"/>
      <c r="G203" s="38"/>
      <c r="H203" s="32"/>
      <c r="I203" s="31"/>
      <c r="J203" s="38"/>
      <c r="K203" s="36"/>
      <c r="L203" s="39"/>
    </row>
    <row r="204" spans="2:12" x14ac:dyDescent="0.25">
      <c r="B204" s="30"/>
      <c r="C204" s="38"/>
      <c r="D204" s="38"/>
      <c r="E204" s="38"/>
      <c r="F204" s="38"/>
      <c r="G204" s="38"/>
      <c r="H204" s="32"/>
      <c r="I204" s="31"/>
      <c r="J204" s="38"/>
      <c r="K204" s="33"/>
      <c r="L204" s="39"/>
    </row>
    <row r="205" spans="2:12" x14ac:dyDescent="0.25">
      <c r="B205" s="30"/>
      <c r="C205" s="38"/>
      <c r="D205" s="38"/>
      <c r="E205" s="38"/>
      <c r="F205" s="38"/>
      <c r="G205" s="38"/>
      <c r="H205" s="32"/>
      <c r="I205" s="31"/>
      <c r="J205" s="38"/>
      <c r="K205" s="33"/>
      <c r="L205" s="39"/>
    </row>
    <row r="206" spans="2:12" x14ac:dyDescent="0.25">
      <c r="B206" s="30"/>
      <c r="C206" s="38"/>
      <c r="D206" s="38"/>
      <c r="E206" s="38"/>
      <c r="F206" s="38"/>
      <c r="G206" s="38"/>
      <c r="H206" s="32"/>
      <c r="I206" s="31"/>
      <c r="J206" s="38"/>
      <c r="K206" s="33"/>
      <c r="L206" s="39"/>
    </row>
    <row r="207" spans="2:12" x14ac:dyDescent="0.25">
      <c r="B207" s="30"/>
      <c r="C207" s="38"/>
      <c r="D207" s="38"/>
      <c r="E207" s="38"/>
      <c r="F207" s="38"/>
      <c r="G207" s="38"/>
      <c r="H207" s="32"/>
      <c r="I207" s="31"/>
      <c r="J207" s="38"/>
      <c r="K207" s="33"/>
      <c r="L207" s="39"/>
    </row>
    <row r="208" spans="2:12" x14ac:dyDescent="0.25">
      <c r="B208" s="30"/>
      <c r="C208" s="38"/>
      <c r="D208" s="38"/>
      <c r="E208" s="38"/>
      <c r="F208" s="38"/>
      <c r="G208" s="38"/>
      <c r="H208" s="32"/>
      <c r="I208" s="31"/>
      <c r="J208" s="38"/>
      <c r="K208" s="33"/>
      <c r="L208" s="39"/>
    </row>
    <row r="209" spans="2:12" x14ac:dyDescent="0.25">
      <c r="B209" s="30"/>
      <c r="C209" s="38"/>
      <c r="D209" s="38"/>
      <c r="E209" s="38"/>
      <c r="F209" s="38"/>
      <c r="G209" s="38"/>
      <c r="H209" s="32"/>
      <c r="I209" s="31"/>
      <c r="J209" s="38"/>
      <c r="K209" s="33"/>
      <c r="L209" s="39"/>
    </row>
    <row r="210" spans="2:12" x14ac:dyDescent="0.25">
      <c r="B210" s="30"/>
      <c r="C210" s="38"/>
      <c r="D210" s="38"/>
      <c r="E210" s="38"/>
      <c r="F210" s="38"/>
      <c r="G210" s="38"/>
      <c r="H210" s="32"/>
      <c r="I210" s="31"/>
      <c r="J210" s="40"/>
      <c r="K210" s="33"/>
      <c r="L210" s="39"/>
    </row>
    <row r="211" spans="2:12" x14ac:dyDescent="0.25">
      <c r="B211" s="30"/>
      <c r="C211" s="38"/>
      <c r="D211" s="38"/>
      <c r="E211" s="38"/>
      <c r="F211" s="38"/>
      <c r="G211" s="38"/>
      <c r="H211" s="32"/>
      <c r="I211" s="31"/>
      <c r="J211" s="38"/>
      <c r="K211" s="33"/>
      <c r="L211" s="39"/>
    </row>
    <row r="212" spans="2:12" x14ac:dyDescent="0.25">
      <c r="B212" s="30"/>
      <c r="C212" s="38"/>
      <c r="D212" s="38"/>
      <c r="E212" s="38"/>
      <c r="F212" s="38"/>
      <c r="G212" s="38"/>
      <c r="H212" s="32"/>
      <c r="I212" s="31"/>
      <c r="J212" s="38"/>
      <c r="K212" s="33"/>
      <c r="L212" s="39"/>
    </row>
    <row r="213" spans="2:12" x14ac:dyDescent="0.25">
      <c r="B213" s="30"/>
      <c r="C213" s="38"/>
      <c r="D213" s="38"/>
      <c r="E213" s="38"/>
      <c r="F213" s="38"/>
      <c r="G213" s="38"/>
      <c r="H213" s="32"/>
      <c r="I213" s="31"/>
      <c r="J213" s="38"/>
      <c r="K213" s="33"/>
      <c r="L213" s="39"/>
    </row>
    <row r="214" spans="2:12" x14ac:dyDescent="0.25">
      <c r="B214" s="30"/>
      <c r="C214" s="38"/>
      <c r="D214" s="38"/>
      <c r="E214" s="38"/>
      <c r="F214" s="38"/>
      <c r="G214" s="38"/>
      <c r="H214" s="32"/>
      <c r="I214" s="31"/>
      <c r="J214" s="38"/>
      <c r="K214" s="33"/>
      <c r="L214" s="39"/>
    </row>
    <row r="215" spans="2:12" x14ac:dyDescent="0.25">
      <c r="B215" s="30"/>
      <c r="C215" s="38"/>
      <c r="D215" s="38"/>
      <c r="E215" s="38"/>
      <c r="F215" s="38"/>
      <c r="G215" s="38"/>
      <c r="H215" s="32"/>
      <c r="I215" s="31"/>
      <c r="J215" s="38"/>
      <c r="K215" s="33"/>
      <c r="L215" s="39"/>
    </row>
    <row r="216" spans="2:12" x14ac:dyDescent="0.25">
      <c r="B216" s="30"/>
      <c r="C216" s="38"/>
      <c r="D216" s="38"/>
      <c r="E216" s="38"/>
      <c r="F216" s="38"/>
      <c r="G216" s="38"/>
      <c r="H216" s="32"/>
      <c r="I216" s="31"/>
      <c r="J216" s="38"/>
      <c r="K216" s="33"/>
      <c r="L216" s="39"/>
    </row>
    <row r="217" spans="2:12" x14ac:dyDescent="0.25">
      <c r="B217" s="30"/>
      <c r="C217" s="38"/>
      <c r="D217" s="38"/>
      <c r="E217" s="38"/>
      <c r="F217" s="38"/>
      <c r="G217" s="38"/>
      <c r="H217" s="32"/>
      <c r="I217" s="31"/>
      <c r="J217" s="40"/>
      <c r="K217" s="33"/>
      <c r="L217" s="39"/>
    </row>
    <row r="218" spans="2:12" x14ac:dyDescent="0.25">
      <c r="B218" s="30"/>
      <c r="C218" s="38"/>
      <c r="D218" s="38"/>
      <c r="E218" s="38"/>
      <c r="F218" s="38"/>
      <c r="G218" s="38"/>
      <c r="H218" s="32"/>
      <c r="I218" s="31"/>
      <c r="J218" s="38"/>
      <c r="K218" s="33"/>
      <c r="L218" s="39"/>
    </row>
    <row r="219" spans="2:12" x14ac:dyDescent="0.25">
      <c r="B219" s="30"/>
      <c r="C219" s="38"/>
      <c r="D219" s="38"/>
      <c r="E219" s="38"/>
      <c r="F219" s="38"/>
      <c r="G219" s="38"/>
      <c r="H219" s="32"/>
      <c r="I219" s="31"/>
      <c r="J219" s="38"/>
      <c r="K219" s="33"/>
      <c r="L219" s="39"/>
    </row>
    <row r="220" spans="2:12" x14ac:dyDescent="0.25">
      <c r="B220" s="30"/>
      <c r="C220" s="38"/>
      <c r="D220" s="38"/>
      <c r="E220" s="38"/>
      <c r="F220" s="38"/>
      <c r="G220" s="38"/>
      <c r="H220" s="32"/>
      <c r="I220" s="31"/>
      <c r="J220" s="40"/>
      <c r="K220" s="33"/>
      <c r="L220" s="39"/>
    </row>
    <row r="221" spans="2:12" x14ac:dyDescent="0.25">
      <c r="B221" s="30"/>
      <c r="C221" s="38"/>
      <c r="D221" s="38"/>
      <c r="E221" s="38"/>
      <c r="F221" s="38"/>
      <c r="G221" s="38"/>
      <c r="H221" s="32"/>
      <c r="I221" s="31"/>
      <c r="J221" s="38"/>
      <c r="K221" s="33"/>
      <c r="L221" s="39"/>
    </row>
    <row r="222" spans="2:12" x14ac:dyDescent="0.25">
      <c r="B222" s="30"/>
      <c r="C222" s="38"/>
      <c r="D222" s="38"/>
      <c r="E222" s="38"/>
      <c r="F222" s="38"/>
      <c r="G222" s="38"/>
      <c r="H222" s="32"/>
      <c r="I222" s="31"/>
      <c r="J222" s="40"/>
      <c r="K222" s="33"/>
      <c r="L222" s="39"/>
    </row>
    <row r="223" spans="2:12" x14ac:dyDescent="0.25">
      <c r="B223" s="30"/>
      <c r="C223" s="38"/>
      <c r="D223" s="38"/>
      <c r="E223" s="38"/>
      <c r="F223" s="38"/>
      <c r="G223" s="38"/>
      <c r="H223" s="32"/>
      <c r="I223" s="31"/>
      <c r="J223" s="38"/>
      <c r="K223" s="33"/>
      <c r="L223" s="39"/>
    </row>
    <row r="224" spans="2:12" x14ac:dyDescent="0.25">
      <c r="B224" s="30"/>
      <c r="C224" s="38"/>
      <c r="D224" s="38"/>
      <c r="E224" s="38"/>
      <c r="F224" s="38"/>
      <c r="G224" s="38"/>
      <c r="H224" s="32"/>
      <c r="I224" s="31"/>
      <c r="J224" s="38"/>
      <c r="K224" s="33"/>
      <c r="L224" s="39"/>
    </row>
    <row r="225" spans="2:12" x14ac:dyDescent="0.25">
      <c r="B225" s="30"/>
      <c r="C225" s="38"/>
      <c r="D225" s="38"/>
      <c r="E225" s="38"/>
      <c r="F225" s="38"/>
      <c r="G225" s="38"/>
      <c r="H225" s="32"/>
      <c r="I225" s="31"/>
      <c r="J225" s="38"/>
      <c r="K225" s="33"/>
      <c r="L225" s="39"/>
    </row>
    <row r="226" spans="2:12" x14ac:dyDescent="0.25">
      <c r="B226" s="30"/>
      <c r="C226" s="38"/>
      <c r="D226" s="38"/>
      <c r="E226" s="38"/>
      <c r="F226" s="38"/>
      <c r="G226" s="38"/>
      <c r="H226" s="32"/>
      <c r="I226" s="31"/>
      <c r="J226" s="38"/>
      <c r="K226" s="33"/>
      <c r="L226" s="39"/>
    </row>
    <row r="227" spans="2:12" x14ac:dyDescent="0.25">
      <c r="B227" s="30"/>
      <c r="C227" s="38"/>
      <c r="D227" s="38"/>
      <c r="E227" s="38"/>
      <c r="F227" s="38"/>
      <c r="G227" s="38"/>
      <c r="H227" s="32"/>
      <c r="I227" s="31"/>
      <c r="J227" s="38"/>
      <c r="K227" s="33"/>
      <c r="L227" s="39"/>
    </row>
    <row r="228" spans="2:12" x14ac:dyDescent="0.25">
      <c r="B228" s="30"/>
      <c r="C228" s="38"/>
      <c r="D228" s="38"/>
      <c r="E228" s="38"/>
      <c r="F228" s="38"/>
      <c r="G228" s="38"/>
      <c r="H228" s="32"/>
      <c r="I228" s="31"/>
      <c r="J228" s="38"/>
      <c r="K228" s="33"/>
      <c r="L228" s="39"/>
    </row>
    <row r="229" spans="2:12" x14ac:dyDescent="0.25">
      <c r="B229" s="30"/>
      <c r="C229" s="38"/>
      <c r="D229" s="38"/>
      <c r="E229" s="38"/>
      <c r="F229" s="38"/>
      <c r="G229" s="38"/>
      <c r="H229" s="32"/>
      <c r="I229" s="31"/>
      <c r="J229" s="38"/>
      <c r="K229" s="33"/>
      <c r="L229" s="39"/>
    </row>
    <row r="230" spans="2:12" x14ac:dyDescent="0.25">
      <c r="B230" s="30"/>
      <c r="C230" s="38"/>
      <c r="D230" s="38"/>
      <c r="E230" s="38"/>
      <c r="F230" s="38"/>
      <c r="G230" s="38"/>
      <c r="H230" s="32"/>
      <c r="I230" s="31"/>
      <c r="J230" s="38"/>
      <c r="K230" s="33"/>
      <c r="L230" s="39"/>
    </row>
    <row r="231" spans="2:12" x14ac:dyDescent="0.25">
      <c r="B231" s="30"/>
      <c r="C231" s="38"/>
      <c r="D231" s="38"/>
      <c r="E231" s="38"/>
      <c r="F231" s="38"/>
      <c r="G231" s="38"/>
      <c r="H231" s="32"/>
      <c r="I231" s="31"/>
      <c r="J231" s="40"/>
      <c r="K231" s="33"/>
      <c r="L231" s="39"/>
    </row>
    <row r="232" spans="2:12" x14ac:dyDescent="0.25">
      <c r="B232" s="30"/>
      <c r="C232" s="38"/>
      <c r="D232" s="38"/>
      <c r="E232" s="38"/>
      <c r="F232" s="38"/>
      <c r="G232" s="38"/>
      <c r="H232" s="32"/>
      <c r="I232" s="31"/>
      <c r="J232" s="38"/>
      <c r="K232" s="33"/>
      <c r="L232" s="39"/>
    </row>
    <row r="233" spans="2:12" x14ac:dyDescent="0.25">
      <c r="B233" s="30"/>
      <c r="C233" s="38"/>
      <c r="D233" s="38"/>
      <c r="E233" s="38"/>
      <c r="F233" s="38"/>
      <c r="G233" s="38"/>
      <c r="H233" s="32"/>
      <c r="I233" s="31"/>
      <c r="J233" s="38"/>
      <c r="K233" s="33"/>
      <c r="L233" s="39"/>
    </row>
    <row r="234" spans="2:12" x14ac:dyDescent="0.25">
      <c r="B234" s="30"/>
      <c r="C234" s="38"/>
      <c r="D234" s="38"/>
      <c r="E234" s="38"/>
      <c r="F234" s="38"/>
      <c r="G234" s="38"/>
      <c r="H234" s="32"/>
      <c r="I234" s="31"/>
      <c r="J234" s="38"/>
      <c r="K234" s="33"/>
      <c r="L234" s="39"/>
    </row>
    <row r="235" spans="2:12" x14ac:dyDescent="0.25">
      <c r="B235" s="30"/>
      <c r="C235" s="38"/>
      <c r="D235" s="38"/>
      <c r="E235" s="38"/>
      <c r="F235" s="38"/>
      <c r="G235" s="38"/>
      <c r="H235" s="32"/>
      <c r="I235" s="31"/>
      <c r="J235" s="38"/>
      <c r="K235" s="33"/>
      <c r="L235" s="39"/>
    </row>
    <row r="236" spans="2:12" x14ac:dyDescent="0.25">
      <c r="B236" s="30"/>
      <c r="C236" s="38"/>
      <c r="D236" s="38"/>
      <c r="E236" s="38"/>
      <c r="F236" s="38"/>
      <c r="G236" s="38"/>
      <c r="H236" s="32"/>
      <c r="I236" s="31"/>
      <c r="J236" s="38"/>
      <c r="K236" s="33"/>
      <c r="L236" s="39"/>
    </row>
    <row r="237" spans="2:12" x14ac:dyDescent="0.25">
      <c r="B237" s="30"/>
      <c r="C237" s="38"/>
      <c r="D237" s="38"/>
      <c r="E237" s="38"/>
      <c r="F237" s="38"/>
      <c r="G237" s="38"/>
      <c r="H237" s="32"/>
      <c r="I237" s="31"/>
      <c r="J237" s="38"/>
      <c r="K237" s="33"/>
      <c r="L237" s="39"/>
    </row>
    <row r="238" spans="2:12" x14ac:dyDescent="0.25">
      <c r="B238" s="30"/>
      <c r="C238" s="38"/>
      <c r="D238" s="38"/>
      <c r="E238" s="38"/>
      <c r="F238" s="38"/>
      <c r="G238" s="38"/>
      <c r="H238" s="32"/>
      <c r="I238" s="31"/>
      <c r="J238" s="38"/>
      <c r="K238" s="33"/>
      <c r="L238" s="39"/>
    </row>
    <row r="239" spans="2:12" x14ac:dyDescent="0.25">
      <c r="B239" s="30"/>
      <c r="C239" s="38"/>
      <c r="D239" s="38"/>
      <c r="E239" s="38"/>
      <c r="F239" s="38"/>
      <c r="G239" s="38"/>
      <c r="H239" s="32"/>
      <c r="I239" s="31"/>
      <c r="J239" s="38"/>
      <c r="K239" s="33"/>
      <c r="L239" s="39"/>
    </row>
    <row r="240" spans="2:12" x14ac:dyDescent="0.25">
      <c r="B240" s="30"/>
      <c r="C240" s="38"/>
      <c r="D240" s="38"/>
      <c r="E240" s="38"/>
      <c r="F240" s="38"/>
      <c r="G240" s="38"/>
      <c r="H240" s="32"/>
      <c r="I240" s="31"/>
      <c r="J240" s="38"/>
      <c r="K240" s="33"/>
      <c r="L240" s="39"/>
    </row>
    <row r="241" spans="2:12" x14ac:dyDescent="0.25">
      <c r="B241" s="30"/>
      <c r="C241" s="38"/>
      <c r="D241" s="38"/>
      <c r="E241" s="38"/>
      <c r="F241" s="38"/>
      <c r="G241" s="38"/>
      <c r="H241" s="32"/>
      <c r="I241" s="31"/>
      <c r="J241" s="38"/>
      <c r="K241" s="33"/>
      <c r="L241" s="39"/>
    </row>
    <row r="242" spans="2:12" x14ac:dyDescent="0.25">
      <c r="B242" s="30"/>
      <c r="C242" s="38"/>
      <c r="D242" s="38"/>
      <c r="E242" s="38"/>
      <c r="F242" s="38"/>
      <c r="G242" s="38"/>
      <c r="H242" s="32"/>
      <c r="I242" s="31"/>
      <c r="J242" s="38"/>
      <c r="K242" s="33"/>
      <c r="L242" s="39"/>
    </row>
    <row r="243" spans="2:12" x14ac:dyDescent="0.25">
      <c r="B243" s="30"/>
      <c r="C243" s="38"/>
      <c r="D243" s="38"/>
      <c r="E243" s="38"/>
      <c r="F243" s="38"/>
      <c r="G243" s="38"/>
      <c r="H243" s="32"/>
      <c r="I243" s="31"/>
      <c r="J243" s="38"/>
      <c r="K243" s="33"/>
      <c r="L243" s="39"/>
    </row>
    <row r="244" spans="2:12" x14ac:dyDescent="0.25">
      <c r="B244" s="30"/>
      <c r="C244" s="38"/>
      <c r="D244" s="38"/>
      <c r="E244" s="38"/>
      <c r="F244" s="38"/>
      <c r="G244" s="38"/>
      <c r="H244" s="32"/>
      <c r="I244" s="31"/>
      <c r="J244" s="40"/>
      <c r="K244" s="33"/>
      <c r="L244" s="39"/>
    </row>
    <row r="245" spans="2:12" x14ac:dyDescent="0.25">
      <c r="B245" s="30"/>
      <c r="C245" s="38"/>
      <c r="D245" s="38"/>
      <c r="E245" s="38"/>
      <c r="F245" s="38"/>
      <c r="G245" s="38"/>
      <c r="H245" s="32"/>
      <c r="I245" s="31"/>
      <c r="J245" s="38"/>
      <c r="K245" s="33"/>
      <c r="L245" s="39"/>
    </row>
    <row r="246" spans="2:12" x14ac:dyDescent="0.25">
      <c r="B246" s="30"/>
      <c r="C246" s="38"/>
      <c r="D246" s="38"/>
      <c r="E246" s="38"/>
      <c r="F246" s="38"/>
      <c r="G246" s="38"/>
      <c r="H246" s="32"/>
      <c r="I246" s="31"/>
      <c r="J246" s="38"/>
      <c r="K246" s="33"/>
      <c r="L246" s="39"/>
    </row>
    <row r="247" spans="2:12" x14ac:dyDescent="0.25">
      <c r="B247" s="30"/>
      <c r="C247" s="38"/>
      <c r="D247" s="38"/>
      <c r="E247" s="38"/>
      <c r="F247" s="38"/>
      <c r="G247" s="38"/>
      <c r="H247" s="32"/>
      <c r="I247" s="31"/>
      <c r="J247" s="40"/>
      <c r="K247" s="33"/>
      <c r="L247" s="39"/>
    </row>
    <row r="248" spans="2:12" x14ac:dyDescent="0.25">
      <c r="B248" s="30"/>
      <c r="C248" s="38"/>
      <c r="D248" s="38"/>
      <c r="E248" s="38"/>
      <c r="F248" s="38"/>
      <c r="G248" s="38"/>
      <c r="H248" s="32"/>
      <c r="I248" s="31"/>
      <c r="J248" s="38"/>
      <c r="K248" s="36"/>
      <c r="L248" s="39"/>
    </row>
    <row r="249" spans="2:12" x14ac:dyDescent="0.25">
      <c r="B249" s="30"/>
      <c r="C249" s="38"/>
      <c r="D249" s="38"/>
      <c r="E249" s="38"/>
      <c r="F249" s="38"/>
      <c r="G249" s="38"/>
      <c r="H249" s="32"/>
      <c r="I249" s="31"/>
      <c r="J249" s="38"/>
      <c r="K249" s="33"/>
      <c r="L249" s="39"/>
    </row>
    <row r="250" spans="2:12" x14ac:dyDescent="0.25">
      <c r="B250" s="30"/>
      <c r="C250" s="38"/>
      <c r="D250" s="38"/>
      <c r="E250" s="38"/>
      <c r="F250" s="38"/>
      <c r="G250" s="38"/>
      <c r="H250" s="32"/>
      <c r="I250" s="31"/>
      <c r="J250" s="38"/>
      <c r="K250" s="33"/>
      <c r="L250" s="39"/>
    </row>
    <row r="251" spans="2:12" x14ac:dyDescent="0.25">
      <c r="B251" s="30"/>
      <c r="C251" s="38"/>
      <c r="D251" s="38"/>
      <c r="E251" s="38"/>
      <c r="F251" s="38"/>
      <c r="G251" s="38"/>
      <c r="H251" s="32"/>
      <c r="I251" s="31"/>
      <c r="J251" s="40"/>
      <c r="K251" s="33"/>
      <c r="L251" s="39"/>
    </row>
    <row r="252" spans="2:12" x14ac:dyDescent="0.25">
      <c r="B252" s="30"/>
      <c r="C252" s="38"/>
      <c r="D252" s="38"/>
      <c r="E252" s="38"/>
      <c r="F252" s="38"/>
      <c r="G252" s="38"/>
      <c r="H252" s="32"/>
      <c r="I252" s="31"/>
      <c r="J252" s="40"/>
      <c r="K252" s="36"/>
      <c r="L252" s="39"/>
    </row>
    <row r="253" spans="2:12" x14ac:dyDescent="0.25">
      <c r="B253" s="30"/>
      <c r="C253" s="38"/>
      <c r="D253" s="38"/>
      <c r="E253" s="38"/>
      <c r="F253" s="38"/>
      <c r="G253" s="38"/>
      <c r="H253" s="32"/>
      <c r="I253" s="31"/>
      <c r="J253" s="38"/>
      <c r="K253" s="33"/>
      <c r="L253" s="39"/>
    </row>
    <row r="254" spans="2:12" x14ac:dyDescent="0.25">
      <c r="B254" s="30"/>
      <c r="C254" s="38"/>
      <c r="D254" s="38"/>
      <c r="E254" s="38"/>
      <c r="F254" s="38"/>
      <c r="G254" s="38"/>
      <c r="H254" s="32"/>
      <c r="I254" s="31"/>
      <c r="J254" s="38"/>
      <c r="K254" s="33"/>
      <c r="L254" s="39"/>
    </row>
    <row r="255" spans="2:12" x14ac:dyDescent="0.25">
      <c r="B255" s="30"/>
      <c r="C255" s="38"/>
      <c r="D255" s="38"/>
      <c r="E255" s="38"/>
      <c r="F255" s="38"/>
      <c r="G255" s="38"/>
      <c r="H255" s="32"/>
      <c r="I255" s="31"/>
      <c r="J255" s="40"/>
      <c r="K255" s="33"/>
      <c r="L255" s="39"/>
    </row>
    <row r="256" spans="2:12" x14ac:dyDescent="0.25">
      <c r="B256" s="30"/>
      <c r="C256" s="38"/>
      <c r="D256" s="38"/>
      <c r="E256" s="38"/>
      <c r="F256" s="38"/>
      <c r="G256" s="38"/>
      <c r="H256" s="32"/>
      <c r="I256" s="31"/>
      <c r="J256" s="40"/>
      <c r="K256" s="36"/>
      <c r="L256" s="39"/>
    </row>
    <row r="257" spans="2:12" x14ac:dyDescent="0.25">
      <c r="B257" s="30"/>
      <c r="C257" s="38"/>
      <c r="D257" s="38"/>
      <c r="E257" s="38"/>
      <c r="F257" s="38"/>
      <c r="G257" s="38"/>
      <c r="H257" s="32"/>
      <c r="I257" s="31"/>
      <c r="J257" s="38"/>
      <c r="K257" s="36"/>
      <c r="L257" s="39"/>
    </row>
    <row r="258" spans="2:12" x14ac:dyDescent="0.25">
      <c r="B258" s="30"/>
      <c r="C258" s="38"/>
      <c r="D258" s="38"/>
      <c r="E258" s="38"/>
      <c r="F258" s="38"/>
      <c r="G258" s="38"/>
      <c r="H258" s="32"/>
      <c r="I258" s="31"/>
      <c r="J258" s="38"/>
      <c r="K258" s="33"/>
      <c r="L258" s="39"/>
    </row>
    <row r="259" spans="2:12" x14ac:dyDescent="0.25">
      <c r="B259" s="30"/>
      <c r="C259" s="38"/>
      <c r="D259" s="38"/>
      <c r="E259" s="38"/>
      <c r="F259" s="38"/>
      <c r="G259" s="38"/>
      <c r="H259" s="32"/>
      <c r="I259" s="31"/>
      <c r="J259" s="38"/>
      <c r="K259" s="36"/>
      <c r="L259" s="39"/>
    </row>
    <row r="260" spans="2:12" x14ac:dyDescent="0.25">
      <c r="B260" s="30"/>
      <c r="C260" s="38"/>
      <c r="D260" s="38"/>
      <c r="E260" s="38"/>
      <c r="F260" s="38"/>
      <c r="G260" s="38"/>
      <c r="H260" s="32"/>
      <c r="I260" s="31"/>
      <c r="J260" s="38"/>
      <c r="K260" s="36"/>
      <c r="L260" s="39"/>
    </row>
    <row r="261" spans="2:12" x14ac:dyDescent="0.25">
      <c r="B261" s="30"/>
      <c r="C261" s="38"/>
      <c r="D261" s="38"/>
      <c r="E261" s="38"/>
      <c r="F261" s="38"/>
      <c r="G261" s="38"/>
      <c r="H261" s="32"/>
      <c r="I261" s="31"/>
      <c r="J261" s="38"/>
      <c r="K261" s="36"/>
      <c r="L261" s="39"/>
    </row>
    <row r="262" spans="2:12" x14ac:dyDescent="0.25">
      <c r="B262" s="30"/>
      <c r="C262" s="38"/>
      <c r="D262" s="38"/>
      <c r="E262" s="38"/>
      <c r="F262" s="38"/>
      <c r="G262" s="38"/>
      <c r="H262" s="32"/>
      <c r="I262" s="31"/>
      <c r="J262" s="38"/>
      <c r="K262" s="36"/>
      <c r="L262" s="39"/>
    </row>
    <row r="263" spans="2:12" x14ac:dyDescent="0.25">
      <c r="B263" s="30"/>
      <c r="C263" s="38"/>
      <c r="D263" s="38"/>
      <c r="E263" s="38"/>
      <c r="F263" s="38"/>
      <c r="G263" s="38"/>
      <c r="H263" s="32"/>
      <c r="I263" s="31"/>
      <c r="J263" s="38"/>
      <c r="K263" s="36"/>
      <c r="L263" s="39"/>
    </row>
    <row r="264" spans="2:12" x14ac:dyDescent="0.25">
      <c r="B264" s="30"/>
      <c r="C264" s="38"/>
      <c r="D264" s="38"/>
      <c r="E264" s="38"/>
      <c r="F264" s="38"/>
      <c r="G264" s="38"/>
      <c r="H264" s="32"/>
      <c r="I264" s="31"/>
      <c r="J264" s="40"/>
      <c r="K264" s="36"/>
      <c r="L264" s="39"/>
    </row>
    <row r="265" spans="2:12" x14ac:dyDescent="0.25">
      <c r="B265" s="30"/>
      <c r="C265" s="38"/>
      <c r="D265" s="38"/>
      <c r="E265" s="38"/>
      <c r="F265" s="38"/>
      <c r="G265" s="38"/>
      <c r="H265" s="32"/>
      <c r="I265" s="31"/>
      <c r="J265" s="38"/>
      <c r="K265" s="36"/>
      <c r="L265" s="39"/>
    </row>
    <row r="266" spans="2:12" x14ac:dyDescent="0.25">
      <c r="B266" s="30"/>
      <c r="C266" s="38"/>
      <c r="D266" s="38"/>
      <c r="E266" s="38"/>
      <c r="F266" s="38"/>
      <c r="G266" s="38"/>
      <c r="H266" s="32"/>
      <c r="I266" s="31"/>
      <c r="J266" s="38"/>
      <c r="K266" s="33"/>
      <c r="L266" s="39"/>
    </row>
    <row r="267" spans="2:12" x14ac:dyDescent="0.25">
      <c r="B267" s="30"/>
      <c r="C267" s="38"/>
      <c r="D267" s="38"/>
      <c r="E267" s="38"/>
      <c r="F267" s="38"/>
      <c r="G267" s="38"/>
      <c r="H267" s="32"/>
      <c r="I267" s="31"/>
      <c r="J267" s="38"/>
      <c r="K267" s="33"/>
      <c r="L267" s="39"/>
    </row>
    <row r="268" spans="2:12" x14ac:dyDescent="0.25">
      <c r="B268" s="30"/>
      <c r="C268" s="38"/>
      <c r="D268" s="38"/>
      <c r="E268" s="38"/>
      <c r="F268" s="38"/>
      <c r="G268" s="38"/>
      <c r="H268" s="32"/>
      <c r="I268" s="31"/>
      <c r="J268" s="38"/>
      <c r="K268" s="33"/>
      <c r="L268" s="39"/>
    </row>
    <row r="269" spans="2:12" x14ac:dyDescent="0.25">
      <c r="B269" s="30"/>
      <c r="C269" s="38"/>
      <c r="D269" s="38"/>
      <c r="E269" s="38"/>
      <c r="F269" s="38"/>
      <c r="G269" s="38"/>
      <c r="H269" s="32"/>
      <c r="I269" s="31"/>
      <c r="J269" s="38"/>
      <c r="K269" s="33"/>
      <c r="L269" s="39"/>
    </row>
    <row r="270" spans="2:12" x14ac:dyDescent="0.25">
      <c r="B270" s="30"/>
      <c r="C270" s="38"/>
      <c r="D270" s="38"/>
      <c r="E270" s="38"/>
      <c r="F270" s="38"/>
      <c r="G270" s="38"/>
      <c r="H270" s="32"/>
      <c r="I270" s="31"/>
      <c r="J270" s="40"/>
      <c r="K270" s="36"/>
      <c r="L270" s="39"/>
    </row>
    <row r="271" spans="2:12" x14ac:dyDescent="0.25">
      <c r="B271" s="30"/>
      <c r="C271" s="38"/>
      <c r="D271" s="38"/>
      <c r="E271" s="38"/>
      <c r="F271" s="38"/>
      <c r="G271" s="38"/>
      <c r="H271" s="32"/>
      <c r="I271" s="31"/>
      <c r="J271" s="40"/>
      <c r="K271" s="33"/>
      <c r="L271" s="39"/>
    </row>
    <row r="272" spans="2:12" x14ac:dyDescent="0.25">
      <c r="B272" s="30"/>
      <c r="C272" s="38"/>
      <c r="D272" s="38"/>
      <c r="E272" s="38"/>
      <c r="F272" s="38"/>
      <c r="G272" s="38"/>
      <c r="H272" s="32"/>
      <c r="I272" s="31"/>
      <c r="J272" s="38"/>
      <c r="K272" s="36"/>
      <c r="L272" s="39"/>
    </row>
    <row r="273" spans="2:12" x14ac:dyDescent="0.25">
      <c r="B273" s="30"/>
      <c r="C273" s="38"/>
      <c r="D273" s="38"/>
      <c r="E273" s="38"/>
      <c r="F273" s="38"/>
      <c r="G273" s="38"/>
      <c r="H273" s="32"/>
      <c r="I273" s="31"/>
      <c r="J273" s="38"/>
      <c r="K273" s="33"/>
      <c r="L273" s="39"/>
    </row>
    <row r="274" spans="2:12" x14ac:dyDescent="0.25">
      <c r="B274" s="30"/>
      <c r="C274" s="38"/>
      <c r="D274" s="38"/>
      <c r="E274" s="38"/>
      <c r="F274" s="38"/>
      <c r="G274" s="38"/>
      <c r="H274" s="32"/>
      <c r="I274" s="31"/>
      <c r="J274" s="38"/>
      <c r="K274" s="36"/>
      <c r="L274" s="39"/>
    </row>
    <row r="275" spans="2:12" x14ac:dyDescent="0.25">
      <c r="B275" s="30"/>
      <c r="C275" s="38"/>
      <c r="D275" s="38"/>
      <c r="E275" s="38"/>
      <c r="F275" s="38"/>
      <c r="G275" s="38"/>
      <c r="H275" s="32"/>
      <c r="I275" s="31"/>
      <c r="J275" s="38"/>
      <c r="K275" s="36"/>
      <c r="L275" s="39"/>
    </row>
    <row r="276" spans="2:12" x14ac:dyDescent="0.25">
      <c r="B276" s="30"/>
      <c r="C276" s="38"/>
      <c r="D276" s="38"/>
      <c r="E276" s="38"/>
      <c r="F276" s="38"/>
      <c r="G276" s="38"/>
      <c r="H276" s="32"/>
      <c r="I276" s="31"/>
      <c r="J276" s="38"/>
      <c r="K276" s="33"/>
      <c r="L276" s="39"/>
    </row>
    <row r="277" spans="2:12" x14ac:dyDescent="0.25">
      <c r="B277" s="30"/>
      <c r="C277" s="38"/>
      <c r="D277" s="38"/>
      <c r="E277" s="38"/>
      <c r="F277" s="38"/>
      <c r="G277" s="38"/>
      <c r="H277" s="32"/>
      <c r="I277" s="31"/>
      <c r="J277" s="40"/>
      <c r="K277" s="33"/>
      <c r="L277" s="39"/>
    </row>
    <row r="278" spans="2:12" x14ac:dyDescent="0.25">
      <c r="B278" s="30"/>
      <c r="C278" s="38"/>
      <c r="D278" s="38"/>
      <c r="E278" s="38"/>
      <c r="F278" s="38"/>
      <c r="G278" s="38"/>
      <c r="H278" s="32"/>
      <c r="I278" s="31"/>
      <c r="J278" s="38"/>
      <c r="K278" s="33"/>
      <c r="L278" s="39"/>
    </row>
    <row r="279" spans="2:12" x14ac:dyDescent="0.25">
      <c r="B279" s="30"/>
      <c r="C279" s="38"/>
      <c r="D279" s="38"/>
      <c r="E279" s="38"/>
      <c r="F279" s="38"/>
      <c r="G279" s="38"/>
      <c r="H279" s="32"/>
      <c r="I279" s="31"/>
      <c r="J279" s="38"/>
      <c r="K279" s="36"/>
      <c r="L279" s="39"/>
    </row>
    <row r="280" spans="2:12" x14ac:dyDescent="0.25">
      <c r="B280" s="30"/>
      <c r="C280" s="38"/>
      <c r="D280" s="38"/>
      <c r="E280" s="38"/>
      <c r="F280" s="38"/>
      <c r="G280" s="38"/>
      <c r="H280" s="32"/>
      <c r="I280" s="31"/>
      <c r="J280" s="40"/>
      <c r="K280" s="33"/>
      <c r="L280" s="39"/>
    </row>
    <row r="281" spans="2:12" x14ac:dyDescent="0.25">
      <c r="B281" s="30"/>
      <c r="C281" s="38"/>
      <c r="D281" s="38"/>
      <c r="E281" s="38"/>
      <c r="F281" s="38"/>
      <c r="G281" s="38"/>
      <c r="H281" s="32"/>
      <c r="I281" s="31"/>
      <c r="J281" s="38"/>
      <c r="K281" s="33"/>
      <c r="L281" s="39"/>
    </row>
    <row r="282" spans="2:12" x14ac:dyDescent="0.25">
      <c r="B282" s="30"/>
      <c r="C282" s="38"/>
      <c r="D282" s="38"/>
      <c r="E282" s="38"/>
      <c r="F282" s="38"/>
      <c r="G282" s="38"/>
      <c r="H282" s="32"/>
      <c r="I282" s="31"/>
      <c r="J282" s="38"/>
      <c r="K282" s="36"/>
      <c r="L282" s="39"/>
    </row>
    <row r="283" spans="2:12" x14ac:dyDescent="0.25">
      <c r="B283" s="30"/>
      <c r="C283" s="38"/>
      <c r="D283" s="38"/>
      <c r="E283" s="38"/>
      <c r="F283" s="38"/>
      <c r="G283" s="38"/>
      <c r="H283" s="32"/>
      <c r="I283" s="31"/>
      <c r="J283" s="40"/>
      <c r="K283" s="33"/>
      <c r="L283" s="39"/>
    </row>
    <row r="284" spans="2:12" x14ac:dyDescent="0.25">
      <c r="B284" s="30"/>
      <c r="C284" s="38"/>
      <c r="D284" s="38"/>
      <c r="E284" s="38"/>
      <c r="F284" s="38"/>
      <c r="G284" s="38"/>
      <c r="H284" s="32"/>
      <c r="I284" s="31"/>
      <c r="J284" s="38"/>
      <c r="K284" s="33"/>
      <c r="L284" s="39"/>
    </row>
    <row r="285" spans="2:12" x14ac:dyDescent="0.25">
      <c r="B285" s="30"/>
      <c r="C285" s="38"/>
      <c r="D285" s="38"/>
      <c r="E285" s="38"/>
      <c r="F285" s="38"/>
      <c r="G285" s="38"/>
      <c r="H285" s="32"/>
      <c r="I285" s="31"/>
      <c r="J285" s="38"/>
      <c r="K285" s="33"/>
      <c r="L285" s="39"/>
    </row>
    <row r="286" spans="2:12" x14ac:dyDescent="0.25">
      <c r="B286" s="30"/>
      <c r="C286" s="38"/>
      <c r="D286" s="38"/>
      <c r="E286" s="38"/>
      <c r="F286" s="38"/>
      <c r="G286" s="38"/>
      <c r="H286" s="32"/>
      <c r="I286" s="31"/>
      <c r="J286" s="38"/>
      <c r="K286" s="33"/>
      <c r="L286" s="39"/>
    </row>
    <row r="287" spans="2:12" x14ac:dyDescent="0.25">
      <c r="B287" s="30"/>
      <c r="C287" s="38"/>
      <c r="D287" s="38"/>
      <c r="E287" s="38"/>
      <c r="F287" s="38"/>
      <c r="G287" s="38"/>
      <c r="H287" s="32"/>
      <c r="I287" s="31"/>
      <c r="J287" s="38"/>
      <c r="K287" s="33"/>
      <c r="L287" s="39"/>
    </row>
    <row r="288" spans="2:12" x14ac:dyDescent="0.25">
      <c r="B288" s="30"/>
      <c r="C288" s="38"/>
      <c r="D288" s="38"/>
      <c r="E288" s="38"/>
      <c r="F288" s="38"/>
      <c r="G288" s="38"/>
      <c r="H288" s="32"/>
      <c r="I288" s="31"/>
      <c r="J288" s="38"/>
      <c r="K288" s="33"/>
      <c r="L288" s="39"/>
    </row>
    <row r="289" spans="2:12" x14ac:dyDescent="0.25">
      <c r="B289" s="30"/>
      <c r="C289" s="38"/>
      <c r="D289" s="38"/>
      <c r="E289" s="38"/>
      <c r="F289" s="38"/>
      <c r="G289" s="38"/>
      <c r="H289" s="32"/>
      <c r="I289" s="31"/>
      <c r="J289" s="38"/>
      <c r="K289" s="33"/>
      <c r="L289" s="39"/>
    </row>
    <row r="290" spans="2:12" x14ac:dyDescent="0.25">
      <c r="B290" s="30"/>
      <c r="C290" s="38"/>
      <c r="D290" s="38"/>
      <c r="E290" s="38"/>
      <c r="F290" s="38"/>
      <c r="G290" s="38"/>
      <c r="H290" s="32"/>
      <c r="I290" s="31"/>
      <c r="J290" s="40"/>
      <c r="K290" s="33"/>
      <c r="L290" s="39"/>
    </row>
    <row r="291" spans="2:12" x14ac:dyDescent="0.25">
      <c r="B291" s="30"/>
      <c r="C291" s="38"/>
      <c r="D291" s="38"/>
      <c r="E291" s="38"/>
      <c r="F291" s="38"/>
      <c r="G291" s="38"/>
      <c r="H291" s="32"/>
      <c r="I291" s="31"/>
      <c r="J291" s="38"/>
      <c r="K291" s="33"/>
      <c r="L291" s="39"/>
    </row>
    <row r="292" spans="2:12" x14ac:dyDescent="0.25">
      <c r="B292" s="30"/>
      <c r="C292" s="38"/>
      <c r="D292" s="38"/>
      <c r="E292" s="38"/>
      <c r="F292" s="38"/>
      <c r="G292" s="38"/>
      <c r="H292" s="32"/>
      <c r="I292" s="31"/>
      <c r="J292" s="38"/>
      <c r="K292" s="33"/>
      <c r="L292" s="39"/>
    </row>
    <row r="293" spans="2:12" x14ac:dyDescent="0.25">
      <c r="B293" s="30"/>
      <c r="C293" s="38"/>
      <c r="D293" s="38"/>
      <c r="E293" s="38"/>
      <c r="F293" s="38"/>
      <c r="G293" s="38"/>
      <c r="H293" s="32"/>
      <c r="I293" s="31"/>
      <c r="J293" s="38"/>
      <c r="K293" s="33"/>
      <c r="L293" s="39"/>
    </row>
    <row r="294" spans="2:12" x14ac:dyDescent="0.25">
      <c r="B294" s="30"/>
      <c r="C294" s="38"/>
      <c r="D294" s="38"/>
      <c r="E294" s="38"/>
      <c r="F294" s="38"/>
      <c r="G294" s="38"/>
      <c r="H294" s="32"/>
      <c r="I294" s="31"/>
      <c r="J294" s="38"/>
      <c r="K294" s="33"/>
      <c r="L294" s="39"/>
    </row>
    <row r="295" spans="2:12" x14ac:dyDescent="0.25">
      <c r="B295" s="30"/>
      <c r="C295" s="38"/>
      <c r="D295" s="38"/>
      <c r="E295" s="38"/>
      <c r="F295" s="38"/>
      <c r="G295" s="38"/>
      <c r="H295" s="32"/>
      <c r="I295" s="31"/>
      <c r="J295" s="40"/>
      <c r="K295" s="33"/>
      <c r="L295" s="39"/>
    </row>
    <row r="296" spans="2:12" x14ac:dyDescent="0.25">
      <c r="B296" s="30"/>
      <c r="C296" s="38"/>
      <c r="D296" s="38"/>
      <c r="E296" s="38"/>
      <c r="F296" s="38"/>
      <c r="G296" s="38"/>
      <c r="H296" s="32"/>
      <c r="I296" s="31"/>
      <c r="J296" s="40"/>
      <c r="K296" s="33"/>
      <c r="L296" s="39"/>
    </row>
    <row r="297" spans="2:12" x14ac:dyDescent="0.25">
      <c r="B297" s="30"/>
      <c r="C297" s="38"/>
      <c r="D297" s="38"/>
      <c r="E297" s="38"/>
      <c r="F297" s="38"/>
      <c r="G297" s="38"/>
      <c r="H297" s="32"/>
      <c r="I297" s="31"/>
      <c r="J297" s="40"/>
      <c r="K297" s="33"/>
      <c r="L297" s="39"/>
    </row>
    <row r="298" spans="2:12" x14ac:dyDescent="0.25">
      <c r="B298" s="30"/>
      <c r="C298" s="38"/>
      <c r="D298" s="38"/>
      <c r="E298" s="38"/>
      <c r="F298" s="38"/>
      <c r="G298" s="38"/>
      <c r="H298" s="32"/>
      <c r="I298" s="31"/>
      <c r="J298" s="40"/>
      <c r="K298" s="33"/>
      <c r="L298" s="39"/>
    </row>
    <row r="299" spans="2:12" x14ac:dyDescent="0.25">
      <c r="B299" s="30"/>
      <c r="C299" s="38"/>
      <c r="D299" s="38"/>
      <c r="E299" s="38"/>
      <c r="F299" s="38"/>
      <c r="G299" s="38"/>
      <c r="H299" s="32"/>
      <c r="I299" s="31"/>
      <c r="J299" s="38"/>
      <c r="K299" s="33"/>
      <c r="L299" s="39"/>
    </row>
    <row r="300" spans="2:12" x14ac:dyDescent="0.25">
      <c r="B300" s="30"/>
      <c r="C300" s="38"/>
      <c r="D300" s="38"/>
      <c r="E300" s="38"/>
      <c r="F300" s="38"/>
      <c r="G300" s="38"/>
      <c r="H300" s="32"/>
      <c r="I300" s="31"/>
      <c r="J300" s="38"/>
      <c r="K300" s="33"/>
      <c r="L300" s="39"/>
    </row>
    <row r="301" spans="2:12" x14ac:dyDescent="0.25">
      <c r="B301" s="30"/>
      <c r="C301" s="38"/>
      <c r="D301" s="38"/>
      <c r="E301" s="38"/>
      <c r="F301" s="38"/>
      <c r="G301" s="38"/>
      <c r="H301" s="32"/>
      <c r="I301" s="31"/>
      <c r="J301" s="38"/>
      <c r="K301" s="33"/>
      <c r="L301" s="39"/>
    </row>
    <row r="302" spans="2:12" x14ac:dyDescent="0.25">
      <c r="B302" s="30"/>
      <c r="C302" s="38"/>
      <c r="D302" s="38"/>
      <c r="E302" s="38"/>
      <c r="F302" s="38"/>
      <c r="G302" s="38"/>
      <c r="H302" s="32"/>
      <c r="I302" s="31"/>
      <c r="J302" s="38"/>
      <c r="K302" s="33"/>
      <c r="L302" s="39"/>
    </row>
    <row r="303" spans="2:12" x14ac:dyDescent="0.25">
      <c r="B303" s="30"/>
      <c r="C303" s="38"/>
      <c r="D303" s="38"/>
      <c r="E303" s="38"/>
      <c r="F303" s="38"/>
      <c r="G303" s="38"/>
      <c r="H303" s="32"/>
      <c r="I303" s="31"/>
      <c r="J303" s="38"/>
      <c r="K303" s="33"/>
      <c r="L303" s="39"/>
    </row>
    <row r="304" spans="2:12" x14ac:dyDescent="0.25">
      <c r="B304" s="30"/>
      <c r="C304" s="38"/>
      <c r="D304" s="38"/>
      <c r="E304" s="38"/>
      <c r="F304" s="38"/>
      <c r="G304" s="38"/>
      <c r="H304" s="32"/>
      <c r="I304" s="31"/>
      <c r="J304" s="38"/>
      <c r="K304" s="33"/>
      <c r="L304" s="39"/>
    </row>
    <row r="305" spans="2:12" x14ac:dyDescent="0.25">
      <c r="B305" s="30"/>
      <c r="C305" s="38"/>
      <c r="D305" s="38"/>
      <c r="E305" s="38"/>
      <c r="F305" s="38"/>
      <c r="G305" s="38"/>
      <c r="H305" s="32"/>
      <c r="I305" s="31"/>
      <c r="J305" s="38"/>
      <c r="K305" s="33"/>
      <c r="L305" s="39"/>
    </row>
    <row r="306" spans="2:12" x14ac:dyDescent="0.25">
      <c r="B306" s="30"/>
      <c r="C306" s="38"/>
      <c r="D306" s="38"/>
      <c r="E306" s="38"/>
      <c r="F306" s="38"/>
      <c r="G306" s="38"/>
      <c r="H306" s="32"/>
      <c r="I306" s="31"/>
      <c r="J306" s="38"/>
      <c r="K306" s="33"/>
      <c r="L306" s="39"/>
    </row>
    <row r="307" spans="2:12" x14ac:dyDescent="0.25">
      <c r="B307" s="30"/>
      <c r="C307" s="38"/>
      <c r="D307" s="38"/>
      <c r="E307" s="38"/>
      <c r="F307" s="38"/>
      <c r="G307" s="38"/>
      <c r="H307" s="32"/>
      <c r="I307" s="31"/>
      <c r="J307" s="40"/>
      <c r="K307" s="33"/>
      <c r="L307" s="39"/>
    </row>
    <row r="308" spans="2:12" x14ac:dyDescent="0.25">
      <c r="B308" s="30"/>
      <c r="C308" s="38"/>
      <c r="D308" s="38"/>
      <c r="E308" s="38"/>
      <c r="F308" s="38"/>
      <c r="G308" s="38"/>
      <c r="H308" s="32"/>
      <c r="I308" s="31"/>
      <c r="J308" s="38"/>
      <c r="K308" s="33"/>
      <c r="L308" s="39"/>
    </row>
    <row r="309" spans="2:12" x14ac:dyDescent="0.25">
      <c r="B309" s="30"/>
      <c r="C309" s="38"/>
      <c r="D309" s="38"/>
      <c r="E309" s="38"/>
      <c r="F309" s="38"/>
      <c r="G309" s="38"/>
      <c r="H309" s="32"/>
      <c r="I309" s="31"/>
      <c r="J309" s="40"/>
      <c r="K309" s="33"/>
      <c r="L309" s="39"/>
    </row>
    <row r="310" spans="2:12" x14ac:dyDescent="0.25">
      <c r="B310" s="30"/>
      <c r="C310" s="38"/>
      <c r="D310" s="38"/>
      <c r="E310" s="38"/>
      <c r="F310" s="38"/>
      <c r="G310" s="38"/>
      <c r="H310" s="32"/>
      <c r="I310" s="31"/>
      <c r="J310" s="38"/>
      <c r="K310" s="33"/>
      <c r="L310" s="39"/>
    </row>
    <row r="311" spans="2:12" x14ac:dyDescent="0.25">
      <c r="B311" s="30"/>
      <c r="C311" s="38"/>
      <c r="D311" s="38"/>
      <c r="E311" s="38"/>
      <c r="F311" s="38"/>
      <c r="G311" s="38"/>
      <c r="H311" s="32"/>
      <c r="I311" s="31"/>
      <c r="J311" s="38"/>
      <c r="K311" s="33"/>
      <c r="L311" s="39"/>
    </row>
    <row r="312" spans="2:12" x14ac:dyDescent="0.25">
      <c r="B312" s="30"/>
      <c r="C312" s="38"/>
      <c r="D312" s="38"/>
      <c r="E312" s="38"/>
      <c r="F312" s="38"/>
      <c r="G312" s="38"/>
      <c r="H312" s="32"/>
      <c r="I312" s="31"/>
      <c r="J312" s="38"/>
      <c r="K312" s="33"/>
      <c r="L312" s="39"/>
    </row>
    <row r="313" spans="2:12" x14ac:dyDescent="0.25">
      <c r="B313" s="30"/>
      <c r="C313" s="38"/>
      <c r="D313" s="38"/>
      <c r="E313" s="38"/>
      <c r="F313" s="38"/>
      <c r="G313" s="38"/>
      <c r="H313" s="32"/>
      <c r="I313" s="31"/>
      <c r="J313" s="38"/>
      <c r="K313" s="33"/>
      <c r="L313" s="39"/>
    </row>
    <row r="314" spans="2:12" x14ac:dyDescent="0.25">
      <c r="B314" s="30"/>
      <c r="C314" s="38"/>
      <c r="D314" s="38"/>
      <c r="E314" s="38"/>
      <c r="F314" s="38"/>
      <c r="G314" s="38"/>
      <c r="H314" s="32"/>
      <c r="I314" s="31"/>
      <c r="J314" s="38"/>
      <c r="K314" s="33"/>
      <c r="L314" s="39"/>
    </row>
    <row r="315" spans="2:12" x14ac:dyDescent="0.25">
      <c r="B315" s="30"/>
      <c r="C315" s="38"/>
      <c r="D315" s="38"/>
      <c r="E315" s="38"/>
      <c r="F315" s="38"/>
      <c r="G315" s="38"/>
      <c r="H315" s="32"/>
      <c r="I315" s="31"/>
      <c r="J315" s="38"/>
      <c r="K315" s="33"/>
      <c r="L315" s="39"/>
    </row>
    <row r="316" spans="2:12" x14ac:dyDescent="0.25">
      <c r="B316" s="30"/>
      <c r="C316" s="38"/>
      <c r="D316" s="38"/>
      <c r="E316" s="38"/>
      <c r="F316" s="38"/>
      <c r="G316" s="38"/>
      <c r="H316" s="32"/>
      <c r="I316" s="31"/>
      <c r="J316" s="38"/>
      <c r="K316" s="33"/>
      <c r="L316" s="39"/>
    </row>
    <row r="317" spans="2:12" x14ac:dyDescent="0.25">
      <c r="B317" s="30"/>
      <c r="C317" s="38"/>
      <c r="D317" s="38"/>
      <c r="E317" s="38"/>
      <c r="F317" s="38"/>
      <c r="G317" s="38"/>
      <c r="H317" s="32"/>
      <c r="I317" s="31"/>
      <c r="J317" s="38"/>
      <c r="K317" s="33"/>
      <c r="L317" s="39"/>
    </row>
    <row r="318" spans="2:12" x14ac:dyDescent="0.25">
      <c r="B318" s="30"/>
      <c r="C318" s="38"/>
      <c r="D318" s="38"/>
      <c r="E318" s="38"/>
      <c r="F318" s="38"/>
      <c r="G318" s="38"/>
      <c r="H318" s="32"/>
      <c r="I318" s="31"/>
      <c r="J318" s="38"/>
      <c r="K318" s="33"/>
      <c r="L318" s="39"/>
    </row>
    <row r="319" spans="2:12" x14ac:dyDescent="0.25">
      <c r="B319" s="30"/>
      <c r="C319" s="38"/>
      <c r="D319" s="38"/>
      <c r="E319" s="38"/>
      <c r="F319" s="38"/>
      <c r="G319" s="38"/>
      <c r="H319" s="32"/>
      <c r="I319" s="31"/>
      <c r="J319" s="40"/>
      <c r="K319" s="33"/>
      <c r="L319" s="39"/>
    </row>
    <row r="320" spans="2:12" x14ac:dyDescent="0.25">
      <c r="B320" s="30"/>
      <c r="C320" s="38"/>
      <c r="D320" s="38"/>
      <c r="E320" s="38"/>
      <c r="F320" s="38"/>
      <c r="G320" s="38"/>
      <c r="H320" s="32"/>
      <c r="I320" s="31"/>
      <c r="J320" s="40"/>
      <c r="K320" s="33"/>
      <c r="L320" s="39"/>
    </row>
    <row r="321" spans="2:12" x14ac:dyDescent="0.25">
      <c r="B321" s="30"/>
      <c r="C321" s="38"/>
      <c r="D321" s="38"/>
      <c r="E321" s="38"/>
      <c r="F321" s="38"/>
      <c r="G321" s="38"/>
      <c r="H321" s="32"/>
      <c r="I321" s="31"/>
      <c r="J321" s="38"/>
      <c r="K321" s="33"/>
      <c r="L321" s="39"/>
    </row>
    <row r="322" spans="2:12" x14ac:dyDescent="0.25">
      <c r="B322" s="30"/>
      <c r="C322" s="38"/>
      <c r="D322" s="38"/>
      <c r="E322" s="38"/>
      <c r="F322" s="38"/>
      <c r="G322" s="38"/>
      <c r="H322" s="32"/>
      <c r="I322" s="31"/>
      <c r="J322" s="40"/>
      <c r="K322" s="33"/>
      <c r="L322" s="39"/>
    </row>
    <row r="323" spans="2:12" x14ac:dyDescent="0.25">
      <c r="B323" s="30"/>
      <c r="C323" s="38"/>
      <c r="D323" s="38"/>
      <c r="E323" s="38"/>
      <c r="F323" s="38"/>
      <c r="G323" s="38"/>
      <c r="H323" s="32"/>
      <c r="I323" s="31"/>
      <c r="J323" s="38"/>
      <c r="K323" s="33"/>
      <c r="L323" s="39"/>
    </row>
    <row r="324" spans="2:12" x14ac:dyDescent="0.25">
      <c r="B324" s="30"/>
      <c r="C324" s="38"/>
      <c r="D324" s="38"/>
      <c r="E324" s="38"/>
      <c r="F324" s="38"/>
      <c r="G324" s="38"/>
      <c r="H324" s="32"/>
      <c r="I324" s="31"/>
      <c r="J324" s="40"/>
      <c r="K324" s="33"/>
      <c r="L324" s="39"/>
    </row>
    <row r="325" spans="2:12" x14ac:dyDescent="0.25">
      <c r="B325" s="30"/>
      <c r="C325" s="38"/>
      <c r="D325" s="38"/>
      <c r="E325" s="38"/>
      <c r="F325" s="38"/>
      <c r="G325" s="38"/>
      <c r="H325" s="32"/>
      <c r="I325" s="31"/>
      <c r="J325" s="38"/>
      <c r="K325" s="33"/>
      <c r="L325" s="39"/>
    </row>
    <row r="326" spans="2:12" x14ac:dyDescent="0.25">
      <c r="B326" s="30"/>
      <c r="C326" s="38"/>
      <c r="D326" s="38"/>
      <c r="E326" s="38"/>
      <c r="F326" s="38"/>
      <c r="G326" s="38"/>
      <c r="H326" s="32"/>
      <c r="I326" s="31"/>
      <c r="J326" s="38"/>
      <c r="K326" s="33"/>
      <c r="L326" s="39"/>
    </row>
    <row r="327" spans="2:12" x14ac:dyDescent="0.25">
      <c r="B327" s="30"/>
      <c r="C327" s="38"/>
      <c r="D327" s="38"/>
      <c r="E327" s="38"/>
      <c r="F327" s="38"/>
      <c r="G327" s="38"/>
      <c r="H327" s="32"/>
      <c r="I327" s="31"/>
      <c r="J327" s="38"/>
      <c r="K327" s="33"/>
      <c r="L327" s="39"/>
    </row>
    <row r="328" spans="2:12" x14ac:dyDescent="0.25">
      <c r="B328" s="30"/>
      <c r="C328" s="38"/>
      <c r="D328" s="38"/>
      <c r="E328" s="38"/>
      <c r="F328" s="38"/>
      <c r="G328" s="38"/>
      <c r="H328" s="32"/>
      <c r="I328" s="31"/>
      <c r="J328" s="38"/>
      <c r="K328" s="33"/>
      <c r="L328" s="39"/>
    </row>
    <row r="329" spans="2:12" x14ac:dyDescent="0.25">
      <c r="B329" s="30"/>
      <c r="C329" s="38"/>
      <c r="D329" s="38"/>
      <c r="E329" s="38"/>
      <c r="F329" s="38"/>
      <c r="G329" s="38"/>
      <c r="H329" s="32"/>
      <c r="I329" s="31"/>
      <c r="J329" s="38"/>
      <c r="K329" s="33"/>
      <c r="L329" s="39"/>
    </row>
    <row r="330" spans="2:12" x14ac:dyDescent="0.25">
      <c r="B330" s="30"/>
      <c r="C330" s="38"/>
      <c r="D330" s="38"/>
      <c r="E330" s="38"/>
      <c r="F330" s="38"/>
      <c r="G330" s="38"/>
      <c r="H330" s="32"/>
      <c r="I330" s="31"/>
      <c r="J330" s="38"/>
      <c r="K330" s="33"/>
      <c r="L330" s="39"/>
    </row>
    <row r="331" spans="2:12" x14ac:dyDescent="0.25">
      <c r="B331" s="30"/>
      <c r="C331" s="38"/>
      <c r="D331" s="38"/>
      <c r="E331" s="38"/>
      <c r="F331" s="38"/>
      <c r="G331" s="38"/>
      <c r="H331" s="32"/>
      <c r="I331" s="31"/>
      <c r="J331" s="40"/>
      <c r="K331" s="33"/>
      <c r="L331" s="39"/>
    </row>
    <row r="332" spans="2:12" x14ac:dyDescent="0.25">
      <c r="B332" s="30"/>
      <c r="C332" s="38"/>
      <c r="D332" s="38"/>
      <c r="E332" s="38"/>
      <c r="F332" s="38"/>
      <c r="G332" s="38"/>
      <c r="H332" s="32"/>
      <c r="I332" s="31"/>
      <c r="J332" s="38"/>
      <c r="K332" s="33"/>
      <c r="L332" s="39"/>
    </row>
    <row r="333" spans="2:12" x14ac:dyDescent="0.25">
      <c r="B333" s="30"/>
      <c r="C333" s="38"/>
      <c r="D333" s="38"/>
      <c r="E333" s="38"/>
      <c r="F333" s="38"/>
      <c r="G333" s="38"/>
      <c r="H333" s="32"/>
      <c r="I333" s="31"/>
      <c r="J333" s="38"/>
      <c r="K333" s="33"/>
      <c r="L333" s="39"/>
    </row>
    <row r="334" spans="2:12" x14ac:dyDescent="0.25">
      <c r="B334" s="30"/>
      <c r="C334" s="38"/>
      <c r="D334" s="38"/>
      <c r="E334" s="38"/>
      <c r="F334" s="38"/>
      <c r="G334" s="38"/>
      <c r="H334" s="32"/>
      <c r="I334" s="31"/>
      <c r="J334" s="40"/>
      <c r="K334" s="33"/>
      <c r="L334" s="39"/>
    </row>
    <row r="335" spans="2:12" x14ac:dyDescent="0.25">
      <c r="B335" s="30"/>
      <c r="C335" s="38"/>
      <c r="D335" s="38"/>
      <c r="E335" s="38"/>
      <c r="F335" s="38"/>
      <c r="G335" s="38"/>
      <c r="H335" s="32"/>
      <c r="I335" s="31"/>
      <c r="J335" s="40"/>
      <c r="K335" s="33"/>
      <c r="L335" s="39"/>
    </row>
    <row r="336" spans="2:12" x14ac:dyDescent="0.25">
      <c r="B336" s="30"/>
      <c r="C336" s="38"/>
      <c r="D336" s="38"/>
      <c r="E336" s="38"/>
      <c r="F336" s="38"/>
      <c r="G336" s="38"/>
      <c r="H336" s="32"/>
      <c r="I336" s="31"/>
      <c r="J336" s="40"/>
      <c r="K336" s="33"/>
      <c r="L336" s="39"/>
    </row>
    <row r="337" spans="2:12" x14ac:dyDescent="0.25">
      <c r="B337" s="30"/>
      <c r="C337" s="38"/>
      <c r="D337" s="38"/>
      <c r="E337" s="38"/>
      <c r="F337" s="38"/>
      <c r="G337" s="38"/>
      <c r="H337" s="32"/>
      <c r="I337" s="31"/>
      <c r="J337" s="38"/>
      <c r="K337" s="33"/>
      <c r="L337" s="39"/>
    </row>
    <row r="338" spans="2:12" x14ac:dyDescent="0.25">
      <c r="B338" s="30"/>
      <c r="C338" s="38"/>
      <c r="D338" s="38"/>
      <c r="E338" s="38"/>
      <c r="F338" s="38"/>
      <c r="G338" s="38"/>
      <c r="H338" s="32"/>
      <c r="I338" s="31"/>
      <c r="J338" s="38"/>
      <c r="K338" s="33"/>
      <c r="L338" s="39"/>
    </row>
    <row r="339" spans="2:12" x14ac:dyDescent="0.25">
      <c r="B339" s="30"/>
      <c r="C339" s="38"/>
      <c r="D339" s="38"/>
      <c r="E339" s="38"/>
      <c r="F339" s="38"/>
      <c r="G339" s="38"/>
      <c r="H339" s="32"/>
      <c r="I339" s="31"/>
      <c r="J339" s="38"/>
      <c r="K339" s="36"/>
      <c r="L339" s="39"/>
    </row>
    <row r="340" spans="2:12" x14ac:dyDescent="0.25">
      <c r="B340" s="30"/>
      <c r="C340" s="38"/>
      <c r="D340" s="38"/>
      <c r="E340" s="38"/>
      <c r="F340" s="38"/>
      <c r="G340" s="38"/>
      <c r="H340" s="32"/>
      <c r="I340" s="31"/>
      <c r="J340" s="38"/>
      <c r="K340" s="36"/>
      <c r="L340" s="39"/>
    </row>
    <row r="341" spans="2:12" x14ac:dyDescent="0.25">
      <c r="B341" s="30"/>
      <c r="C341" s="38"/>
      <c r="D341" s="38"/>
      <c r="E341" s="38"/>
      <c r="F341" s="38"/>
      <c r="G341" s="38"/>
      <c r="H341" s="32"/>
      <c r="I341" s="31"/>
      <c r="J341" s="38"/>
      <c r="K341" s="33"/>
      <c r="L341" s="39"/>
    </row>
    <row r="342" spans="2:12" x14ac:dyDescent="0.25">
      <c r="B342" s="30"/>
      <c r="C342" s="38"/>
      <c r="D342" s="38"/>
      <c r="E342" s="38"/>
      <c r="F342" s="38"/>
      <c r="G342" s="38"/>
      <c r="H342" s="32"/>
      <c r="I342" s="31"/>
      <c r="J342" s="40"/>
      <c r="K342" s="33"/>
      <c r="L342" s="39"/>
    </row>
    <row r="343" spans="2:12" x14ac:dyDescent="0.25">
      <c r="B343" s="30"/>
      <c r="C343" s="38"/>
      <c r="D343" s="38"/>
      <c r="E343" s="38"/>
      <c r="F343" s="38"/>
      <c r="G343" s="38"/>
      <c r="H343" s="32"/>
      <c r="I343" s="31"/>
      <c r="J343" s="38"/>
      <c r="K343" s="33"/>
      <c r="L343" s="39"/>
    </row>
    <row r="344" spans="2:12" x14ac:dyDescent="0.25">
      <c r="B344" s="30"/>
      <c r="C344" s="38"/>
      <c r="D344" s="38"/>
      <c r="E344" s="38"/>
      <c r="F344" s="38"/>
      <c r="G344" s="38"/>
      <c r="H344" s="32"/>
      <c r="I344" s="31"/>
      <c r="J344" s="38"/>
      <c r="K344" s="36"/>
      <c r="L344" s="39"/>
    </row>
    <row r="345" spans="2:12" x14ac:dyDescent="0.25">
      <c r="B345" s="30"/>
      <c r="C345" s="38"/>
      <c r="D345" s="38"/>
      <c r="E345" s="38"/>
      <c r="F345" s="38"/>
      <c r="G345" s="38"/>
      <c r="H345" s="32"/>
      <c r="I345" s="31"/>
      <c r="J345" s="38"/>
      <c r="K345" s="36"/>
      <c r="L345" s="39"/>
    </row>
    <row r="346" spans="2:12" x14ac:dyDescent="0.25">
      <c r="B346" s="30"/>
      <c r="C346" s="38"/>
      <c r="D346" s="38"/>
      <c r="E346" s="38"/>
      <c r="F346" s="38"/>
      <c r="G346" s="38"/>
      <c r="H346" s="32"/>
      <c r="I346" s="31"/>
      <c r="J346" s="38"/>
      <c r="K346" s="33"/>
      <c r="L346" s="39"/>
    </row>
    <row r="347" spans="2:12" x14ac:dyDescent="0.25">
      <c r="B347" s="30"/>
      <c r="C347" s="38"/>
      <c r="D347" s="38"/>
      <c r="E347" s="38"/>
      <c r="F347" s="38"/>
      <c r="G347" s="38"/>
      <c r="H347" s="32"/>
      <c r="I347" s="31"/>
      <c r="J347" s="38"/>
      <c r="K347" s="36"/>
      <c r="L347" s="39"/>
    </row>
    <row r="348" spans="2:12" x14ac:dyDescent="0.25">
      <c r="B348" s="30"/>
      <c r="C348" s="38"/>
      <c r="D348" s="38"/>
      <c r="E348" s="38"/>
      <c r="F348" s="38"/>
      <c r="G348" s="38"/>
      <c r="H348" s="32"/>
      <c r="I348" s="31"/>
      <c r="J348" s="38"/>
      <c r="K348" s="36"/>
      <c r="L348" s="39"/>
    </row>
    <row r="349" spans="2:12" x14ac:dyDescent="0.25">
      <c r="B349" s="30"/>
      <c r="C349" s="38"/>
      <c r="D349" s="38"/>
      <c r="E349" s="38"/>
      <c r="F349" s="38"/>
      <c r="G349" s="38"/>
      <c r="H349" s="32"/>
      <c r="I349" s="31"/>
      <c r="J349" s="38"/>
      <c r="K349" s="36"/>
      <c r="L349" s="39"/>
    </row>
    <row r="350" spans="2:12" x14ac:dyDescent="0.25">
      <c r="B350" s="30"/>
      <c r="C350" s="38"/>
      <c r="D350" s="38"/>
      <c r="E350" s="38"/>
      <c r="F350" s="38"/>
      <c r="G350" s="38"/>
      <c r="H350" s="32"/>
      <c r="I350" s="31"/>
      <c r="J350" s="38"/>
      <c r="K350" s="36"/>
      <c r="L350" s="39"/>
    </row>
    <row r="351" spans="2:12" x14ac:dyDescent="0.25">
      <c r="B351" s="30"/>
      <c r="C351" s="38"/>
      <c r="D351" s="38"/>
      <c r="E351" s="38"/>
      <c r="F351" s="38"/>
      <c r="G351" s="38"/>
      <c r="H351" s="32"/>
      <c r="I351" s="31"/>
      <c r="J351" s="40"/>
      <c r="K351" s="33"/>
      <c r="L351" s="39"/>
    </row>
    <row r="352" spans="2:12" x14ac:dyDescent="0.25">
      <c r="B352" s="30"/>
      <c r="C352" s="38"/>
      <c r="D352" s="38"/>
      <c r="E352" s="38"/>
      <c r="F352" s="38"/>
      <c r="G352" s="38"/>
      <c r="H352" s="32"/>
      <c r="I352" s="31"/>
      <c r="J352" s="38"/>
      <c r="K352" s="33"/>
      <c r="L352" s="39"/>
    </row>
    <row r="353" spans="2:12" x14ac:dyDescent="0.25">
      <c r="B353" s="30"/>
      <c r="C353" s="38"/>
      <c r="D353" s="38"/>
      <c r="E353" s="38"/>
      <c r="F353" s="38"/>
      <c r="G353" s="38"/>
      <c r="H353" s="32"/>
      <c r="I353" s="31"/>
      <c r="J353" s="38"/>
      <c r="K353" s="33"/>
      <c r="L353" s="39"/>
    </row>
    <row r="354" spans="2:12" x14ac:dyDescent="0.25">
      <c r="B354" s="30"/>
      <c r="C354" s="38"/>
      <c r="D354" s="38"/>
      <c r="E354" s="38"/>
      <c r="F354" s="38"/>
      <c r="G354" s="38"/>
      <c r="H354" s="32"/>
      <c r="I354" s="31"/>
      <c r="J354" s="40"/>
      <c r="K354" s="33"/>
      <c r="L354" s="39"/>
    </row>
    <row r="355" spans="2:12" x14ac:dyDescent="0.25">
      <c r="B355" s="30"/>
      <c r="C355" s="38"/>
      <c r="D355" s="38"/>
      <c r="E355" s="38"/>
      <c r="F355" s="38"/>
      <c r="G355" s="38"/>
      <c r="H355" s="32"/>
      <c r="I355" s="31"/>
      <c r="J355" s="38"/>
      <c r="K355" s="36"/>
      <c r="L355" s="39"/>
    </row>
    <row r="356" spans="2:12" x14ac:dyDescent="0.25">
      <c r="B356" s="30"/>
      <c r="C356" s="38"/>
      <c r="D356" s="38"/>
      <c r="E356" s="38"/>
      <c r="F356" s="38"/>
      <c r="G356" s="38"/>
      <c r="H356" s="32"/>
      <c r="I356" s="31"/>
      <c r="J356" s="38"/>
      <c r="K356" s="33"/>
      <c r="L356" s="39"/>
    </row>
    <row r="357" spans="2:12" x14ac:dyDescent="0.25">
      <c r="B357" s="30"/>
      <c r="C357" s="38"/>
      <c r="D357" s="38"/>
      <c r="E357" s="38"/>
      <c r="F357" s="38"/>
      <c r="G357" s="38"/>
      <c r="H357" s="32"/>
      <c r="I357" s="31"/>
      <c r="J357" s="38"/>
      <c r="K357" s="33"/>
      <c r="L357" s="39"/>
    </row>
    <row r="358" spans="2:12" x14ac:dyDescent="0.25">
      <c r="B358" s="30"/>
      <c r="C358" s="38"/>
      <c r="D358" s="38"/>
      <c r="E358" s="38"/>
      <c r="F358" s="38"/>
      <c r="G358" s="38"/>
      <c r="H358" s="32"/>
      <c r="I358" s="31"/>
      <c r="J358" s="38"/>
      <c r="K358" s="33"/>
      <c r="L358" s="39"/>
    </row>
    <row r="359" spans="2:12" x14ac:dyDescent="0.25">
      <c r="B359" s="30"/>
      <c r="C359" s="38"/>
      <c r="D359" s="38"/>
      <c r="E359" s="38"/>
      <c r="F359" s="38"/>
      <c r="G359" s="38"/>
      <c r="H359" s="32"/>
      <c r="I359" s="31"/>
      <c r="J359" s="38"/>
      <c r="K359" s="33"/>
      <c r="L359" s="39"/>
    </row>
    <row r="360" spans="2:12" x14ac:dyDescent="0.25">
      <c r="B360" s="30"/>
      <c r="C360" s="38"/>
      <c r="D360" s="38"/>
      <c r="E360" s="38"/>
      <c r="F360" s="38"/>
      <c r="G360" s="38"/>
      <c r="H360" s="32"/>
      <c r="I360" s="31"/>
      <c r="J360" s="38"/>
      <c r="K360" s="33"/>
      <c r="L360" s="39"/>
    </row>
    <row r="361" spans="2:12" x14ac:dyDescent="0.25">
      <c r="B361" s="30"/>
      <c r="C361" s="38"/>
      <c r="D361" s="38"/>
      <c r="E361" s="38"/>
      <c r="F361" s="38"/>
      <c r="G361" s="38"/>
      <c r="H361" s="32"/>
      <c r="I361" s="31"/>
      <c r="J361" s="38"/>
      <c r="K361" s="33"/>
      <c r="L361" s="39"/>
    </row>
    <row r="362" spans="2:12" x14ac:dyDescent="0.25">
      <c r="B362" s="30"/>
      <c r="C362" s="38"/>
      <c r="D362" s="38"/>
      <c r="E362" s="38"/>
      <c r="F362" s="38"/>
      <c r="G362" s="38"/>
      <c r="H362" s="32"/>
      <c r="I362" s="31"/>
      <c r="J362" s="38"/>
      <c r="K362" s="33"/>
      <c r="L362" s="39"/>
    </row>
    <row r="363" spans="2:12" x14ac:dyDescent="0.25">
      <c r="B363" s="30"/>
      <c r="C363" s="38"/>
      <c r="D363" s="38"/>
      <c r="E363" s="38"/>
      <c r="F363" s="38"/>
      <c r="G363" s="38"/>
      <c r="H363" s="32"/>
      <c r="I363" s="31"/>
      <c r="J363" s="40"/>
      <c r="K363" s="33"/>
      <c r="L363" s="39"/>
    </row>
    <row r="364" spans="2:12" x14ac:dyDescent="0.25">
      <c r="B364" s="30"/>
      <c r="C364" s="38"/>
      <c r="D364" s="38"/>
      <c r="E364" s="38"/>
      <c r="F364" s="38"/>
      <c r="G364" s="38"/>
      <c r="H364" s="32"/>
      <c r="I364" s="31"/>
      <c r="J364" s="40"/>
      <c r="K364" s="33"/>
      <c r="L364" s="39"/>
    </row>
    <row r="365" spans="2:12" x14ac:dyDescent="0.25">
      <c r="B365" s="30"/>
      <c r="C365" s="38"/>
      <c r="D365" s="38"/>
      <c r="E365" s="38"/>
      <c r="F365" s="38"/>
      <c r="G365" s="38"/>
      <c r="H365" s="32"/>
      <c r="I365" s="31"/>
      <c r="J365" s="38"/>
      <c r="K365" s="33"/>
      <c r="L365" s="39"/>
    </row>
    <row r="366" spans="2:12" x14ac:dyDescent="0.25">
      <c r="B366" s="30"/>
      <c r="C366" s="38"/>
      <c r="D366" s="38"/>
      <c r="E366" s="38"/>
      <c r="F366" s="38"/>
      <c r="G366" s="38"/>
      <c r="H366" s="32"/>
      <c r="I366" s="31"/>
      <c r="J366" s="38"/>
      <c r="K366" s="33"/>
      <c r="L366" s="39"/>
    </row>
    <row r="367" spans="2:12" x14ac:dyDescent="0.25">
      <c r="B367" s="30"/>
      <c r="C367" s="38"/>
      <c r="D367" s="38"/>
      <c r="E367" s="38"/>
      <c r="F367" s="38"/>
      <c r="G367" s="38"/>
      <c r="H367" s="32"/>
      <c r="I367" s="31"/>
      <c r="J367" s="38"/>
      <c r="K367" s="36"/>
      <c r="L367" s="39"/>
    </row>
    <row r="368" spans="2:12" x14ac:dyDescent="0.25">
      <c r="B368" s="30"/>
      <c r="C368" s="38"/>
      <c r="D368" s="38"/>
      <c r="E368" s="38"/>
      <c r="F368" s="38"/>
      <c r="G368" s="38"/>
      <c r="H368" s="32"/>
      <c r="I368" s="31"/>
      <c r="J368" s="38"/>
      <c r="K368" s="33"/>
      <c r="L368" s="39"/>
    </row>
    <row r="369" spans="2:12" x14ac:dyDescent="0.25">
      <c r="B369" s="30"/>
      <c r="C369" s="38"/>
      <c r="D369" s="38"/>
      <c r="E369" s="38"/>
      <c r="F369" s="38"/>
      <c r="G369" s="38"/>
      <c r="H369" s="32"/>
      <c r="I369" s="31"/>
      <c r="J369" s="38"/>
      <c r="K369" s="33"/>
      <c r="L369" s="39"/>
    </row>
    <row r="370" spans="2:12" x14ac:dyDescent="0.25">
      <c r="B370" s="30"/>
      <c r="C370" s="38"/>
      <c r="D370" s="38"/>
      <c r="E370" s="38"/>
      <c r="F370" s="38"/>
      <c r="G370" s="38"/>
      <c r="H370" s="32"/>
      <c r="I370" s="31"/>
      <c r="J370" s="40"/>
      <c r="K370" s="36"/>
      <c r="L370" s="39"/>
    </row>
    <row r="371" spans="2:12" x14ac:dyDescent="0.25">
      <c r="B371" s="30"/>
      <c r="C371" s="38"/>
      <c r="D371" s="38"/>
      <c r="E371" s="38"/>
      <c r="F371" s="38"/>
      <c r="G371" s="38"/>
      <c r="H371" s="32"/>
      <c r="I371" s="31"/>
      <c r="J371" s="38"/>
      <c r="K371" s="36"/>
      <c r="L371" s="39"/>
    </row>
    <row r="372" spans="2:12" x14ac:dyDescent="0.25">
      <c r="B372" s="30"/>
      <c r="C372" s="38"/>
      <c r="D372" s="38"/>
      <c r="E372" s="38"/>
      <c r="F372" s="38"/>
      <c r="G372" s="38"/>
      <c r="H372" s="32"/>
      <c r="I372" s="31"/>
      <c r="J372" s="38"/>
      <c r="K372" s="33"/>
      <c r="L372" s="39"/>
    </row>
    <row r="373" spans="2:12" x14ac:dyDescent="0.25">
      <c r="B373" s="30"/>
      <c r="C373" s="38"/>
      <c r="D373" s="38"/>
      <c r="E373" s="38"/>
      <c r="F373" s="38"/>
      <c r="G373" s="38"/>
      <c r="H373" s="32"/>
      <c r="I373" s="31"/>
      <c r="J373" s="38"/>
      <c r="K373" s="33"/>
      <c r="L373" s="39"/>
    </row>
    <row r="374" spans="2:12" x14ac:dyDescent="0.25">
      <c r="B374" s="30"/>
      <c r="C374" s="38"/>
      <c r="D374" s="38"/>
      <c r="E374" s="38"/>
      <c r="F374" s="38"/>
      <c r="G374" s="38"/>
      <c r="H374" s="32"/>
      <c r="I374" s="31"/>
      <c r="J374" s="40"/>
      <c r="K374" s="33"/>
      <c r="L374" s="39"/>
    </row>
    <row r="375" spans="2:12" x14ac:dyDescent="0.25">
      <c r="B375" s="30"/>
      <c r="C375" s="38"/>
      <c r="D375" s="38"/>
      <c r="E375" s="38"/>
      <c r="F375" s="38"/>
      <c r="G375" s="38"/>
      <c r="H375" s="32"/>
      <c r="I375" s="31"/>
      <c r="J375" s="38"/>
      <c r="K375" s="33"/>
      <c r="L375" s="39"/>
    </row>
    <row r="376" spans="2:12" x14ac:dyDescent="0.25">
      <c r="B376" s="30"/>
      <c r="C376" s="38"/>
      <c r="D376" s="38"/>
      <c r="E376" s="38"/>
      <c r="F376" s="38"/>
      <c r="G376" s="38"/>
      <c r="H376" s="32"/>
      <c r="I376" s="31"/>
      <c r="J376" s="38"/>
      <c r="K376" s="33"/>
      <c r="L376" s="39"/>
    </row>
    <row r="377" spans="2:12" x14ac:dyDescent="0.25">
      <c r="B377" s="30"/>
      <c r="C377" s="38"/>
      <c r="D377" s="38"/>
      <c r="E377" s="38"/>
      <c r="F377" s="38"/>
      <c r="G377" s="38"/>
      <c r="H377" s="32"/>
      <c r="I377" s="31"/>
      <c r="J377" s="38"/>
      <c r="K377" s="33"/>
      <c r="L377" s="39"/>
    </row>
    <row r="378" spans="2:12" x14ac:dyDescent="0.25">
      <c r="B378" s="30"/>
      <c r="C378" s="38"/>
      <c r="D378" s="38"/>
      <c r="E378" s="38"/>
      <c r="F378" s="38"/>
      <c r="G378" s="38"/>
      <c r="H378" s="32"/>
      <c r="I378" s="31"/>
      <c r="J378" s="38"/>
      <c r="K378" s="33"/>
      <c r="L378" s="39"/>
    </row>
    <row r="379" spans="2:12" x14ac:dyDescent="0.25">
      <c r="B379" s="30"/>
      <c r="C379" s="38"/>
      <c r="D379" s="38"/>
      <c r="E379" s="38"/>
      <c r="F379" s="38"/>
      <c r="G379" s="38"/>
      <c r="H379" s="32"/>
      <c r="I379" s="31"/>
      <c r="J379" s="38"/>
      <c r="K379" s="33"/>
      <c r="L379" s="39"/>
    </row>
    <row r="380" spans="2:12" x14ac:dyDescent="0.25">
      <c r="B380" s="30"/>
      <c r="C380" s="38"/>
      <c r="D380" s="38"/>
      <c r="E380" s="38"/>
      <c r="F380" s="38"/>
      <c r="G380" s="38"/>
      <c r="H380" s="32"/>
      <c r="I380" s="31"/>
      <c r="J380" s="38"/>
      <c r="K380" s="33"/>
      <c r="L380" s="39"/>
    </row>
    <row r="381" spans="2:12" x14ac:dyDescent="0.25">
      <c r="B381" s="30"/>
      <c r="C381" s="38"/>
      <c r="D381" s="38"/>
      <c r="E381" s="38"/>
      <c r="F381" s="38"/>
      <c r="G381" s="38"/>
      <c r="H381" s="32"/>
      <c r="I381" s="31"/>
      <c r="J381" s="38"/>
      <c r="K381" s="36"/>
      <c r="L381" s="39"/>
    </row>
    <row r="382" spans="2:12" x14ac:dyDescent="0.25">
      <c r="B382" s="30"/>
      <c r="C382" s="38"/>
      <c r="D382" s="38"/>
      <c r="E382" s="38"/>
      <c r="F382" s="38"/>
      <c r="G382" s="38"/>
      <c r="H382" s="32"/>
      <c r="I382" s="31"/>
      <c r="J382" s="40"/>
      <c r="K382" s="33"/>
      <c r="L382" s="39"/>
    </row>
    <row r="383" spans="2:12" x14ac:dyDescent="0.25">
      <c r="B383" s="30"/>
      <c r="C383" s="38"/>
      <c r="D383" s="38"/>
      <c r="E383" s="38"/>
      <c r="F383" s="38"/>
      <c r="G383" s="38"/>
      <c r="H383" s="32"/>
      <c r="I383" s="31"/>
      <c r="J383" s="40"/>
      <c r="K383" s="36"/>
      <c r="L383" s="39"/>
    </row>
    <row r="384" spans="2:12" x14ac:dyDescent="0.25">
      <c r="B384" s="30"/>
      <c r="C384" s="38"/>
      <c r="D384" s="38"/>
      <c r="E384" s="38"/>
      <c r="F384" s="38"/>
      <c r="G384" s="38"/>
      <c r="H384" s="32"/>
      <c r="I384" s="31"/>
      <c r="J384" s="38"/>
      <c r="K384" s="36"/>
      <c r="L384" s="39"/>
    </row>
    <row r="385" spans="2:12" x14ac:dyDescent="0.25">
      <c r="B385" s="30"/>
      <c r="C385" s="38"/>
      <c r="D385" s="38"/>
      <c r="E385" s="38"/>
      <c r="F385" s="38"/>
      <c r="G385" s="38"/>
      <c r="H385" s="32"/>
      <c r="I385" s="31"/>
      <c r="J385" s="38"/>
      <c r="K385" s="33"/>
      <c r="L385" s="39"/>
    </row>
    <row r="386" spans="2:12" x14ac:dyDescent="0.25">
      <c r="B386" s="30"/>
      <c r="C386" s="38"/>
      <c r="D386" s="38"/>
      <c r="E386" s="38"/>
      <c r="F386" s="38"/>
      <c r="G386" s="38"/>
      <c r="H386" s="32"/>
      <c r="I386" s="31"/>
      <c r="J386" s="38"/>
      <c r="K386" s="36"/>
      <c r="L386" s="39"/>
    </row>
    <row r="387" spans="2:12" x14ac:dyDescent="0.25">
      <c r="B387" s="30"/>
      <c r="C387" s="38"/>
      <c r="D387" s="38"/>
      <c r="E387" s="38"/>
      <c r="F387" s="38"/>
      <c r="G387" s="38"/>
      <c r="H387" s="32"/>
      <c r="I387" s="31"/>
      <c r="J387" s="38"/>
      <c r="K387" s="36"/>
      <c r="L387" s="39"/>
    </row>
    <row r="388" spans="2:12" x14ac:dyDescent="0.25">
      <c r="B388" s="30"/>
      <c r="C388" s="38"/>
      <c r="D388" s="38"/>
      <c r="E388" s="38"/>
      <c r="F388" s="38"/>
      <c r="G388" s="38"/>
      <c r="H388" s="32"/>
      <c r="I388" s="31"/>
      <c r="J388" s="38"/>
      <c r="K388" s="33"/>
      <c r="L388" s="39"/>
    </row>
    <row r="389" spans="2:12" x14ac:dyDescent="0.25">
      <c r="B389" s="30"/>
      <c r="C389" s="38"/>
      <c r="D389" s="38"/>
      <c r="E389" s="38"/>
      <c r="F389" s="38"/>
      <c r="G389" s="38"/>
      <c r="H389" s="32"/>
      <c r="I389" s="31"/>
      <c r="J389" s="38"/>
      <c r="K389" s="33"/>
      <c r="L389" s="39"/>
    </row>
    <row r="390" spans="2:12" x14ac:dyDescent="0.25">
      <c r="B390" s="30"/>
      <c r="C390" s="38"/>
      <c r="D390" s="38"/>
      <c r="E390" s="38"/>
      <c r="F390" s="38"/>
      <c r="G390" s="38"/>
      <c r="H390" s="32"/>
      <c r="I390" s="31"/>
      <c r="J390" s="38"/>
      <c r="K390" s="36"/>
      <c r="L390" s="39"/>
    </row>
    <row r="391" spans="2:12" x14ac:dyDescent="0.25">
      <c r="B391" s="30"/>
      <c r="C391" s="38"/>
      <c r="D391" s="38"/>
      <c r="E391" s="38"/>
      <c r="F391" s="38"/>
      <c r="G391" s="38"/>
      <c r="H391" s="32"/>
      <c r="I391" s="31"/>
      <c r="J391" s="38"/>
      <c r="K391" s="36"/>
      <c r="L391" s="39"/>
    </row>
    <row r="392" spans="2:12" x14ac:dyDescent="0.25">
      <c r="B392" s="30"/>
      <c r="C392" s="38"/>
      <c r="D392" s="38"/>
      <c r="E392" s="38"/>
      <c r="F392" s="38"/>
      <c r="G392" s="38"/>
      <c r="H392" s="32"/>
      <c r="I392" s="31"/>
      <c r="J392" s="38"/>
      <c r="K392" s="33"/>
      <c r="L392" s="39"/>
    </row>
    <row r="393" spans="2:12" x14ac:dyDescent="0.25">
      <c r="B393" s="30"/>
      <c r="C393" s="38"/>
      <c r="D393" s="38"/>
      <c r="E393" s="38"/>
      <c r="F393" s="38"/>
      <c r="G393" s="38"/>
      <c r="H393" s="32"/>
      <c r="I393" s="31"/>
      <c r="J393" s="38"/>
      <c r="K393" s="33"/>
      <c r="L393" s="39"/>
    </row>
    <row r="394" spans="2:12" x14ac:dyDescent="0.25">
      <c r="B394" s="30"/>
      <c r="C394" s="38"/>
      <c r="D394" s="38"/>
      <c r="E394" s="38"/>
      <c r="F394" s="38"/>
      <c r="G394" s="38"/>
      <c r="H394" s="32"/>
      <c r="I394" s="31"/>
      <c r="J394" s="38"/>
      <c r="K394" s="33"/>
      <c r="L394" s="39"/>
    </row>
    <row r="395" spans="2:12" x14ac:dyDescent="0.25">
      <c r="B395" s="30"/>
      <c r="C395" s="38"/>
      <c r="D395" s="38"/>
      <c r="E395" s="38"/>
      <c r="F395" s="38"/>
      <c r="G395" s="38"/>
      <c r="H395" s="32"/>
      <c r="I395" s="31"/>
      <c r="J395" s="40"/>
      <c r="K395" s="33"/>
      <c r="L395" s="39"/>
    </row>
    <row r="396" spans="2:12" x14ac:dyDescent="0.25">
      <c r="B396" s="30"/>
      <c r="C396" s="38"/>
      <c r="D396" s="38"/>
      <c r="E396" s="38"/>
      <c r="F396" s="38"/>
      <c r="G396" s="38"/>
      <c r="H396" s="32"/>
      <c r="I396" s="31"/>
      <c r="J396" s="38"/>
      <c r="K396" s="33"/>
      <c r="L396" s="39"/>
    </row>
    <row r="397" spans="2:12" x14ac:dyDescent="0.25">
      <c r="B397" s="30"/>
      <c r="C397" s="38"/>
      <c r="D397" s="38"/>
      <c r="E397" s="38"/>
      <c r="F397" s="38"/>
      <c r="G397" s="38"/>
      <c r="H397" s="32"/>
      <c r="I397" s="31"/>
      <c r="J397" s="38"/>
      <c r="K397" s="33"/>
      <c r="L397" s="39"/>
    </row>
    <row r="398" spans="2:12" x14ac:dyDescent="0.25">
      <c r="B398" s="30"/>
      <c r="C398" s="38"/>
      <c r="D398" s="38"/>
      <c r="E398" s="38"/>
      <c r="F398" s="38"/>
      <c r="G398" s="38"/>
      <c r="H398" s="32"/>
      <c r="I398" s="31"/>
      <c r="J398" s="38"/>
      <c r="K398" s="33"/>
      <c r="L398" s="39"/>
    </row>
    <row r="399" spans="2:12" x14ac:dyDescent="0.25">
      <c r="B399" s="30"/>
      <c r="C399" s="38"/>
      <c r="D399" s="38"/>
      <c r="E399" s="38"/>
      <c r="F399" s="38"/>
      <c r="G399" s="38"/>
      <c r="H399" s="32"/>
      <c r="I399" s="31"/>
      <c r="J399" s="38"/>
      <c r="K399" s="33"/>
      <c r="L399" s="39"/>
    </row>
    <row r="400" spans="2:12" x14ac:dyDescent="0.25">
      <c r="B400" s="30"/>
      <c r="C400" s="38"/>
      <c r="D400" s="38"/>
      <c r="E400" s="38"/>
      <c r="F400" s="38"/>
      <c r="G400" s="38"/>
      <c r="H400" s="32"/>
      <c r="I400" s="31"/>
      <c r="J400" s="38"/>
      <c r="K400" s="33"/>
      <c r="L400" s="39"/>
    </row>
    <row r="401" spans="2:12" x14ac:dyDescent="0.25">
      <c r="B401" s="30"/>
      <c r="C401" s="38"/>
      <c r="D401" s="38"/>
      <c r="E401" s="38"/>
      <c r="F401" s="38"/>
      <c r="G401" s="38"/>
      <c r="H401" s="32"/>
      <c r="I401" s="31"/>
      <c r="J401" s="40"/>
      <c r="K401" s="33"/>
      <c r="L401" s="39"/>
    </row>
    <row r="402" spans="2:12" x14ac:dyDescent="0.25">
      <c r="B402" s="30"/>
      <c r="C402" s="38"/>
      <c r="D402" s="38"/>
      <c r="E402" s="38"/>
      <c r="F402" s="38"/>
      <c r="G402" s="38"/>
      <c r="H402" s="32"/>
      <c r="I402" s="31"/>
      <c r="J402" s="40"/>
      <c r="K402" s="33"/>
      <c r="L402" s="39"/>
    </row>
    <row r="403" spans="2:12" x14ac:dyDescent="0.25">
      <c r="B403" s="30"/>
      <c r="C403" s="38"/>
      <c r="D403" s="38"/>
      <c r="E403" s="38"/>
      <c r="F403" s="38"/>
      <c r="G403" s="38"/>
      <c r="H403" s="32"/>
      <c r="I403" s="31"/>
      <c r="J403" s="38"/>
      <c r="K403" s="33"/>
      <c r="L403" s="39"/>
    </row>
    <row r="404" spans="2:12" x14ac:dyDescent="0.25">
      <c r="B404" s="30"/>
      <c r="C404" s="38"/>
      <c r="D404" s="38"/>
      <c r="E404" s="38"/>
      <c r="F404" s="38"/>
      <c r="G404" s="38"/>
      <c r="H404" s="32"/>
      <c r="I404" s="31"/>
      <c r="J404" s="40"/>
      <c r="K404" s="33"/>
      <c r="L404" s="39"/>
    </row>
    <row r="405" spans="2:12" x14ac:dyDescent="0.25">
      <c r="B405" s="30"/>
      <c r="C405" s="38"/>
      <c r="D405" s="38"/>
      <c r="E405" s="38"/>
      <c r="F405" s="38"/>
      <c r="G405" s="38"/>
      <c r="H405" s="32"/>
      <c r="I405" s="31"/>
      <c r="J405" s="38"/>
      <c r="K405" s="33"/>
      <c r="L405" s="39"/>
    </row>
    <row r="406" spans="2:12" x14ac:dyDescent="0.25">
      <c r="B406" s="30"/>
      <c r="C406" s="38"/>
      <c r="D406" s="38"/>
      <c r="E406" s="38"/>
      <c r="F406" s="38"/>
      <c r="G406" s="38"/>
      <c r="H406" s="32"/>
      <c r="I406" s="31"/>
      <c r="J406" s="38"/>
      <c r="K406" s="33"/>
      <c r="L406" s="39"/>
    </row>
    <row r="407" spans="2:12" x14ac:dyDescent="0.25">
      <c r="B407" s="30"/>
      <c r="C407" s="38"/>
      <c r="D407" s="38"/>
      <c r="E407" s="38"/>
      <c r="F407" s="38"/>
      <c r="G407" s="38"/>
      <c r="H407" s="32"/>
      <c r="I407" s="31"/>
      <c r="J407" s="38"/>
      <c r="K407" s="33"/>
      <c r="L407" s="39"/>
    </row>
    <row r="408" spans="2:12" x14ac:dyDescent="0.25">
      <c r="B408" s="30"/>
      <c r="C408" s="38"/>
      <c r="D408" s="38"/>
      <c r="E408" s="38"/>
      <c r="F408" s="38"/>
      <c r="G408" s="38"/>
      <c r="H408" s="32"/>
      <c r="I408" s="31"/>
      <c r="J408" s="38"/>
      <c r="K408" s="33"/>
      <c r="L408" s="39"/>
    </row>
  </sheetData>
  <autoFilter ref="B2:L408" xr:uid="{0CDC1846-4AE7-4349-A084-BBFA84E1B602}">
    <sortState xmlns:xlrd2="http://schemas.microsoft.com/office/spreadsheetml/2017/richdata2" ref="B3:L408">
      <sortCondition sortBy="cellColor" ref="L2:L408" dxfId="19"/>
    </sortState>
  </autoFilter>
  <conditionalFormatting sqref="L3:L516">
    <cfRule type="duplicateValues" dxfId="0" priority="29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3C95-C041-4553-A495-63BC9E113BBC}">
  <dimension ref="B1:O18"/>
  <sheetViews>
    <sheetView showGridLines="0" workbookViewId="0">
      <selection activeCell="J19" sqref="J19"/>
    </sheetView>
  </sheetViews>
  <sheetFormatPr defaultRowHeight="15" x14ac:dyDescent="0.25"/>
  <cols>
    <col min="1" max="1" width="6.28515625" customWidth="1"/>
    <col min="2" max="2" width="2.140625" customWidth="1"/>
    <col min="3" max="3" width="5.5703125" customWidth="1"/>
    <col min="4" max="4" width="20" bestFit="1" customWidth="1"/>
    <col min="5" max="5" width="26.42578125" customWidth="1"/>
    <col min="6" max="6" width="1.7109375" customWidth="1"/>
    <col min="15" max="15" width="3.7109375" customWidth="1"/>
    <col min="17" max="17" width="26.140625" customWidth="1"/>
  </cols>
  <sheetData>
    <row r="1" spans="2:15" ht="8.25" customHeight="1" x14ac:dyDescent="0.25"/>
    <row r="2" spans="2:15" ht="8.25" customHeight="1" x14ac:dyDescent="0.25"/>
    <row r="3" spans="2:15" ht="28.5" customHeight="1" x14ac:dyDescent="0.25">
      <c r="B3" s="177" t="s">
        <v>274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2:15" ht="4.5" customHeight="1" thickBot="1" x14ac:dyDescent="0.3"/>
    <row r="5" spans="2:15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2:15" x14ac:dyDescent="0.25">
      <c r="B6" s="10"/>
      <c r="C6" s="179" t="s">
        <v>13</v>
      </c>
      <c r="D6" s="180"/>
      <c r="E6" s="79" t="s">
        <v>16</v>
      </c>
      <c r="O6" s="11"/>
    </row>
    <row r="7" spans="2:15" x14ac:dyDescent="0.25">
      <c r="B7" s="10"/>
      <c r="C7" s="72" t="b">
        <v>1</v>
      </c>
      <c r="D7" s="77" t="s">
        <v>111</v>
      </c>
      <c r="E7" s="76">
        <v>32869.709999999992</v>
      </c>
      <c r="O7" s="11"/>
    </row>
    <row r="8" spans="2:15" x14ac:dyDescent="0.25">
      <c r="B8" s="10"/>
      <c r="C8" s="72" t="b">
        <v>1</v>
      </c>
      <c r="D8" s="77" t="s">
        <v>280</v>
      </c>
      <c r="E8" s="76">
        <v>1788.43</v>
      </c>
      <c r="O8" s="11"/>
    </row>
    <row r="9" spans="2:15" x14ac:dyDescent="0.25">
      <c r="B9" s="10"/>
      <c r="C9" s="72" t="b">
        <v>1</v>
      </c>
      <c r="D9" s="77" t="s">
        <v>11</v>
      </c>
      <c r="E9" s="76">
        <v>16921.939999999999</v>
      </c>
      <c r="O9" s="11"/>
    </row>
    <row r="10" spans="2:15" x14ac:dyDescent="0.25">
      <c r="B10" s="10"/>
      <c r="C10" s="72" t="b">
        <v>1</v>
      </c>
      <c r="D10" s="77" t="s">
        <v>154</v>
      </c>
      <c r="E10" s="76">
        <v>260136.47999999992</v>
      </c>
      <c r="O10" s="11"/>
    </row>
    <row r="11" spans="2:15" x14ac:dyDescent="0.25">
      <c r="B11" s="10"/>
      <c r="C11" s="72" t="b">
        <v>1</v>
      </c>
      <c r="D11" s="77" t="s">
        <v>191</v>
      </c>
      <c r="E11" s="76">
        <v>26047.31</v>
      </c>
      <c r="O11" s="11"/>
    </row>
    <row r="12" spans="2:15" x14ac:dyDescent="0.25">
      <c r="B12" s="10"/>
      <c r="C12" s="73" t="b">
        <v>1</v>
      </c>
      <c r="D12" s="77" t="s">
        <v>278</v>
      </c>
      <c r="E12" s="76">
        <v>62005.29</v>
      </c>
      <c r="O12" s="11"/>
    </row>
    <row r="13" spans="2:15" x14ac:dyDescent="0.25">
      <c r="B13" s="10"/>
      <c r="C13" s="74" t="b">
        <v>1</v>
      </c>
      <c r="D13" s="77" t="s">
        <v>161</v>
      </c>
      <c r="E13" s="76">
        <v>137884.96000000002</v>
      </c>
      <c r="O13" s="11"/>
    </row>
    <row r="14" spans="2:15" x14ac:dyDescent="0.25">
      <c r="B14" s="10"/>
      <c r="C14" s="75" t="b">
        <v>1</v>
      </c>
      <c r="D14" s="77" t="s">
        <v>164</v>
      </c>
      <c r="E14" s="76">
        <v>547286.59000000032</v>
      </c>
      <c r="O14" s="11"/>
    </row>
    <row r="15" spans="2:15" ht="18.75" x14ac:dyDescent="0.25">
      <c r="B15" s="10"/>
      <c r="C15" s="80"/>
      <c r="D15" s="80" t="s">
        <v>17</v>
      </c>
      <c r="E15" s="81">
        <v>1084940.7100000002</v>
      </c>
      <c r="O15" s="11"/>
    </row>
    <row r="16" spans="2:15" x14ac:dyDescent="0.25">
      <c r="B16" s="10"/>
      <c r="O16" s="11"/>
    </row>
    <row r="17" spans="2:15" x14ac:dyDescent="0.25">
      <c r="B17" s="10"/>
      <c r="O17" s="11"/>
    </row>
    <row r="18" spans="2:15" ht="9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</row>
  </sheetData>
  <mergeCells count="2">
    <mergeCell ref="B3:O3"/>
    <mergeCell ref="C6:D6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A287-33FF-4B1C-8AC8-82BC05F33790}">
  <dimension ref="B2:N762"/>
  <sheetViews>
    <sheetView showGridLines="0" workbookViewId="0">
      <pane xSplit="4" ySplit="3" topLeftCell="E5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1" width="1.85546875" customWidth="1"/>
    <col min="2" max="2" width="10.42578125" bestFit="1" customWidth="1"/>
    <col min="3" max="3" width="8.42578125" customWidth="1"/>
    <col min="4" max="4" width="12.140625" bestFit="1" customWidth="1"/>
    <col min="5" max="5" width="35" customWidth="1"/>
    <col min="6" max="6" width="21.5703125" customWidth="1"/>
    <col min="7" max="7" width="18.5703125" customWidth="1"/>
    <col min="8" max="8" width="10.85546875" bestFit="1" customWidth="1"/>
    <col min="9" max="9" width="14.28515625" customWidth="1"/>
    <col min="10" max="10" width="13.140625" bestFit="1" customWidth="1"/>
    <col min="11" max="11" width="11.28515625" customWidth="1"/>
    <col min="12" max="12" width="20.28515625" bestFit="1" customWidth="1"/>
    <col min="13" max="13" width="39.85546875" customWidth="1"/>
    <col min="14" max="14" width="16.85546875" bestFit="1" customWidth="1"/>
  </cols>
  <sheetData>
    <row r="2" spans="2:14" ht="21" x14ac:dyDescent="0.25">
      <c r="B2" s="181" t="s">
        <v>1067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</row>
    <row r="3" spans="2:14" x14ac:dyDescent="0.25">
      <c r="B3" s="82" t="s">
        <v>0</v>
      </c>
      <c r="C3" s="82" t="s">
        <v>1</v>
      </c>
      <c r="D3" s="82" t="s">
        <v>2</v>
      </c>
      <c r="E3" s="82" t="s">
        <v>3</v>
      </c>
      <c r="F3" s="82" t="s">
        <v>4</v>
      </c>
      <c r="G3" s="82" t="s">
        <v>5</v>
      </c>
      <c r="H3" s="82" t="s">
        <v>6</v>
      </c>
      <c r="I3" s="82" t="s">
        <v>7</v>
      </c>
      <c r="J3" s="82" t="s">
        <v>8</v>
      </c>
      <c r="K3" s="83" t="s">
        <v>9</v>
      </c>
      <c r="L3" s="82" t="s">
        <v>10</v>
      </c>
      <c r="M3" s="82" t="s">
        <v>12</v>
      </c>
      <c r="N3" s="82" t="s">
        <v>13</v>
      </c>
    </row>
    <row r="4" spans="2:14" x14ac:dyDescent="0.25">
      <c r="B4" s="86">
        <v>46055</v>
      </c>
      <c r="C4" s="87">
        <v>1</v>
      </c>
      <c r="D4" s="87" t="s">
        <v>167</v>
      </c>
      <c r="E4" s="88" t="s">
        <v>168</v>
      </c>
      <c r="F4" s="87" t="s">
        <v>166</v>
      </c>
      <c r="G4" s="87" t="s">
        <v>111</v>
      </c>
      <c r="H4" s="87">
        <v>79</v>
      </c>
      <c r="I4" s="88" t="s">
        <v>169</v>
      </c>
      <c r="J4" s="87">
        <v>269</v>
      </c>
      <c r="K4" s="89">
        <v>786.29</v>
      </c>
      <c r="L4" s="87" t="s">
        <v>316</v>
      </c>
      <c r="M4" s="88" t="str">
        <f>F4&amp;G4&amp;I4</f>
        <v>GRANORTEBEIRA RIOPULMÃOZINHO</v>
      </c>
      <c r="N4" s="90" t="s">
        <v>111</v>
      </c>
    </row>
    <row r="5" spans="2:14" x14ac:dyDescent="0.25">
      <c r="B5" s="91">
        <v>46055</v>
      </c>
      <c r="C5" s="63">
        <v>1</v>
      </c>
      <c r="D5" s="63" t="s">
        <v>176</v>
      </c>
      <c r="E5" s="65" t="s">
        <v>177</v>
      </c>
      <c r="F5" s="63" t="s">
        <v>163</v>
      </c>
      <c r="G5" s="63" t="s">
        <v>164</v>
      </c>
      <c r="H5" s="63">
        <v>52</v>
      </c>
      <c r="I5" s="65" t="s">
        <v>175</v>
      </c>
      <c r="J5" s="63">
        <v>2648</v>
      </c>
      <c r="K5" s="64">
        <v>509.48</v>
      </c>
      <c r="L5" s="63" t="s">
        <v>317</v>
      </c>
      <c r="M5" s="65" t="str">
        <f t="shared" ref="M5:M68" si="0">F5&amp;G5&amp;I5</f>
        <v>BRASIL MINERACAOUA SAO LUISBRITA 0</v>
      </c>
      <c r="N5" s="85" t="s">
        <v>1063</v>
      </c>
    </row>
    <row r="6" spans="2:14" x14ac:dyDescent="0.25">
      <c r="B6" s="91">
        <v>46055</v>
      </c>
      <c r="C6" s="63">
        <v>1</v>
      </c>
      <c r="D6" s="63" t="s">
        <v>188</v>
      </c>
      <c r="E6" s="65" t="s">
        <v>189</v>
      </c>
      <c r="F6" s="63" t="s">
        <v>166</v>
      </c>
      <c r="G6" s="63" t="s">
        <v>164</v>
      </c>
      <c r="H6" s="63">
        <v>58</v>
      </c>
      <c r="I6" s="65" t="s">
        <v>165</v>
      </c>
      <c r="J6" s="63">
        <v>6076</v>
      </c>
      <c r="K6" s="64">
        <v>1303.9100000000001</v>
      </c>
      <c r="L6" s="63" t="s">
        <v>318</v>
      </c>
      <c r="M6" s="65" t="str">
        <f t="shared" si="0"/>
        <v>GRANORTEUA SAO LUISPÓ DE BRITA</v>
      </c>
      <c r="N6" s="85" t="s">
        <v>1063</v>
      </c>
    </row>
    <row r="7" spans="2:14" x14ac:dyDescent="0.25">
      <c r="B7" s="91">
        <v>46055</v>
      </c>
      <c r="C7" s="63">
        <v>1</v>
      </c>
      <c r="D7" s="63" t="s">
        <v>170</v>
      </c>
      <c r="E7" s="65" t="s">
        <v>171</v>
      </c>
      <c r="F7" s="63" t="s">
        <v>166</v>
      </c>
      <c r="G7" s="63" t="s">
        <v>111</v>
      </c>
      <c r="H7" s="63">
        <v>79</v>
      </c>
      <c r="I7" s="65" t="s">
        <v>169</v>
      </c>
      <c r="J7" s="63">
        <v>2596</v>
      </c>
      <c r="K7" s="64">
        <v>758.81</v>
      </c>
      <c r="L7" s="63" t="s">
        <v>319</v>
      </c>
      <c r="M7" s="65" t="str">
        <f t="shared" si="0"/>
        <v>GRANORTEBEIRA RIOPULMÃOZINHO</v>
      </c>
      <c r="N7" s="85" t="s">
        <v>111</v>
      </c>
    </row>
    <row r="8" spans="2:14" x14ac:dyDescent="0.25">
      <c r="B8" s="91">
        <v>46055</v>
      </c>
      <c r="C8" s="63">
        <v>1</v>
      </c>
      <c r="D8" s="63" t="s">
        <v>202</v>
      </c>
      <c r="E8" s="65" t="s">
        <v>214</v>
      </c>
      <c r="F8" s="63" t="s">
        <v>166</v>
      </c>
      <c r="G8" s="63" t="s">
        <v>164</v>
      </c>
      <c r="H8" s="63">
        <v>58</v>
      </c>
      <c r="I8" s="65" t="s">
        <v>165</v>
      </c>
      <c r="J8" s="63">
        <v>7152</v>
      </c>
      <c r="K8" s="64">
        <v>1534.82</v>
      </c>
      <c r="L8" s="63" t="s">
        <v>320</v>
      </c>
      <c r="M8" s="65" t="str">
        <f t="shared" si="0"/>
        <v>GRANORTEUA SAO LUISPÓ DE BRITA</v>
      </c>
      <c r="N8" s="85" t="s">
        <v>1063</v>
      </c>
    </row>
    <row r="9" spans="2:14" x14ac:dyDescent="0.25">
      <c r="B9" s="91">
        <v>46055</v>
      </c>
      <c r="C9" s="63">
        <v>1</v>
      </c>
      <c r="D9" s="63" t="s">
        <v>176</v>
      </c>
      <c r="E9" s="65" t="s">
        <v>177</v>
      </c>
      <c r="F9" s="63" t="s">
        <v>163</v>
      </c>
      <c r="G9" s="63" t="s">
        <v>164</v>
      </c>
      <c r="H9" s="63">
        <v>52</v>
      </c>
      <c r="I9" s="65" t="s">
        <v>175</v>
      </c>
      <c r="J9" s="63">
        <v>2562</v>
      </c>
      <c r="K9" s="64">
        <v>492.93</v>
      </c>
      <c r="L9" s="63" t="s">
        <v>321</v>
      </c>
      <c r="M9" s="65" t="str">
        <f t="shared" si="0"/>
        <v>BRASIL MINERACAOUA SAO LUISBRITA 0</v>
      </c>
      <c r="N9" s="85" t="s">
        <v>1063</v>
      </c>
    </row>
    <row r="10" spans="2:14" x14ac:dyDescent="0.25">
      <c r="B10" s="91">
        <v>46055</v>
      </c>
      <c r="C10" s="63">
        <v>1</v>
      </c>
      <c r="D10" s="63" t="s">
        <v>196</v>
      </c>
      <c r="E10" s="65" t="s">
        <v>197</v>
      </c>
      <c r="F10" s="63" t="s">
        <v>163</v>
      </c>
      <c r="G10" s="63" t="s">
        <v>164</v>
      </c>
      <c r="H10" s="63">
        <v>52</v>
      </c>
      <c r="I10" s="65" t="s">
        <v>165</v>
      </c>
      <c r="J10" s="63">
        <v>4676</v>
      </c>
      <c r="K10" s="64">
        <v>899.66</v>
      </c>
      <c r="L10" s="63" t="s">
        <v>322</v>
      </c>
      <c r="M10" s="65" t="str">
        <f t="shared" si="0"/>
        <v>BRASIL MINERACAOUA SAO LUISPÓ DE BRITA</v>
      </c>
      <c r="N10" s="85" t="s">
        <v>1063</v>
      </c>
    </row>
    <row r="11" spans="2:14" x14ac:dyDescent="0.25">
      <c r="B11" s="91">
        <v>46055</v>
      </c>
      <c r="C11" s="63">
        <v>1</v>
      </c>
      <c r="D11" s="63" t="s">
        <v>181</v>
      </c>
      <c r="E11" s="65" t="s">
        <v>182</v>
      </c>
      <c r="F11" s="63" t="s">
        <v>166</v>
      </c>
      <c r="G11" s="63" t="s">
        <v>111</v>
      </c>
      <c r="H11" s="63">
        <v>79</v>
      </c>
      <c r="I11" s="65" t="s">
        <v>292</v>
      </c>
      <c r="J11" s="63">
        <v>256</v>
      </c>
      <c r="K11" s="64">
        <v>748.29</v>
      </c>
      <c r="L11" s="63" t="s">
        <v>323</v>
      </c>
      <c r="M11" s="65" t="str">
        <f t="shared" si="0"/>
        <v>GRANORTEBEIRA RIOPEDRA PULMÃO</v>
      </c>
      <c r="N11" s="85" t="s">
        <v>111</v>
      </c>
    </row>
    <row r="12" spans="2:14" x14ac:dyDescent="0.25">
      <c r="B12" s="91">
        <v>46055</v>
      </c>
      <c r="C12" s="63">
        <v>1</v>
      </c>
      <c r="D12" s="63" t="s">
        <v>179</v>
      </c>
      <c r="E12" s="65" t="s">
        <v>282</v>
      </c>
      <c r="F12" s="63" t="s">
        <v>166</v>
      </c>
      <c r="G12" s="63" t="s">
        <v>111</v>
      </c>
      <c r="H12" s="63">
        <v>79</v>
      </c>
      <c r="I12" s="65" t="s">
        <v>169</v>
      </c>
      <c r="J12" s="63">
        <v>2688</v>
      </c>
      <c r="K12" s="64">
        <v>785.7</v>
      </c>
      <c r="L12" s="63" t="s">
        <v>324</v>
      </c>
      <c r="M12" s="65" t="str">
        <f t="shared" si="0"/>
        <v>GRANORTEBEIRA RIOPULMÃOZINHO</v>
      </c>
      <c r="N12" s="85" t="s">
        <v>111</v>
      </c>
    </row>
    <row r="13" spans="2:14" x14ac:dyDescent="0.25">
      <c r="B13" s="91">
        <v>46055</v>
      </c>
      <c r="C13" s="63">
        <v>1</v>
      </c>
      <c r="D13" s="63" t="s">
        <v>199</v>
      </c>
      <c r="E13" s="65" t="s">
        <v>180</v>
      </c>
      <c r="F13" s="63" t="s">
        <v>166</v>
      </c>
      <c r="G13" s="63" t="s">
        <v>111</v>
      </c>
      <c r="H13" s="63">
        <v>79</v>
      </c>
      <c r="I13" s="65" t="s">
        <v>292</v>
      </c>
      <c r="J13" s="63">
        <v>2786</v>
      </c>
      <c r="K13" s="64">
        <v>814.35</v>
      </c>
      <c r="L13" s="63" t="s">
        <v>325</v>
      </c>
      <c r="M13" s="65" t="str">
        <f t="shared" si="0"/>
        <v>GRANORTEBEIRA RIOPEDRA PULMÃO</v>
      </c>
      <c r="N13" s="85" t="s">
        <v>111</v>
      </c>
    </row>
    <row r="14" spans="2:14" x14ac:dyDescent="0.25">
      <c r="B14" s="91">
        <v>46055</v>
      </c>
      <c r="C14" s="63">
        <v>1</v>
      </c>
      <c r="D14" s="63" t="s">
        <v>203</v>
      </c>
      <c r="E14" s="65" t="s">
        <v>204</v>
      </c>
      <c r="F14" s="63" t="s">
        <v>166</v>
      </c>
      <c r="G14" s="63" t="s">
        <v>164</v>
      </c>
      <c r="H14" s="63">
        <v>58</v>
      </c>
      <c r="I14" s="65" t="s">
        <v>165</v>
      </c>
      <c r="J14" s="63">
        <v>4652</v>
      </c>
      <c r="K14" s="64">
        <v>998.32</v>
      </c>
      <c r="L14" s="63" t="s">
        <v>326</v>
      </c>
      <c r="M14" s="65" t="str">
        <f t="shared" si="0"/>
        <v>GRANORTEUA SAO LUISPÓ DE BRITA</v>
      </c>
      <c r="N14" s="85" t="s">
        <v>1063</v>
      </c>
    </row>
    <row r="15" spans="2:14" x14ac:dyDescent="0.25">
      <c r="B15" s="91">
        <v>46055</v>
      </c>
      <c r="C15" s="63">
        <v>1</v>
      </c>
      <c r="D15" s="63" t="s">
        <v>192</v>
      </c>
      <c r="E15" s="65" t="s">
        <v>287</v>
      </c>
      <c r="F15" s="63" t="s">
        <v>166</v>
      </c>
      <c r="G15" s="63" t="s">
        <v>164</v>
      </c>
      <c r="H15" s="63">
        <v>58</v>
      </c>
      <c r="I15" s="65" t="s">
        <v>165</v>
      </c>
      <c r="J15" s="63">
        <v>7172</v>
      </c>
      <c r="K15" s="64">
        <v>1539.11</v>
      </c>
      <c r="L15" s="63" t="s">
        <v>327</v>
      </c>
      <c r="M15" s="65" t="str">
        <f t="shared" si="0"/>
        <v>GRANORTEUA SAO LUISPÓ DE BRITA</v>
      </c>
      <c r="N15" s="85" t="s">
        <v>1063</v>
      </c>
    </row>
    <row r="16" spans="2:14" x14ac:dyDescent="0.25">
      <c r="B16" s="91">
        <v>46055</v>
      </c>
      <c r="C16" s="63">
        <v>1</v>
      </c>
      <c r="D16" s="63" t="s">
        <v>283</v>
      </c>
      <c r="E16" s="65" t="s">
        <v>215</v>
      </c>
      <c r="F16" s="63" t="s">
        <v>163</v>
      </c>
      <c r="G16" s="63" t="s">
        <v>164</v>
      </c>
      <c r="H16" s="63">
        <v>52</v>
      </c>
      <c r="I16" s="65" t="s">
        <v>175</v>
      </c>
      <c r="J16" s="63">
        <v>2788</v>
      </c>
      <c r="K16" s="64">
        <v>536.41</v>
      </c>
      <c r="L16" s="63" t="s">
        <v>328</v>
      </c>
      <c r="M16" s="65" t="str">
        <f t="shared" si="0"/>
        <v>BRASIL MINERACAOUA SAO LUISBRITA 0</v>
      </c>
      <c r="N16" s="85" t="s">
        <v>1063</v>
      </c>
    </row>
    <row r="17" spans="2:14" x14ac:dyDescent="0.25">
      <c r="B17" s="91">
        <v>46055</v>
      </c>
      <c r="C17" s="63">
        <v>1</v>
      </c>
      <c r="D17" s="63" t="s">
        <v>283</v>
      </c>
      <c r="E17" s="65" t="s">
        <v>215</v>
      </c>
      <c r="F17" s="63" t="s">
        <v>163</v>
      </c>
      <c r="G17" s="63" t="s">
        <v>164</v>
      </c>
      <c r="H17" s="63">
        <v>52</v>
      </c>
      <c r="I17" s="65" t="s">
        <v>175</v>
      </c>
      <c r="J17" s="63">
        <v>2808</v>
      </c>
      <c r="K17" s="64">
        <v>540.26</v>
      </c>
      <c r="L17" s="63" t="s">
        <v>329</v>
      </c>
      <c r="M17" s="65" t="str">
        <f t="shared" si="0"/>
        <v>BRASIL MINERACAOUA SAO LUISBRITA 0</v>
      </c>
      <c r="N17" s="85" t="s">
        <v>1063</v>
      </c>
    </row>
    <row r="18" spans="2:14" x14ac:dyDescent="0.25">
      <c r="B18" s="91">
        <v>46055</v>
      </c>
      <c r="C18" s="63">
        <v>1</v>
      </c>
      <c r="D18" s="63" t="s">
        <v>283</v>
      </c>
      <c r="E18" s="65" t="s">
        <v>215</v>
      </c>
      <c r="F18" s="63" t="s">
        <v>163</v>
      </c>
      <c r="G18" s="63" t="s">
        <v>164</v>
      </c>
      <c r="H18" s="63">
        <v>52</v>
      </c>
      <c r="I18" s="65" t="s">
        <v>175</v>
      </c>
      <c r="J18" s="63">
        <v>268</v>
      </c>
      <c r="K18" s="64">
        <v>515.63</v>
      </c>
      <c r="L18" s="63" t="s">
        <v>330</v>
      </c>
      <c r="M18" s="65" t="str">
        <f t="shared" si="0"/>
        <v>BRASIL MINERACAOUA SAO LUISBRITA 0</v>
      </c>
      <c r="N18" s="85" t="s">
        <v>1063</v>
      </c>
    </row>
    <row r="19" spans="2:14" x14ac:dyDescent="0.25">
      <c r="B19" s="91">
        <v>46055</v>
      </c>
      <c r="C19" s="63">
        <v>1</v>
      </c>
      <c r="D19" s="63" t="s">
        <v>196</v>
      </c>
      <c r="E19" s="65" t="s">
        <v>197</v>
      </c>
      <c r="F19" s="63" t="s">
        <v>163</v>
      </c>
      <c r="G19" s="63" t="s">
        <v>164</v>
      </c>
      <c r="H19" s="63">
        <v>52</v>
      </c>
      <c r="I19" s="65" t="s">
        <v>165</v>
      </c>
      <c r="J19" s="63">
        <v>4462</v>
      </c>
      <c r="K19" s="64">
        <v>858.49</v>
      </c>
      <c r="L19" s="63" t="s">
        <v>331</v>
      </c>
      <c r="M19" s="65" t="str">
        <f t="shared" si="0"/>
        <v>BRASIL MINERACAOUA SAO LUISPÓ DE BRITA</v>
      </c>
      <c r="N19" s="85" t="s">
        <v>1063</v>
      </c>
    </row>
    <row r="20" spans="2:14" x14ac:dyDescent="0.25">
      <c r="B20" s="91">
        <v>46055</v>
      </c>
      <c r="C20" s="63">
        <v>1</v>
      </c>
      <c r="D20" s="63" t="s">
        <v>202</v>
      </c>
      <c r="E20" s="65" t="s">
        <v>214</v>
      </c>
      <c r="F20" s="63" t="s">
        <v>163</v>
      </c>
      <c r="G20" s="63" t="s">
        <v>164</v>
      </c>
      <c r="H20" s="63">
        <v>52</v>
      </c>
      <c r="I20" s="65" t="s">
        <v>165</v>
      </c>
      <c r="J20" s="63">
        <v>4686</v>
      </c>
      <c r="K20" s="64">
        <v>901.59</v>
      </c>
      <c r="L20" s="63" t="s">
        <v>332</v>
      </c>
      <c r="M20" s="65" t="str">
        <f t="shared" si="0"/>
        <v>BRASIL MINERACAOUA SAO LUISPÓ DE BRITA</v>
      </c>
      <c r="N20" s="85" t="s">
        <v>1063</v>
      </c>
    </row>
    <row r="21" spans="2:14" x14ac:dyDescent="0.25">
      <c r="B21" s="91">
        <v>46055</v>
      </c>
      <c r="C21" s="63">
        <v>1</v>
      </c>
      <c r="D21" s="63" t="s">
        <v>284</v>
      </c>
      <c r="E21" s="65" t="s">
        <v>285</v>
      </c>
      <c r="F21" s="63" t="s">
        <v>166</v>
      </c>
      <c r="G21" s="63" t="s">
        <v>111</v>
      </c>
      <c r="H21" s="63">
        <v>79</v>
      </c>
      <c r="I21" s="65" t="s">
        <v>292</v>
      </c>
      <c r="J21" s="63">
        <v>2618</v>
      </c>
      <c r="K21" s="64">
        <v>765.24</v>
      </c>
      <c r="L21" s="63" t="s">
        <v>333</v>
      </c>
      <c r="M21" s="65" t="str">
        <f t="shared" si="0"/>
        <v>GRANORTEBEIRA RIOPEDRA PULMÃO</v>
      </c>
      <c r="N21" s="85" t="s">
        <v>111</v>
      </c>
    </row>
    <row r="22" spans="2:14" x14ac:dyDescent="0.25">
      <c r="B22" s="91">
        <v>46055</v>
      </c>
      <c r="C22" s="63">
        <v>1</v>
      </c>
      <c r="D22" s="63" t="s">
        <v>162</v>
      </c>
      <c r="E22" s="65" t="s">
        <v>281</v>
      </c>
      <c r="F22" s="63" t="s">
        <v>166</v>
      </c>
      <c r="G22" s="63" t="s">
        <v>164</v>
      </c>
      <c r="H22" s="63">
        <v>58</v>
      </c>
      <c r="I22" s="65" t="s">
        <v>292</v>
      </c>
      <c r="J22" s="63">
        <v>2452</v>
      </c>
      <c r="K22" s="64">
        <v>526.20000000000005</v>
      </c>
      <c r="L22" s="63" t="s">
        <v>334</v>
      </c>
      <c r="M22" s="65" t="str">
        <f t="shared" si="0"/>
        <v>GRANORTEUA SAO LUISPEDRA PULMÃO</v>
      </c>
      <c r="N22" s="85" t="s">
        <v>1063</v>
      </c>
    </row>
    <row r="23" spans="2:14" x14ac:dyDescent="0.25">
      <c r="B23" s="91">
        <v>46055</v>
      </c>
      <c r="C23" s="63">
        <v>1</v>
      </c>
      <c r="D23" s="63" t="s">
        <v>213</v>
      </c>
      <c r="E23" s="65" t="s">
        <v>178</v>
      </c>
      <c r="F23" s="63" t="s">
        <v>166</v>
      </c>
      <c r="G23" s="63" t="s">
        <v>164</v>
      </c>
      <c r="H23" s="63">
        <v>58</v>
      </c>
      <c r="I23" s="65" t="s">
        <v>165</v>
      </c>
      <c r="J23" s="63">
        <v>2698</v>
      </c>
      <c r="K23" s="64">
        <v>578.99</v>
      </c>
      <c r="L23" s="63" t="s">
        <v>335</v>
      </c>
      <c r="M23" s="65" t="str">
        <f t="shared" si="0"/>
        <v>GRANORTEUA SAO LUISPÓ DE BRITA</v>
      </c>
      <c r="N23" s="85" t="s">
        <v>1063</v>
      </c>
    </row>
    <row r="24" spans="2:14" x14ac:dyDescent="0.25">
      <c r="B24" s="91">
        <v>46055</v>
      </c>
      <c r="C24" s="63">
        <v>1</v>
      </c>
      <c r="D24" s="63" t="s">
        <v>192</v>
      </c>
      <c r="E24" s="65" t="s">
        <v>287</v>
      </c>
      <c r="F24" s="63" t="s">
        <v>166</v>
      </c>
      <c r="G24" s="63" t="s">
        <v>164</v>
      </c>
      <c r="H24" s="63">
        <v>58</v>
      </c>
      <c r="I24" s="65" t="s">
        <v>165</v>
      </c>
      <c r="J24" s="63">
        <v>5978</v>
      </c>
      <c r="K24" s="64">
        <v>1282.8800000000001</v>
      </c>
      <c r="L24" s="63" t="s">
        <v>336</v>
      </c>
      <c r="M24" s="65" t="str">
        <f t="shared" si="0"/>
        <v>GRANORTEUA SAO LUISPÓ DE BRITA</v>
      </c>
      <c r="N24" s="85" t="s">
        <v>1063</v>
      </c>
    </row>
    <row r="25" spans="2:14" x14ac:dyDescent="0.25">
      <c r="B25" s="91">
        <v>46055</v>
      </c>
      <c r="C25" s="63">
        <v>1</v>
      </c>
      <c r="D25" s="63" t="s">
        <v>210</v>
      </c>
      <c r="E25" s="65" t="s">
        <v>211</v>
      </c>
      <c r="F25" s="63" t="s">
        <v>163</v>
      </c>
      <c r="G25" s="63" t="s">
        <v>164</v>
      </c>
      <c r="H25" s="63">
        <v>52</v>
      </c>
      <c r="I25" s="65" t="s">
        <v>165</v>
      </c>
      <c r="J25" s="63">
        <v>4842</v>
      </c>
      <c r="K25" s="64">
        <v>931.6</v>
      </c>
      <c r="L25" s="63" t="s">
        <v>337</v>
      </c>
      <c r="M25" s="65" t="str">
        <f t="shared" si="0"/>
        <v>BRASIL MINERACAOUA SAO LUISPÓ DE BRITA</v>
      </c>
      <c r="N25" s="85" t="s">
        <v>1063</v>
      </c>
    </row>
    <row r="26" spans="2:14" x14ac:dyDescent="0.25">
      <c r="B26" s="91">
        <v>46055</v>
      </c>
      <c r="C26" s="63">
        <v>1</v>
      </c>
      <c r="D26" s="63" t="s">
        <v>186</v>
      </c>
      <c r="E26" s="65" t="s">
        <v>187</v>
      </c>
      <c r="F26" s="63" t="s">
        <v>166</v>
      </c>
      <c r="G26" s="63" t="s">
        <v>164</v>
      </c>
      <c r="H26" s="63">
        <v>58</v>
      </c>
      <c r="I26" s="65" t="s">
        <v>165</v>
      </c>
      <c r="J26" s="63">
        <v>4898</v>
      </c>
      <c r="K26" s="64">
        <v>1051.1099999999999</v>
      </c>
      <c r="L26" s="63" t="s">
        <v>338</v>
      </c>
      <c r="M26" s="65" t="str">
        <f t="shared" si="0"/>
        <v>GRANORTEUA SAO LUISPÓ DE BRITA</v>
      </c>
      <c r="N26" s="85" t="s">
        <v>1063</v>
      </c>
    </row>
    <row r="27" spans="2:14" x14ac:dyDescent="0.25">
      <c r="B27" s="91">
        <v>46055</v>
      </c>
      <c r="C27" s="63">
        <v>1</v>
      </c>
      <c r="D27" s="63" t="s">
        <v>270</v>
      </c>
      <c r="E27" s="65" t="s">
        <v>288</v>
      </c>
      <c r="F27" s="63" t="s">
        <v>166</v>
      </c>
      <c r="G27" s="63" t="s">
        <v>164</v>
      </c>
      <c r="H27" s="63">
        <v>58</v>
      </c>
      <c r="I27" s="65" t="s">
        <v>165</v>
      </c>
      <c r="J27" s="63">
        <v>4538</v>
      </c>
      <c r="K27" s="64">
        <v>973.85</v>
      </c>
      <c r="L27" s="63" t="s">
        <v>339</v>
      </c>
      <c r="M27" s="65" t="str">
        <f t="shared" si="0"/>
        <v>GRANORTEUA SAO LUISPÓ DE BRITA</v>
      </c>
      <c r="N27" s="85" t="s">
        <v>1063</v>
      </c>
    </row>
    <row r="28" spans="2:14" x14ac:dyDescent="0.25">
      <c r="B28" s="91">
        <v>46055</v>
      </c>
      <c r="C28" s="63">
        <v>1</v>
      </c>
      <c r="D28" s="63" t="s">
        <v>200</v>
      </c>
      <c r="E28" s="65" t="s">
        <v>201</v>
      </c>
      <c r="F28" s="63" t="s">
        <v>163</v>
      </c>
      <c r="G28" s="63" t="s">
        <v>164</v>
      </c>
      <c r="H28" s="63">
        <v>52</v>
      </c>
      <c r="I28" s="65" t="s">
        <v>165</v>
      </c>
      <c r="J28" s="63">
        <v>2426</v>
      </c>
      <c r="K28" s="64">
        <v>466.76</v>
      </c>
      <c r="L28" s="63" t="s">
        <v>340</v>
      </c>
      <c r="M28" s="65" t="str">
        <f t="shared" si="0"/>
        <v>BRASIL MINERACAOUA SAO LUISPÓ DE BRITA</v>
      </c>
      <c r="N28" s="85" t="s">
        <v>1063</v>
      </c>
    </row>
    <row r="29" spans="2:14" x14ac:dyDescent="0.25">
      <c r="B29" s="91">
        <v>46055</v>
      </c>
      <c r="C29" s="63">
        <v>1</v>
      </c>
      <c r="D29" s="63" t="s">
        <v>200</v>
      </c>
      <c r="E29" s="65" t="s">
        <v>201</v>
      </c>
      <c r="F29" s="63" t="s">
        <v>163</v>
      </c>
      <c r="G29" s="63" t="s">
        <v>164</v>
      </c>
      <c r="H29" s="63">
        <v>52</v>
      </c>
      <c r="I29" s="65" t="s">
        <v>165</v>
      </c>
      <c r="J29" s="63">
        <v>251</v>
      </c>
      <c r="K29" s="64">
        <v>482.92</v>
      </c>
      <c r="L29" s="63" t="s">
        <v>341</v>
      </c>
      <c r="M29" s="65" t="str">
        <f t="shared" si="0"/>
        <v>BRASIL MINERACAOUA SAO LUISPÓ DE BRITA</v>
      </c>
      <c r="N29" s="85" t="s">
        <v>1063</v>
      </c>
    </row>
    <row r="30" spans="2:14" x14ac:dyDescent="0.25">
      <c r="B30" s="91">
        <v>46055</v>
      </c>
      <c r="C30" s="63">
        <v>1</v>
      </c>
      <c r="D30" s="63" t="s">
        <v>342</v>
      </c>
      <c r="E30" s="65" t="s">
        <v>343</v>
      </c>
      <c r="F30" s="63" t="s">
        <v>163</v>
      </c>
      <c r="G30" s="63" t="s">
        <v>164</v>
      </c>
      <c r="H30" s="63">
        <v>52</v>
      </c>
      <c r="I30" s="65" t="s">
        <v>165</v>
      </c>
      <c r="J30" s="63">
        <v>451</v>
      </c>
      <c r="K30" s="64">
        <v>867.72</v>
      </c>
      <c r="L30" s="63" t="s">
        <v>344</v>
      </c>
      <c r="M30" s="65" t="str">
        <f t="shared" si="0"/>
        <v>BRASIL MINERACAOUA SAO LUISPÓ DE BRITA</v>
      </c>
      <c r="N30" s="85" t="s">
        <v>1063</v>
      </c>
    </row>
    <row r="31" spans="2:14" x14ac:dyDescent="0.25">
      <c r="B31" s="91">
        <v>46055</v>
      </c>
      <c r="C31" s="63">
        <v>2</v>
      </c>
      <c r="D31" s="63" t="s">
        <v>302</v>
      </c>
      <c r="E31" s="65" t="s">
        <v>303</v>
      </c>
      <c r="F31" s="63" t="s">
        <v>304</v>
      </c>
      <c r="G31" s="63" t="s">
        <v>278</v>
      </c>
      <c r="H31" s="63">
        <v>88</v>
      </c>
      <c r="I31" s="65" t="s">
        <v>165</v>
      </c>
      <c r="J31" s="63">
        <v>1836</v>
      </c>
      <c r="K31" s="64">
        <v>597.79999999999995</v>
      </c>
      <c r="L31" s="63" t="s">
        <v>991</v>
      </c>
      <c r="M31" s="65" t="str">
        <f t="shared" si="0"/>
        <v>VILA QUIXABATUCUMA DUEREPÓ DE BRITA</v>
      </c>
      <c r="N31" s="85" t="s">
        <v>1066</v>
      </c>
    </row>
    <row r="32" spans="2:14" x14ac:dyDescent="0.25">
      <c r="B32" s="91">
        <v>46056</v>
      </c>
      <c r="C32" s="63">
        <v>1</v>
      </c>
      <c r="D32" s="63" t="s">
        <v>176</v>
      </c>
      <c r="E32" s="65" t="s">
        <v>177</v>
      </c>
      <c r="F32" s="63" t="s">
        <v>163</v>
      </c>
      <c r="G32" s="63" t="s">
        <v>164</v>
      </c>
      <c r="H32" s="63">
        <v>52</v>
      </c>
      <c r="I32" s="65" t="s">
        <v>175</v>
      </c>
      <c r="J32" s="63">
        <v>2526</v>
      </c>
      <c r="K32" s="64">
        <v>486</v>
      </c>
      <c r="L32" s="63" t="s">
        <v>345</v>
      </c>
      <c r="M32" s="65" t="str">
        <f t="shared" si="0"/>
        <v>BRASIL MINERACAOUA SAO LUISBRITA 0</v>
      </c>
      <c r="N32" s="85" t="s">
        <v>1063</v>
      </c>
    </row>
    <row r="33" spans="2:14" x14ac:dyDescent="0.25">
      <c r="B33" s="91">
        <v>46056</v>
      </c>
      <c r="C33" s="63">
        <v>1</v>
      </c>
      <c r="D33" s="63" t="s">
        <v>188</v>
      </c>
      <c r="E33" s="65" t="s">
        <v>189</v>
      </c>
      <c r="F33" s="63" t="s">
        <v>166</v>
      </c>
      <c r="G33" s="63" t="s">
        <v>164</v>
      </c>
      <c r="H33" s="63">
        <v>58</v>
      </c>
      <c r="I33" s="65" t="s">
        <v>165</v>
      </c>
      <c r="J33" s="63">
        <v>7462</v>
      </c>
      <c r="K33" s="64">
        <v>1601.35</v>
      </c>
      <c r="L33" s="63" t="s">
        <v>346</v>
      </c>
      <c r="M33" s="65" t="str">
        <f t="shared" si="0"/>
        <v>GRANORTEUA SAO LUISPÓ DE BRITA</v>
      </c>
      <c r="N33" s="85" t="s">
        <v>1063</v>
      </c>
    </row>
    <row r="34" spans="2:14" x14ac:dyDescent="0.25">
      <c r="B34" s="91">
        <v>46056</v>
      </c>
      <c r="C34" s="63">
        <v>1</v>
      </c>
      <c r="D34" s="63" t="s">
        <v>179</v>
      </c>
      <c r="E34" s="65" t="s">
        <v>282</v>
      </c>
      <c r="F34" s="63" t="s">
        <v>166</v>
      </c>
      <c r="G34" s="63" t="s">
        <v>111</v>
      </c>
      <c r="H34" s="63">
        <v>79</v>
      </c>
      <c r="I34" s="65" t="s">
        <v>185</v>
      </c>
      <c r="J34" s="63">
        <v>2588</v>
      </c>
      <c r="K34" s="64">
        <v>756.47</v>
      </c>
      <c r="L34" s="63" t="s">
        <v>347</v>
      </c>
      <c r="M34" s="65" t="str">
        <f t="shared" si="0"/>
        <v>GRANORTEBEIRA RIORACHÃOZINHO</v>
      </c>
      <c r="N34" s="85" t="s">
        <v>111</v>
      </c>
    </row>
    <row r="35" spans="2:14" x14ac:dyDescent="0.25">
      <c r="B35" s="91">
        <v>46056</v>
      </c>
      <c r="C35" s="63">
        <v>1</v>
      </c>
      <c r="D35" s="63" t="s">
        <v>176</v>
      </c>
      <c r="E35" s="65" t="s">
        <v>177</v>
      </c>
      <c r="F35" s="63" t="s">
        <v>163</v>
      </c>
      <c r="G35" s="63" t="s">
        <v>164</v>
      </c>
      <c r="H35" s="63">
        <v>52</v>
      </c>
      <c r="I35" s="65" t="s">
        <v>165</v>
      </c>
      <c r="J35" s="63">
        <v>2508</v>
      </c>
      <c r="K35" s="64">
        <v>482.54</v>
      </c>
      <c r="L35" s="63" t="s">
        <v>348</v>
      </c>
      <c r="M35" s="65" t="str">
        <f t="shared" si="0"/>
        <v>BRASIL MINERACAOUA SAO LUISPÓ DE BRITA</v>
      </c>
      <c r="N35" s="85" t="s">
        <v>1063</v>
      </c>
    </row>
    <row r="36" spans="2:14" x14ac:dyDescent="0.25">
      <c r="B36" s="91">
        <v>46056</v>
      </c>
      <c r="C36" s="63">
        <v>1</v>
      </c>
      <c r="D36" s="63" t="s">
        <v>196</v>
      </c>
      <c r="E36" s="65" t="s">
        <v>197</v>
      </c>
      <c r="F36" s="63" t="s">
        <v>163</v>
      </c>
      <c r="G36" s="63" t="s">
        <v>164</v>
      </c>
      <c r="H36" s="63">
        <v>52</v>
      </c>
      <c r="I36" s="65" t="s">
        <v>165</v>
      </c>
      <c r="J36" s="63">
        <v>6906</v>
      </c>
      <c r="K36" s="64">
        <v>1328.71</v>
      </c>
      <c r="L36" s="63" t="s">
        <v>349</v>
      </c>
      <c r="M36" s="65" t="str">
        <f t="shared" si="0"/>
        <v>BRASIL MINERACAOUA SAO LUISPÓ DE BRITA</v>
      </c>
      <c r="N36" s="85" t="s">
        <v>1063</v>
      </c>
    </row>
    <row r="37" spans="2:14" x14ac:dyDescent="0.25">
      <c r="B37" s="91">
        <v>46056</v>
      </c>
      <c r="C37" s="63">
        <v>1</v>
      </c>
      <c r="D37" s="63" t="s">
        <v>202</v>
      </c>
      <c r="E37" s="65" t="s">
        <v>214</v>
      </c>
      <c r="F37" s="63" t="s">
        <v>163</v>
      </c>
      <c r="G37" s="63" t="s">
        <v>164</v>
      </c>
      <c r="H37" s="63">
        <v>52</v>
      </c>
      <c r="I37" s="65" t="s">
        <v>165</v>
      </c>
      <c r="J37" s="63">
        <v>4708</v>
      </c>
      <c r="K37" s="64">
        <v>905.82</v>
      </c>
      <c r="L37" s="63" t="s">
        <v>350</v>
      </c>
      <c r="M37" s="65" t="str">
        <f t="shared" si="0"/>
        <v>BRASIL MINERACAOUA SAO LUISPÓ DE BRITA</v>
      </c>
      <c r="N37" s="85" t="s">
        <v>1063</v>
      </c>
    </row>
    <row r="38" spans="2:14" x14ac:dyDescent="0.25">
      <c r="B38" s="91">
        <v>46056</v>
      </c>
      <c r="C38" s="63">
        <v>1</v>
      </c>
      <c r="D38" s="63" t="s">
        <v>188</v>
      </c>
      <c r="E38" s="65" t="s">
        <v>189</v>
      </c>
      <c r="F38" s="63" t="s">
        <v>166</v>
      </c>
      <c r="G38" s="63" t="s">
        <v>164</v>
      </c>
      <c r="H38" s="63">
        <v>58</v>
      </c>
      <c r="I38" s="65" t="s">
        <v>165</v>
      </c>
      <c r="J38" s="63">
        <v>4806</v>
      </c>
      <c r="K38" s="64">
        <v>1031.3699999999999</v>
      </c>
      <c r="L38" s="63" t="s">
        <v>351</v>
      </c>
      <c r="M38" s="65" t="str">
        <f t="shared" si="0"/>
        <v>GRANORTEUA SAO LUISPÓ DE BRITA</v>
      </c>
      <c r="N38" s="85" t="s">
        <v>1063</v>
      </c>
    </row>
    <row r="39" spans="2:14" x14ac:dyDescent="0.25">
      <c r="B39" s="91">
        <v>46056</v>
      </c>
      <c r="C39" s="63">
        <v>1</v>
      </c>
      <c r="D39" s="63" t="s">
        <v>213</v>
      </c>
      <c r="E39" s="65" t="s">
        <v>178</v>
      </c>
      <c r="F39" s="63" t="s">
        <v>163</v>
      </c>
      <c r="G39" s="63" t="s">
        <v>164</v>
      </c>
      <c r="H39" s="63">
        <v>52</v>
      </c>
      <c r="I39" s="65" t="s">
        <v>165</v>
      </c>
      <c r="J39" s="63">
        <v>2572</v>
      </c>
      <c r="K39" s="64">
        <v>494.85</v>
      </c>
      <c r="L39" s="63" t="s">
        <v>352</v>
      </c>
      <c r="M39" s="65" t="str">
        <f t="shared" si="0"/>
        <v>BRASIL MINERACAOUA SAO LUISPÓ DE BRITA</v>
      </c>
      <c r="N39" s="85" t="s">
        <v>1063</v>
      </c>
    </row>
    <row r="40" spans="2:14" x14ac:dyDescent="0.25">
      <c r="B40" s="91">
        <v>46056</v>
      </c>
      <c r="C40" s="63">
        <v>1</v>
      </c>
      <c r="D40" s="63" t="s">
        <v>219</v>
      </c>
      <c r="E40" s="65" t="s">
        <v>220</v>
      </c>
      <c r="F40" s="63" t="s">
        <v>163</v>
      </c>
      <c r="G40" s="63" t="s">
        <v>164</v>
      </c>
      <c r="H40" s="63">
        <v>52</v>
      </c>
      <c r="I40" s="65" t="s">
        <v>165</v>
      </c>
      <c r="J40" s="63">
        <v>418</v>
      </c>
      <c r="K40" s="64">
        <v>804.23</v>
      </c>
      <c r="L40" s="63" t="s">
        <v>353</v>
      </c>
      <c r="M40" s="65" t="str">
        <f t="shared" si="0"/>
        <v>BRASIL MINERACAOUA SAO LUISPÓ DE BRITA</v>
      </c>
      <c r="N40" s="85" t="s">
        <v>1063</v>
      </c>
    </row>
    <row r="41" spans="2:14" x14ac:dyDescent="0.25">
      <c r="B41" s="91">
        <v>46056</v>
      </c>
      <c r="C41" s="63">
        <v>1</v>
      </c>
      <c r="D41" s="63" t="s">
        <v>219</v>
      </c>
      <c r="E41" s="65" t="s">
        <v>220</v>
      </c>
      <c r="F41" s="63" t="s">
        <v>163</v>
      </c>
      <c r="G41" s="63" t="s">
        <v>164</v>
      </c>
      <c r="H41" s="63">
        <v>52</v>
      </c>
      <c r="I41" s="65" t="s">
        <v>165</v>
      </c>
      <c r="J41" s="63">
        <v>414</v>
      </c>
      <c r="K41" s="64">
        <v>796.54</v>
      </c>
      <c r="L41" s="63" t="s">
        <v>354</v>
      </c>
      <c r="M41" s="65" t="str">
        <f t="shared" si="0"/>
        <v>BRASIL MINERACAOUA SAO LUISPÓ DE BRITA</v>
      </c>
      <c r="N41" s="85" t="s">
        <v>1063</v>
      </c>
    </row>
    <row r="42" spans="2:14" x14ac:dyDescent="0.25">
      <c r="B42" s="91">
        <v>46056</v>
      </c>
      <c r="C42" s="63">
        <v>1</v>
      </c>
      <c r="D42" s="63" t="s">
        <v>219</v>
      </c>
      <c r="E42" s="65" t="s">
        <v>220</v>
      </c>
      <c r="F42" s="63" t="s">
        <v>163</v>
      </c>
      <c r="G42" s="63" t="s">
        <v>164</v>
      </c>
      <c r="H42" s="63">
        <v>52</v>
      </c>
      <c r="I42" s="65" t="s">
        <v>165</v>
      </c>
      <c r="J42" s="63">
        <v>779</v>
      </c>
      <c r="K42" s="64">
        <v>1498.8</v>
      </c>
      <c r="L42" s="63" t="s">
        <v>355</v>
      </c>
      <c r="M42" s="65" t="str">
        <f t="shared" si="0"/>
        <v>BRASIL MINERACAOUA SAO LUISPÓ DE BRITA</v>
      </c>
      <c r="N42" s="85" t="s">
        <v>1063</v>
      </c>
    </row>
    <row r="43" spans="2:14" x14ac:dyDescent="0.25">
      <c r="B43" s="91">
        <v>46056</v>
      </c>
      <c r="C43" s="63">
        <v>1</v>
      </c>
      <c r="D43" s="63" t="s">
        <v>199</v>
      </c>
      <c r="E43" s="65" t="s">
        <v>180</v>
      </c>
      <c r="F43" s="63" t="s">
        <v>163</v>
      </c>
      <c r="G43" s="63" t="s">
        <v>356</v>
      </c>
      <c r="H43" s="63">
        <v>79</v>
      </c>
      <c r="I43" s="65" t="s">
        <v>185</v>
      </c>
      <c r="J43" s="63">
        <v>2696</v>
      </c>
      <c r="K43" s="64">
        <v>788.04</v>
      </c>
      <c r="L43" s="63" t="s">
        <v>357</v>
      </c>
      <c r="M43" s="65" t="str">
        <f t="shared" si="0"/>
        <v>BRASIL MINERACAORAPOSARACHÃOZINHO</v>
      </c>
      <c r="N43" s="85" t="s">
        <v>11</v>
      </c>
    </row>
    <row r="44" spans="2:14" x14ac:dyDescent="0.25">
      <c r="B44" s="91">
        <v>46056</v>
      </c>
      <c r="C44" s="63">
        <v>1</v>
      </c>
      <c r="D44" s="63" t="s">
        <v>196</v>
      </c>
      <c r="E44" s="65" t="s">
        <v>197</v>
      </c>
      <c r="F44" s="63" t="s">
        <v>163</v>
      </c>
      <c r="G44" s="63" t="s">
        <v>164</v>
      </c>
      <c r="H44" s="63">
        <v>52</v>
      </c>
      <c r="I44" s="65" t="s">
        <v>165</v>
      </c>
      <c r="J44" s="63">
        <v>4632</v>
      </c>
      <c r="K44" s="64">
        <v>891.2</v>
      </c>
      <c r="L44" s="63" t="s">
        <v>358</v>
      </c>
      <c r="M44" s="65" t="str">
        <f t="shared" si="0"/>
        <v>BRASIL MINERACAOUA SAO LUISPÓ DE BRITA</v>
      </c>
      <c r="N44" s="85" t="s">
        <v>1063</v>
      </c>
    </row>
    <row r="45" spans="2:14" x14ac:dyDescent="0.25">
      <c r="B45" s="91">
        <v>46056</v>
      </c>
      <c r="C45" s="63">
        <v>1</v>
      </c>
      <c r="D45" s="63" t="s">
        <v>188</v>
      </c>
      <c r="E45" s="65" t="s">
        <v>189</v>
      </c>
      <c r="F45" s="63" t="s">
        <v>166</v>
      </c>
      <c r="G45" s="63" t="s">
        <v>164</v>
      </c>
      <c r="H45" s="63">
        <v>58</v>
      </c>
      <c r="I45" s="65" t="s">
        <v>165</v>
      </c>
      <c r="J45" s="63">
        <v>4674</v>
      </c>
      <c r="K45" s="64">
        <v>1003.04</v>
      </c>
      <c r="L45" s="63" t="s">
        <v>359</v>
      </c>
      <c r="M45" s="65" t="str">
        <f t="shared" si="0"/>
        <v>GRANORTEUA SAO LUISPÓ DE BRITA</v>
      </c>
      <c r="N45" s="85" t="s">
        <v>1063</v>
      </c>
    </row>
    <row r="46" spans="2:14" x14ac:dyDescent="0.25">
      <c r="B46" s="91">
        <v>46056</v>
      </c>
      <c r="C46" s="63">
        <v>1</v>
      </c>
      <c r="D46" s="63" t="s">
        <v>202</v>
      </c>
      <c r="E46" s="65" t="s">
        <v>214</v>
      </c>
      <c r="F46" s="63" t="s">
        <v>163</v>
      </c>
      <c r="G46" s="63" t="s">
        <v>164</v>
      </c>
      <c r="H46" s="63">
        <v>52</v>
      </c>
      <c r="I46" s="65" t="s">
        <v>165</v>
      </c>
      <c r="J46" s="63">
        <v>470</v>
      </c>
      <c r="K46" s="64">
        <v>904.28</v>
      </c>
      <c r="L46" s="63" t="s">
        <v>360</v>
      </c>
      <c r="M46" s="65" t="str">
        <f t="shared" si="0"/>
        <v>BRASIL MINERACAOUA SAO LUISPÓ DE BRITA</v>
      </c>
      <c r="N46" s="85" t="s">
        <v>1063</v>
      </c>
    </row>
    <row r="47" spans="2:14" x14ac:dyDescent="0.25">
      <c r="B47" s="91">
        <v>46056</v>
      </c>
      <c r="C47" s="63">
        <v>1</v>
      </c>
      <c r="D47" s="63" t="s">
        <v>162</v>
      </c>
      <c r="E47" s="65" t="s">
        <v>281</v>
      </c>
      <c r="F47" s="63" t="s">
        <v>163</v>
      </c>
      <c r="G47" s="63" t="s">
        <v>164</v>
      </c>
      <c r="H47" s="63">
        <v>52</v>
      </c>
      <c r="I47" s="65" t="s">
        <v>185</v>
      </c>
      <c r="J47" s="63">
        <v>2696</v>
      </c>
      <c r="K47" s="64">
        <v>518.71</v>
      </c>
      <c r="L47" s="63" t="s">
        <v>361</v>
      </c>
      <c r="M47" s="65" t="str">
        <f t="shared" si="0"/>
        <v>BRASIL MINERACAOUA SAO LUISRACHÃOZINHO</v>
      </c>
      <c r="N47" s="85" t="s">
        <v>1063</v>
      </c>
    </row>
    <row r="48" spans="2:14" x14ac:dyDescent="0.25">
      <c r="B48" s="91">
        <v>46056</v>
      </c>
      <c r="C48" s="63">
        <v>1</v>
      </c>
      <c r="D48" s="63" t="s">
        <v>186</v>
      </c>
      <c r="E48" s="65" t="s">
        <v>187</v>
      </c>
      <c r="F48" s="63" t="s">
        <v>166</v>
      </c>
      <c r="G48" s="63" t="s">
        <v>164</v>
      </c>
      <c r="H48" s="63">
        <v>58</v>
      </c>
      <c r="I48" s="65" t="s">
        <v>165</v>
      </c>
      <c r="J48" s="63">
        <v>4902</v>
      </c>
      <c r="K48" s="64">
        <v>1051.97</v>
      </c>
      <c r="L48" s="63" t="s">
        <v>362</v>
      </c>
      <c r="M48" s="65" t="str">
        <f t="shared" si="0"/>
        <v>GRANORTEUA SAO LUISPÓ DE BRITA</v>
      </c>
      <c r="N48" s="85" t="s">
        <v>1063</v>
      </c>
    </row>
    <row r="49" spans="2:14" x14ac:dyDescent="0.25">
      <c r="B49" s="91">
        <v>46056</v>
      </c>
      <c r="C49" s="63">
        <v>1</v>
      </c>
      <c r="D49" s="63" t="s">
        <v>186</v>
      </c>
      <c r="E49" s="65" t="s">
        <v>187</v>
      </c>
      <c r="F49" s="63" t="s">
        <v>163</v>
      </c>
      <c r="G49" s="63" t="s">
        <v>164</v>
      </c>
      <c r="H49" s="63">
        <v>52</v>
      </c>
      <c r="I49" s="65" t="s">
        <v>165</v>
      </c>
      <c r="J49" s="63">
        <v>506</v>
      </c>
      <c r="K49" s="64">
        <v>973.54</v>
      </c>
      <c r="L49" s="63" t="s">
        <v>363</v>
      </c>
      <c r="M49" s="65" t="str">
        <f t="shared" si="0"/>
        <v>BRASIL MINERACAOUA SAO LUISPÓ DE BRITA</v>
      </c>
      <c r="N49" s="85" t="s">
        <v>1063</v>
      </c>
    </row>
    <row r="50" spans="2:14" x14ac:dyDescent="0.25">
      <c r="B50" s="91">
        <v>46056</v>
      </c>
      <c r="C50" s="63">
        <v>1</v>
      </c>
      <c r="D50" s="63" t="s">
        <v>284</v>
      </c>
      <c r="E50" s="65" t="s">
        <v>285</v>
      </c>
      <c r="F50" s="63" t="s">
        <v>163</v>
      </c>
      <c r="G50" s="63" t="s">
        <v>364</v>
      </c>
      <c r="H50" s="63">
        <v>75</v>
      </c>
      <c r="I50" s="65" t="s">
        <v>185</v>
      </c>
      <c r="J50" s="63">
        <v>245</v>
      </c>
      <c r="K50" s="64">
        <v>679.88</v>
      </c>
      <c r="L50" s="63" t="s">
        <v>365</v>
      </c>
      <c r="M50" s="65" t="str">
        <f t="shared" si="0"/>
        <v>BRASIL MINERACAOARACAGY - SAO LUISRACHÃOZINHO</v>
      </c>
      <c r="N50" s="85" t="s">
        <v>11</v>
      </c>
    </row>
    <row r="51" spans="2:14" x14ac:dyDescent="0.25">
      <c r="B51" s="91">
        <v>46056</v>
      </c>
      <c r="C51" s="63">
        <v>1</v>
      </c>
      <c r="D51" s="63" t="s">
        <v>283</v>
      </c>
      <c r="E51" s="65" t="s">
        <v>215</v>
      </c>
      <c r="F51" s="63" t="s">
        <v>163</v>
      </c>
      <c r="G51" s="63" t="s">
        <v>164</v>
      </c>
      <c r="H51" s="63">
        <v>52</v>
      </c>
      <c r="I51" s="65" t="s">
        <v>175</v>
      </c>
      <c r="J51" s="63">
        <v>2654</v>
      </c>
      <c r="K51" s="64">
        <v>510.63</v>
      </c>
      <c r="L51" s="63" t="s">
        <v>366</v>
      </c>
      <c r="M51" s="65" t="str">
        <f t="shared" si="0"/>
        <v>BRASIL MINERACAOUA SAO LUISBRITA 0</v>
      </c>
      <c r="N51" s="85" t="s">
        <v>1063</v>
      </c>
    </row>
    <row r="52" spans="2:14" x14ac:dyDescent="0.25">
      <c r="B52" s="91">
        <v>46056</v>
      </c>
      <c r="C52" s="63">
        <v>1</v>
      </c>
      <c r="D52" s="63" t="s">
        <v>188</v>
      </c>
      <c r="E52" s="65" t="s">
        <v>189</v>
      </c>
      <c r="F52" s="63" t="s">
        <v>163</v>
      </c>
      <c r="G52" s="63" t="s">
        <v>164</v>
      </c>
      <c r="H52" s="63">
        <v>52</v>
      </c>
      <c r="I52" s="65" t="s">
        <v>175</v>
      </c>
      <c r="J52" s="63">
        <v>7054</v>
      </c>
      <c r="K52" s="64">
        <v>1357.19</v>
      </c>
      <c r="L52" s="63" t="s">
        <v>367</v>
      </c>
      <c r="M52" s="65" t="str">
        <f t="shared" si="0"/>
        <v>BRASIL MINERACAOUA SAO LUISBRITA 0</v>
      </c>
      <c r="N52" s="85" t="s">
        <v>1063</v>
      </c>
    </row>
    <row r="53" spans="2:14" x14ac:dyDescent="0.25">
      <c r="B53" s="91">
        <v>46056</v>
      </c>
      <c r="C53" s="63">
        <v>1</v>
      </c>
      <c r="D53" s="63" t="s">
        <v>192</v>
      </c>
      <c r="E53" s="65" t="s">
        <v>287</v>
      </c>
      <c r="F53" s="63" t="s">
        <v>163</v>
      </c>
      <c r="G53" s="63" t="s">
        <v>164</v>
      </c>
      <c r="H53" s="63">
        <v>52</v>
      </c>
      <c r="I53" s="65" t="s">
        <v>165</v>
      </c>
      <c r="J53" s="63">
        <v>473</v>
      </c>
      <c r="K53" s="64">
        <v>910.05</v>
      </c>
      <c r="L53" s="63" t="s">
        <v>368</v>
      </c>
      <c r="M53" s="65" t="str">
        <f t="shared" si="0"/>
        <v>BRASIL MINERACAOUA SAO LUISPÓ DE BRITA</v>
      </c>
      <c r="N53" s="85" t="s">
        <v>1063</v>
      </c>
    </row>
    <row r="54" spans="2:14" x14ac:dyDescent="0.25">
      <c r="B54" s="91">
        <v>46056</v>
      </c>
      <c r="C54" s="63">
        <v>1</v>
      </c>
      <c r="D54" s="63" t="s">
        <v>192</v>
      </c>
      <c r="E54" s="65" t="s">
        <v>287</v>
      </c>
      <c r="F54" s="63" t="s">
        <v>163</v>
      </c>
      <c r="G54" s="63" t="s">
        <v>164</v>
      </c>
      <c r="H54" s="63">
        <v>52</v>
      </c>
      <c r="I54" s="65" t="s">
        <v>165</v>
      </c>
      <c r="J54" s="63">
        <v>466</v>
      </c>
      <c r="K54" s="64">
        <v>896.58</v>
      </c>
      <c r="L54" s="63" t="s">
        <v>369</v>
      </c>
      <c r="M54" s="65" t="str">
        <f t="shared" si="0"/>
        <v>BRASIL MINERACAOUA SAO LUISPÓ DE BRITA</v>
      </c>
      <c r="N54" s="85" t="s">
        <v>1063</v>
      </c>
    </row>
    <row r="55" spans="2:14" x14ac:dyDescent="0.25">
      <c r="B55" s="91">
        <v>46056</v>
      </c>
      <c r="C55" s="63">
        <v>1</v>
      </c>
      <c r="D55" s="63" t="s">
        <v>181</v>
      </c>
      <c r="E55" s="65" t="s">
        <v>182</v>
      </c>
      <c r="F55" s="63" t="s">
        <v>166</v>
      </c>
      <c r="G55" s="63" t="s">
        <v>111</v>
      </c>
      <c r="H55" s="63">
        <v>79</v>
      </c>
      <c r="I55" s="65" t="s">
        <v>169</v>
      </c>
      <c r="J55" s="63">
        <v>255</v>
      </c>
      <c r="K55" s="64">
        <v>745.37</v>
      </c>
      <c r="L55" s="63" t="s">
        <v>370</v>
      </c>
      <c r="M55" s="65" t="str">
        <f t="shared" si="0"/>
        <v>GRANORTEBEIRA RIOPULMÃOZINHO</v>
      </c>
      <c r="N55" s="85" t="s">
        <v>111</v>
      </c>
    </row>
    <row r="56" spans="2:14" x14ac:dyDescent="0.25">
      <c r="B56" s="91">
        <v>46056</v>
      </c>
      <c r="C56" s="63">
        <v>1</v>
      </c>
      <c r="D56" s="63" t="s">
        <v>181</v>
      </c>
      <c r="E56" s="65" t="s">
        <v>182</v>
      </c>
      <c r="F56" s="63" t="s">
        <v>163</v>
      </c>
      <c r="G56" s="63" t="s">
        <v>111</v>
      </c>
      <c r="H56" s="63">
        <v>75</v>
      </c>
      <c r="I56" s="65" t="s">
        <v>169</v>
      </c>
      <c r="J56" s="63">
        <v>238</v>
      </c>
      <c r="K56" s="64">
        <v>660.45</v>
      </c>
      <c r="L56" s="63" t="s">
        <v>371</v>
      </c>
      <c r="M56" s="65" t="str">
        <f t="shared" si="0"/>
        <v>BRASIL MINERACAOBEIRA RIOPULMÃOZINHO</v>
      </c>
      <c r="N56" s="85" t="s">
        <v>111</v>
      </c>
    </row>
    <row r="57" spans="2:14" x14ac:dyDescent="0.25">
      <c r="B57" s="91">
        <v>46056</v>
      </c>
      <c r="C57" s="63">
        <v>1</v>
      </c>
      <c r="D57" s="63" t="s">
        <v>210</v>
      </c>
      <c r="E57" s="65" t="s">
        <v>211</v>
      </c>
      <c r="F57" s="63" t="s">
        <v>163</v>
      </c>
      <c r="G57" s="63" t="s">
        <v>164</v>
      </c>
      <c r="H57" s="63">
        <v>52</v>
      </c>
      <c r="I57" s="65" t="s">
        <v>165</v>
      </c>
      <c r="J57" s="63">
        <v>4816</v>
      </c>
      <c r="K57" s="64">
        <v>926.6</v>
      </c>
      <c r="L57" s="63" t="s">
        <v>372</v>
      </c>
      <c r="M57" s="65" t="str">
        <f t="shared" si="0"/>
        <v>BRASIL MINERACAOUA SAO LUISPÓ DE BRITA</v>
      </c>
      <c r="N57" s="85" t="s">
        <v>1063</v>
      </c>
    </row>
    <row r="58" spans="2:14" x14ac:dyDescent="0.25">
      <c r="B58" s="91">
        <v>46056</v>
      </c>
      <c r="C58" s="63">
        <v>1</v>
      </c>
      <c r="D58" s="63" t="s">
        <v>210</v>
      </c>
      <c r="E58" s="65" t="s">
        <v>211</v>
      </c>
      <c r="F58" s="63" t="s">
        <v>163</v>
      </c>
      <c r="G58" s="63" t="s">
        <v>164</v>
      </c>
      <c r="H58" s="63">
        <v>52</v>
      </c>
      <c r="I58" s="65" t="s">
        <v>165</v>
      </c>
      <c r="J58" s="63">
        <v>4532</v>
      </c>
      <c r="K58" s="64">
        <v>871.96</v>
      </c>
      <c r="L58" s="63" t="s">
        <v>373</v>
      </c>
      <c r="M58" s="65" t="str">
        <f t="shared" si="0"/>
        <v>BRASIL MINERACAOUA SAO LUISPÓ DE BRITA</v>
      </c>
      <c r="N58" s="85" t="s">
        <v>1063</v>
      </c>
    </row>
    <row r="59" spans="2:14" x14ac:dyDescent="0.25">
      <c r="B59" s="91">
        <v>46056</v>
      </c>
      <c r="C59" s="63">
        <v>1</v>
      </c>
      <c r="D59" s="63" t="s">
        <v>213</v>
      </c>
      <c r="E59" s="65" t="s">
        <v>178</v>
      </c>
      <c r="F59" s="63" t="s">
        <v>163</v>
      </c>
      <c r="G59" s="63" t="s">
        <v>111</v>
      </c>
      <c r="H59" s="63">
        <v>75</v>
      </c>
      <c r="I59" s="65" t="s">
        <v>185</v>
      </c>
      <c r="J59" s="63">
        <v>2476</v>
      </c>
      <c r="K59" s="64">
        <v>687.09</v>
      </c>
      <c r="L59" s="63" t="s">
        <v>374</v>
      </c>
      <c r="M59" s="65" t="str">
        <f t="shared" si="0"/>
        <v>BRASIL MINERACAOBEIRA RIORACHÃOZINHO</v>
      </c>
      <c r="N59" s="85" t="s">
        <v>111</v>
      </c>
    </row>
    <row r="60" spans="2:14" x14ac:dyDescent="0.25">
      <c r="B60" s="91">
        <v>46056</v>
      </c>
      <c r="C60" s="63">
        <v>1</v>
      </c>
      <c r="D60" s="63" t="s">
        <v>270</v>
      </c>
      <c r="E60" s="65" t="s">
        <v>288</v>
      </c>
      <c r="F60" s="63" t="s">
        <v>166</v>
      </c>
      <c r="G60" s="63" t="s">
        <v>164</v>
      </c>
      <c r="H60" s="63">
        <v>58</v>
      </c>
      <c r="I60" s="65" t="s">
        <v>165</v>
      </c>
      <c r="J60" s="63">
        <v>4622</v>
      </c>
      <c r="K60" s="64">
        <v>991.88</v>
      </c>
      <c r="L60" s="63" t="s">
        <v>375</v>
      </c>
      <c r="M60" s="65" t="str">
        <f t="shared" si="0"/>
        <v>GRANORTEUA SAO LUISPÓ DE BRITA</v>
      </c>
      <c r="N60" s="85" t="s">
        <v>1063</v>
      </c>
    </row>
    <row r="61" spans="2:14" x14ac:dyDescent="0.25">
      <c r="B61" s="91">
        <v>46056</v>
      </c>
      <c r="C61" s="63">
        <v>1</v>
      </c>
      <c r="D61" s="63" t="s">
        <v>270</v>
      </c>
      <c r="E61" s="65" t="s">
        <v>288</v>
      </c>
      <c r="F61" s="63" t="s">
        <v>166</v>
      </c>
      <c r="G61" s="63" t="s">
        <v>164</v>
      </c>
      <c r="H61" s="63">
        <v>58</v>
      </c>
      <c r="I61" s="65" t="s">
        <v>165</v>
      </c>
      <c r="J61" s="63">
        <v>4628</v>
      </c>
      <c r="K61" s="64">
        <v>993.17</v>
      </c>
      <c r="L61" s="63" t="s">
        <v>376</v>
      </c>
      <c r="M61" s="65" t="str">
        <f t="shared" si="0"/>
        <v>GRANORTEUA SAO LUISPÓ DE BRITA</v>
      </c>
      <c r="N61" s="85" t="s">
        <v>1063</v>
      </c>
    </row>
    <row r="62" spans="2:14" x14ac:dyDescent="0.25">
      <c r="B62" s="91">
        <v>46056</v>
      </c>
      <c r="C62" s="63">
        <v>1</v>
      </c>
      <c r="D62" s="63" t="s">
        <v>200</v>
      </c>
      <c r="E62" s="65" t="s">
        <v>201</v>
      </c>
      <c r="F62" s="63" t="s">
        <v>163</v>
      </c>
      <c r="G62" s="63" t="s">
        <v>164</v>
      </c>
      <c r="H62" s="63">
        <v>52</v>
      </c>
      <c r="I62" s="65" t="s">
        <v>165</v>
      </c>
      <c r="J62" s="63">
        <v>2488</v>
      </c>
      <c r="K62" s="64">
        <v>478.69</v>
      </c>
      <c r="L62" s="63" t="s">
        <v>377</v>
      </c>
      <c r="M62" s="65" t="str">
        <f t="shared" si="0"/>
        <v>BRASIL MINERACAOUA SAO LUISPÓ DE BRITA</v>
      </c>
      <c r="N62" s="85" t="s">
        <v>1063</v>
      </c>
    </row>
    <row r="63" spans="2:14" x14ac:dyDescent="0.25">
      <c r="B63" s="91">
        <v>46056</v>
      </c>
      <c r="C63" s="63">
        <v>1</v>
      </c>
      <c r="D63" s="63" t="s">
        <v>200</v>
      </c>
      <c r="E63" s="65" t="s">
        <v>201</v>
      </c>
      <c r="F63" s="63" t="s">
        <v>163</v>
      </c>
      <c r="G63" s="63" t="s">
        <v>164</v>
      </c>
      <c r="H63" s="63">
        <v>52</v>
      </c>
      <c r="I63" s="65" t="s">
        <v>165</v>
      </c>
      <c r="J63" s="63">
        <v>2342</v>
      </c>
      <c r="K63" s="64">
        <v>450.6</v>
      </c>
      <c r="L63" s="63" t="s">
        <v>378</v>
      </c>
      <c r="M63" s="65" t="str">
        <f t="shared" si="0"/>
        <v>BRASIL MINERACAOUA SAO LUISPÓ DE BRITA</v>
      </c>
      <c r="N63" s="85" t="s">
        <v>1063</v>
      </c>
    </row>
    <row r="64" spans="2:14" x14ac:dyDescent="0.25">
      <c r="B64" s="91">
        <v>46056</v>
      </c>
      <c r="C64" s="63">
        <v>2</v>
      </c>
      <c r="D64" s="63" t="s">
        <v>294</v>
      </c>
      <c r="E64" s="65" t="s">
        <v>295</v>
      </c>
      <c r="F64" s="63" t="s">
        <v>276</v>
      </c>
      <c r="G64" s="63" t="s">
        <v>277</v>
      </c>
      <c r="H64" s="63">
        <v>118</v>
      </c>
      <c r="I64" s="65" t="s">
        <v>165</v>
      </c>
      <c r="J64" s="63">
        <v>3718</v>
      </c>
      <c r="K64" s="64">
        <v>1403.92</v>
      </c>
      <c r="L64" s="63" t="s">
        <v>992</v>
      </c>
      <c r="M64" s="65" t="str">
        <f t="shared" si="0"/>
        <v>MINERADORA PORTO FRANCOCONCRENORTEPÓ DE BRITA</v>
      </c>
      <c r="N64" s="85" t="s">
        <v>1065</v>
      </c>
    </row>
    <row r="65" spans="2:14" x14ac:dyDescent="0.25">
      <c r="B65" s="91">
        <v>46056</v>
      </c>
      <c r="C65" s="63">
        <v>1</v>
      </c>
      <c r="D65" s="63" t="s">
        <v>196</v>
      </c>
      <c r="E65" s="68" t="s">
        <v>315</v>
      </c>
      <c r="F65" s="63" t="s">
        <v>1069</v>
      </c>
      <c r="G65" s="63" t="s">
        <v>1070</v>
      </c>
      <c r="H65" s="63">
        <v>52</v>
      </c>
      <c r="I65" s="65" t="s">
        <v>165</v>
      </c>
      <c r="J65" s="63">
        <v>44.32</v>
      </c>
      <c r="K65" s="64">
        <v>852.71679999999992</v>
      </c>
      <c r="L65" s="63" t="s">
        <v>1092</v>
      </c>
      <c r="M65" s="65" t="str">
        <f t="shared" si="0"/>
        <v>BRASIL MINERAÇÃOUA-11 DistritoPÓ DE BRITA</v>
      </c>
      <c r="N65" s="78" t="s">
        <v>1063</v>
      </c>
    </row>
    <row r="66" spans="2:14" x14ac:dyDescent="0.25">
      <c r="B66" s="91">
        <v>46057</v>
      </c>
      <c r="C66" s="63">
        <v>1</v>
      </c>
      <c r="D66" s="63" t="s">
        <v>176</v>
      </c>
      <c r="E66" s="65" t="s">
        <v>177</v>
      </c>
      <c r="F66" s="63" t="s">
        <v>163</v>
      </c>
      <c r="G66" s="63" t="s">
        <v>164</v>
      </c>
      <c r="H66" s="63">
        <v>52</v>
      </c>
      <c r="I66" s="65" t="s">
        <v>175</v>
      </c>
      <c r="J66" s="63">
        <v>2904</v>
      </c>
      <c r="K66" s="64">
        <v>558.73</v>
      </c>
      <c r="L66" s="63" t="s">
        <v>379</v>
      </c>
      <c r="M66" s="65" t="str">
        <f t="shared" si="0"/>
        <v>BRASIL MINERACAOUA SAO LUISBRITA 0</v>
      </c>
      <c r="N66" s="85" t="s">
        <v>1063</v>
      </c>
    </row>
    <row r="67" spans="2:14" x14ac:dyDescent="0.25">
      <c r="B67" s="91">
        <v>46057</v>
      </c>
      <c r="C67" s="63">
        <v>1</v>
      </c>
      <c r="D67" s="63" t="s">
        <v>196</v>
      </c>
      <c r="E67" s="65" t="s">
        <v>197</v>
      </c>
      <c r="F67" s="63" t="s">
        <v>163</v>
      </c>
      <c r="G67" s="63" t="s">
        <v>164</v>
      </c>
      <c r="H67" s="63">
        <v>52</v>
      </c>
      <c r="I67" s="65" t="s">
        <v>165</v>
      </c>
      <c r="J67" s="63">
        <v>4432</v>
      </c>
      <c r="K67" s="64">
        <v>852.72</v>
      </c>
      <c r="L67" s="63" t="s">
        <v>380</v>
      </c>
      <c r="M67" s="65" t="str">
        <f t="shared" si="0"/>
        <v>BRASIL MINERACAOUA SAO LUISPÓ DE BRITA</v>
      </c>
      <c r="N67" s="85" t="s">
        <v>1063</v>
      </c>
    </row>
    <row r="68" spans="2:14" x14ac:dyDescent="0.25">
      <c r="B68" s="91">
        <v>46057</v>
      </c>
      <c r="C68" s="63">
        <v>1</v>
      </c>
      <c r="D68" s="63" t="s">
        <v>199</v>
      </c>
      <c r="E68" s="65" t="s">
        <v>180</v>
      </c>
      <c r="F68" s="63" t="s">
        <v>163</v>
      </c>
      <c r="G68" s="63" t="s">
        <v>356</v>
      </c>
      <c r="H68" s="63">
        <v>79</v>
      </c>
      <c r="I68" s="65" t="s">
        <v>185</v>
      </c>
      <c r="J68" s="63">
        <v>2686</v>
      </c>
      <c r="K68" s="64">
        <v>785.12</v>
      </c>
      <c r="L68" s="63" t="s">
        <v>381</v>
      </c>
      <c r="M68" s="65" t="str">
        <f t="shared" si="0"/>
        <v>BRASIL MINERACAORAPOSARACHÃOZINHO</v>
      </c>
      <c r="N68" s="85" t="s">
        <v>11</v>
      </c>
    </row>
    <row r="69" spans="2:14" x14ac:dyDescent="0.25">
      <c r="B69" s="91">
        <v>46057</v>
      </c>
      <c r="C69" s="63">
        <v>1</v>
      </c>
      <c r="D69" s="63" t="s">
        <v>179</v>
      </c>
      <c r="E69" s="65" t="s">
        <v>282</v>
      </c>
      <c r="F69" s="63" t="s">
        <v>166</v>
      </c>
      <c r="G69" s="63" t="s">
        <v>111</v>
      </c>
      <c r="H69" s="63">
        <v>79</v>
      </c>
      <c r="I69" s="65" t="s">
        <v>185</v>
      </c>
      <c r="J69" s="63">
        <v>2688</v>
      </c>
      <c r="K69" s="64">
        <v>785.7</v>
      </c>
      <c r="L69" s="63" t="s">
        <v>382</v>
      </c>
      <c r="M69" s="65" t="str">
        <f t="shared" ref="M69:M132" si="1">F69&amp;G69&amp;I69</f>
        <v>GRANORTEBEIRA RIORACHÃOZINHO</v>
      </c>
      <c r="N69" s="85" t="s">
        <v>111</v>
      </c>
    </row>
    <row r="70" spans="2:14" x14ac:dyDescent="0.25">
      <c r="B70" s="91">
        <v>46057</v>
      </c>
      <c r="C70" s="63">
        <v>1</v>
      </c>
      <c r="D70" s="63" t="s">
        <v>188</v>
      </c>
      <c r="E70" s="65" t="s">
        <v>189</v>
      </c>
      <c r="F70" s="63" t="s">
        <v>163</v>
      </c>
      <c r="G70" s="63" t="s">
        <v>164</v>
      </c>
      <c r="H70" s="63">
        <v>52</v>
      </c>
      <c r="I70" s="65" t="s">
        <v>165</v>
      </c>
      <c r="J70" s="63">
        <v>4918</v>
      </c>
      <c r="K70" s="64">
        <v>946.22</v>
      </c>
      <c r="L70" s="63" t="s">
        <v>383</v>
      </c>
      <c r="M70" s="65" t="str">
        <f t="shared" si="1"/>
        <v>BRASIL MINERACAOUA SAO LUISPÓ DE BRITA</v>
      </c>
      <c r="N70" s="85" t="s">
        <v>1063</v>
      </c>
    </row>
    <row r="71" spans="2:14" x14ac:dyDescent="0.25">
      <c r="B71" s="91">
        <v>46057</v>
      </c>
      <c r="C71" s="63">
        <v>1</v>
      </c>
      <c r="D71" s="63" t="s">
        <v>170</v>
      </c>
      <c r="E71" s="65" t="s">
        <v>171</v>
      </c>
      <c r="F71" s="63" t="s">
        <v>163</v>
      </c>
      <c r="G71" s="63" t="s">
        <v>364</v>
      </c>
      <c r="H71" s="63">
        <v>75</v>
      </c>
      <c r="I71" s="65" t="s">
        <v>185</v>
      </c>
      <c r="J71" s="63">
        <v>2614</v>
      </c>
      <c r="K71" s="64">
        <v>725.39</v>
      </c>
      <c r="L71" s="63" t="s">
        <v>384</v>
      </c>
      <c r="M71" s="65" t="str">
        <f t="shared" si="1"/>
        <v>BRASIL MINERACAOARACAGY - SAO LUISRACHÃOZINHO</v>
      </c>
      <c r="N71" s="85" t="s">
        <v>11</v>
      </c>
    </row>
    <row r="72" spans="2:14" x14ac:dyDescent="0.25">
      <c r="B72" s="91">
        <v>46057</v>
      </c>
      <c r="C72" s="63">
        <v>1</v>
      </c>
      <c r="D72" s="63" t="s">
        <v>202</v>
      </c>
      <c r="E72" s="65" t="s">
        <v>214</v>
      </c>
      <c r="F72" s="63" t="s">
        <v>163</v>
      </c>
      <c r="G72" s="63" t="s">
        <v>164</v>
      </c>
      <c r="H72" s="63">
        <v>52</v>
      </c>
      <c r="I72" s="65" t="s">
        <v>165</v>
      </c>
      <c r="J72" s="63">
        <v>4718</v>
      </c>
      <c r="K72" s="64">
        <v>907.74</v>
      </c>
      <c r="L72" s="63" t="s">
        <v>385</v>
      </c>
      <c r="M72" s="65" t="str">
        <f t="shared" si="1"/>
        <v>BRASIL MINERACAOUA SAO LUISPÓ DE BRITA</v>
      </c>
      <c r="N72" s="85" t="s">
        <v>1063</v>
      </c>
    </row>
    <row r="73" spans="2:14" x14ac:dyDescent="0.25">
      <c r="B73" s="91">
        <v>46057</v>
      </c>
      <c r="C73" s="63">
        <v>1</v>
      </c>
      <c r="D73" s="63" t="s">
        <v>203</v>
      </c>
      <c r="E73" s="65" t="s">
        <v>204</v>
      </c>
      <c r="F73" s="63" t="s">
        <v>163</v>
      </c>
      <c r="G73" s="63" t="s">
        <v>164</v>
      </c>
      <c r="H73" s="63">
        <v>52</v>
      </c>
      <c r="I73" s="65" t="s">
        <v>165</v>
      </c>
      <c r="J73" s="63">
        <v>4634</v>
      </c>
      <c r="K73" s="64">
        <v>891.58</v>
      </c>
      <c r="L73" s="63" t="s">
        <v>386</v>
      </c>
      <c r="M73" s="65" t="str">
        <f t="shared" si="1"/>
        <v>BRASIL MINERACAOUA SAO LUISPÓ DE BRITA</v>
      </c>
      <c r="N73" s="85" t="s">
        <v>1063</v>
      </c>
    </row>
    <row r="74" spans="2:14" x14ac:dyDescent="0.25">
      <c r="B74" s="91">
        <v>46057</v>
      </c>
      <c r="C74" s="63">
        <v>1</v>
      </c>
      <c r="D74" s="63" t="s">
        <v>162</v>
      </c>
      <c r="E74" s="65" t="s">
        <v>281</v>
      </c>
      <c r="F74" s="63" t="s">
        <v>163</v>
      </c>
      <c r="G74" s="63" t="s">
        <v>164</v>
      </c>
      <c r="H74" s="63">
        <v>52</v>
      </c>
      <c r="I74" s="65" t="s">
        <v>185</v>
      </c>
      <c r="J74" s="63">
        <v>2502</v>
      </c>
      <c r="K74" s="64">
        <v>481.38</v>
      </c>
      <c r="L74" s="63" t="s">
        <v>387</v>
      </c>
      <c r="M74" s="65" t="str">
        <f t="shared" si="1"/>
        <v>BRASIL MINERACAOUA SAO LUISRACHÃOZINHO</v>
      </c>
      <c r="N74" s="85" t="s">
        <v>1063</v>
      </c>
    </row>
    <row r="75" spans="2:14" x14ac:dyDescent="0.25">
      <c r="B75" s="91">
        <v>46057</v>
      </c>
      <c r="C75" s="63">
        <v>1</v>
      </c>
      <c r="D75" s="63" t="s">
        <v>196</v>
      </c>
      <c r="E75" s="65" t="s">
        <v>197</v>
      </c>
      <c r="F75" s="63" t="s">
        <v>163</v>
      </c>
      <c r="G75" s="63" t="s">
        <v>164</v>
      </c>
      <c r="H75" s="63">
        <v>52</v>
      </c>
      <c r="I75" s="65" t="s">
        <v>165</v>
      </c>
      <c r="J75" s="63">
        <v>4696</v>
      </c>
      <c r="K75" s="64">
        <v>903.51</v>
      </c>
      <c r="L75" s="63" t="s">
        <v>388</v>
      </c>
      <c r="M75" s="65" t="str">
        <f t="shared" si="1"/>
        <v>BRASIL MINERACAOUA SAO LUISPÓ DE BRITA</v>
      </c>
      <c r="N75" s="85" t="s">
        <v>1063</v>
      </c>
    </row>
    <row r="76" spans="2:14" x14ac:dyDescent="0.25">
      <c r="B76" s="91">
        <v>46057</v>
      </c>
      <c r="C76" s="63">
        <v>1</v>
      </c>
      <c r="D76" s="63" t="s">
        <v>192</v>
      </c>
      <c r="E76" s="65" t="s">
        <v>287</v>
      </c>
      <c r="F76" s="63" t="s">
        <v>163</v>
      </c>
      <c r="G76" s="63" t="s">
        <v>164</v>
      </c>
      <c r="H76" s="63">
        <v>52</v>
      </c>
      <c r="I76" s="65" t="s">
        <v>165</v>
      </c>
      <c r="J76" s="63">
        <v>4686</v>
      </c>
      <c r="K76" s="64">
        <v>901.59</v>
      </c>
      <c r="L76" s="63" t="s">
        <v>389</v>
      </c>
      <c r="M76" s="65" t="str">
        <f t="shared" si="1"/>
        <v>BRASIL MINERACAOUA SAO LUISPÓ DE BRITA</v>
      </c>
      <c r="N76" s="85" t="s">
        <v>1063</v>
      </c>
    </row>
    <row r="77" spans="2:14" x14ac:dyDescent="0.25">
      <c r="B77" s="91">
        <v>46057</v>
      </c>
      <c r="C77" s="63">
        <v>1</v>
      </c>
      <c r="D77" s="63" t="s">
        <v>192</v>
      </c>
      <c r="E77" s="65" t="s">
        <v>287</v>
      </c>
      <c r="F77" s="63" t="s">
        <v>163</v>
      </c>
      <c r="G77" s="63" t="s">
        <v>164</v>
      </c>
      <c r="H77" s="63">
        <v>52</v>
      </c>
      <c r="I77" s="65" t="s">
        <v>165</v>
      </c>
      <c r="J77" s="63">
        <v>5916</v>
      </c>
      <c r="K77" s="64">
        <v>1138.24</v>
      </c>
      <c r="L77" s="63" t="s">
        <v>390</v>
      </c>
      <c r="M77" s="65" t="str">
        <f t="shared" si="1"/>
        <v>BRASIL MINERACAOUA SAO LUISPÓ DE BRITA</v>
      </c>
      <c r="N77" s="85" t="s">
        <v>1063</v>
      </c>
    </row>
    <row r="78" spans="2:14" x14ac:dyDescent="0.25">
      <c r="B78" s="91">
        <v>46057</v>
      </c>
      <c r="C78" s="63">
        <v>1</v>
      </c>
      <c r="D78" s="63" t="s">
        <v>188</v>
      </c>
      <c r="E78" s="65" t="s">
        <v>189</v>
      </c>
      <c r="F78" s="63" t="s">
        <v>163</v>
      </c>
      <c r="G78" s="63" t="s">
        <v>164</v>
      </c>
      <c r="H78" s="63">
        <v>52</v>
      </c>
      <c r="I78" s="65" t="s">
        <v>175</v>
      </c>
      <c r="J78" s="63">
        <v>4858</v>
      </c>
      <c r="K78" s="64">
        <v>934.68</v>
      </c>
      <c r="L78" s="63" t="s">
        <v>391</v>
      </c>
      <c r="M78" s="65" t="str">
        <f t="shared" si="1"/>
        <v>BRASIL MINERACAOUA SAO LUISBRITA 0</v>
      </c>
      <c r="N78" s="85" t="s">
        <v>1063</v>
      </c>
    </row>
    <row r="79" spans="2:14" x14ac:dyDescent="0.25">
      <c r="B79" s="91">
        <v>46057</v>
      </c>
      <c r="C79" s="63">
        <v>1</v>
      </c>
      <c r="D79" s="63" t="s">
        <v>199</v>
      </c>
      <c r="E79" s="65" t="s">
        <v>180</v>
      </c>
      <c r="F79" s="63" t="s">
        <v>166</v>
      </c>
      <c r="G79" s="63" t="s">
        <v>164</v>
      </c>
      <c r="H79" s="63">
        <v>58</v>
      </c>
      <c r="I79" s="65" t="s">
        <v>172</v>
      </c>
      <c r="J79" s="63">
        <v>2606</v>
      </c>
      <c r="K79" s="64">
        <v>559.25</v>
      </c>
      <c r="L79" s="63" t="s">
        <v>392</v>
      </c>
      <c r="M79" s="65" t="str">
        <f t="shared" si="1"/>
        <v>GRANORTEUA SAO LUISBICA CORRIDA</v>
      </c>
      <c r="N79" s="85" t="s">
        <v>1063</v>
      </c>
    </row>
    <row r="80" spans="2:14" x14ac:dyDescent="0.25">
      <c r="B80" s="91">
        <v>46057</v>
      </c>
      <c r="C80" s="63">
        <v>1</v>
      </c>
      <c r="D80" s="63" t="s">
        <v>173</v>
      </c>
      <c r="E80" s="65" t="s">
        <v>174</v>
      </c>
      <c r="F80" s="63" t="s">
        <v>166</v>
      </c>
      <c r="G80" s="63" t="s">
        <v>164</v>
      </c>
      <c r="H80" s="63">
        <v>58</v>
      </c>
      <c r="I80" s="65" t="s">
        <v>172</v>
      </c>
      <c r="J80" s="63">
        <v>2482</v>
      </c>
      <c r="K80" s="64">
        <v>532.64</v>
      </c>
      <c r="L80" s="63" t="s">
        <v>393</v>
      </c>
      <c r="M80" s="65" t="str">
        <f t="shared" si="1"/>
        <v>GRANORTEUA SAO LUISBICA CORRIDA</v>
      </c>
      <c r="N80" s="85" t="s">
        <v>1063</v>
      </c>
    </row>
    <row r="81" spans="2:14" x14ac:dyDescent="0.25">
      <c r="B81" s="91">
        <v>46057</v>
      </c>
      <c r="C81" s="63">
        <v>1</v>
      </c>
      <c r="D81" s="63" t="s">
        <v>173</v>
      </c>
      <c r="E81" s="65" t="s">
        <v>174</v>
      </c>
      <c r="F81" s="63" t="s">
        <v>166</v>
      </c>
      <c r="G81" s="63" t="s">
        <v>164</v>
      </c>
      <c r="H81" s="63">
        <v>58</v>
      </c>
      <c r="I81" s="65" t="s">
        <v>172</v>
      </c>
      <c r="J81" s="63">
        <v>2508</v>
      </c>
      <c r="K81" s="64">
        <v>538.22</v>
      </c>
      <c r="L81" s="63" t="s">
        <v>394</v>
      </c>
      <c r="M81" s="65" t="str">
        <f t="shared" si="1"/>
        <v>GRANORTEUA SAO LUISBICA CORRIDA</v>
      </c>
      <c r="N81" s="85" t="s">
        <v>1063</v>
      </c>
    </row>
    <row r="82" spans="2:14" x14ac:dyDescent="0.25">
      <c r="B82" s="91">
        <v>46057</v>
      </c>
      <c r="C82" s="63">
        <v>1</v>
      </c>
      <c r="D82" s="63" t="s">
        <v>173</v>
      </c>
      <c r="E82" s="65" t="s">
        <v>174</v>
      </c>
      <c r="F82" s="63" t="s">
        <v>163</v>
      </c>
      <c r="G82" s="63" t="s">
        <v>111</v>
      </c>
      <c r="H82" s="63">
        <v>75</v>
      </c>
      <c r="I82" s="65" t="s">
        <v>185</v>
      </c>
      <c r="J82" s="63">
        <v>2506</v>
      </c>
      <c r="K82" s="64">
        <v>695.42</v>
      </c>
      <c r="L82" s="63" t="s">
        <v>395</v>
      </c>
      <c r="M82" s="65" t="str">
        <f t="shared" si="1"/>
        <v>BRASIL MINERACAOBEIRA RIORACHÃOZINHO</v>
      </c>
      <c r="N82" s="85" t="s">
        <v>111</v>
      </c>
    </row>
    <row r="83" spans="2:14" x14ac:dyDescent="0.25">
      <c r="B83" s="91">
        <v>46057</v>
      </c>
      <c r="C83" s="63">
        <v>1</v>
      </c>
      <c r="D83" s="63" t="s">
        <v>173</v>
      </c>
      <c r="E83" s="65" t="s">
        <v>174</v>
      </c>
      <c r="F83" s="63" t="s">
        <v>166</v>
      </c>
      <c r="G83" s="63" t="s">
        <v>111</v>
      </c>
      <c r="H83" s="63">
        <v>79</v>
      </c>
      <c r="I83" s="65" t="s">
        <v>169</v>
      </c>
      <c r="J83" s="63">
        <v>2674</v>
      </c>
      <c r="K83" s="64">
        <v>781.61</v>
      </c>
      <c r="L83" s="63" t="s">
        <v>396</v>
      </c>
      <c r="M83" s="65" t="str">
        <f t="shared" si="1"/>
        <v>GRANORTEBEIRA RIOPULMÃOZINHO</v>
      </c>
      <c r="N83" s="85" t="s">
        <v>111</v>
      </c>
    </row>
    <row r="84" spans="2:14" x14ac:dyDescent="0.25">
      <c r="B84" s="91">
        <v>46057</v>
      </c>
      <c r="C84" s="63">
        <v>1</v>
      </c>
      <c r="D84" s="63" t="s">
        <v>173</v>
      </c>
      <c r="E84" s="65" t="s">
        <v>174</v>
      </c>
      <c r="F84" s="63" t="s">
        <v>166</v>
      </c>
      <c r="G84" s="63" t="s">
        <v>111</v>
      </c>
      <c r="H84" s="63">
        <v>79</v>
      </c>
      <c r="I84" s="65" t="s">
        <v>292</v>
      </c>
      <c r="J84" s="63">
        <v>2568</v>
      </c>
      <c r="K84" s="64">
        <v>750.63</v>
      </c>
      <c r="L84" s="63" t="s">
        <v>397</v>
      </c>
      <c r="M84" s="65" t="str">
        <f t="shared" si="1"/>
        <v>GRANORTEBEIRA RIOPEDRA PULMÃO</v>
      </c>
      <c r="N84" s="85" t="s">
        <v>111</v>
      </c>
    </row>
    <row r="85" spans="2:14" x14ac:dyDescent="0.25">
      <c r="B85" s="91">
        <v>46057</v>
      </c>
      <c r="C85" s="63">
        <v>1</v>
      </c>
      <c r="D85" s="63" t="s">
        <v>173</v>
      </c>
      <c r="E85" s="65" t="s">
        <v>174</v>
      </c>
      <c r="F85" s="63" t="s">
        <v>166</v>
      </c>
      <c r="G85" s="63" t="s">
        <v>111</v>
      </c>
      <c r="H85" s="63">
        <v>79</v>
      </c>
      <c r="I85" s="65" t="s">
        <v>292</v>
      </c>
      <c r="J85" s="63">
        <v>2622</v>
      </c>
      <c r="K85" s="64">
        <v>766.41</v>
      </c>
      <c r="L85" s="63" t="s">
        <v>398</v>
      </c>
      <c r="M85" s="65" t="str">
        <f t="shared" si="1"/>
        <v>GRANORTEBEIRA RIOPEDRA PULMÃO</v>
      </c>
      <c r="N85" s="85" t="s">
        <v>111</v>
      </c>
    </row>
    <row r="86" spans="2:14" x14ac:dyDescent="0.25">
      <c r="B86" s="91">
        <v>46057</v>
      </c>
      <c r="C86" s="63">
        <v>1</v>
      </c>
      <c r="D86" s="63" t="s">
        <v>170</v>
      </c>
      <c r="E86" s="65" t="s">
        <v>171</v>
      </c>
      <c r="F86" s="63" t="s">
        <v>163</v>
      </c>
      <c r="G86" s="63" t="s">
        <v>111</v>
      </c>
      <c r="H86" s="63">
        <v>75</v>
      </c>
      <c r="I86" s="65" t="s">
        <v>185</v>
      </c>
      <c r="J86" s="63">
        <v>261</v>
      </c>
      <c r="K86" s="64">
        <v>724.28</v>
      </c>
      <c r="L86" s="63" t="s">
        <v>399</v>
      </c>
      <c r="M86" s="65" t="str">
        <f t="shared" si="1"/>
        <v>BRASIL MINERACAOBEIRA RIORACHÃOZINHO</v>
      </c>
      <c r="N86" s="85" t="s">
        <v>111</v>
      </c>
    </row>
    <row r="87" spans="2:14" x14ac:dyDescent="0.25">
      <c r="B87" s="91">
        <v>46057</v>
      </c>
      <c r="C87" s="63">
        <v>1</v>
      </c>
      <c r="D87" s="63" t="s">
        <v>219</v>
      </c>
      <c r="E87" s="65" t="s">
        <v>220</v>
      </c>
      <c r="F87" s="63" t="s">
        <v>163</v>
      </c>
      <c r="G87" s="63" t="s">
        <v>164</v>
      </c>
      <c r="H87" s="63">
        <v>52</v>
      </c>
      <c r="I87" s="65" t="s">
        <v>165</v>
      </c>
      <c r="J87" s="63">
        <v>955</v>
      </c>
      <c r="K87" s="64">
        <v>1837.42</v>
      </c>
      <c r="L87" s="63" t="s">
        <v>400</v>
      </c>
      <c r="M87" s="65" t="str">
        <f t="shared" si="1"/>
        <v>BRASIL MINERACAOUA SAO LUISPÓ DE BRITA</v>
      </c>
      <c r="N87" s="85" t="s">
        <v>1063</v>
      </c>
    </row>
    <row r="88" spans="2:14" x14ac:dyDescent="0.25">
      <c r="B88" s="91">
        <v>46057</v>
      </c>
      <c r="C88" s="63">
        <v>1</v>
      </c>
      <c r="D88" s="63" t="s">
        <v>219</v>
      </c>
      <c r="E88" s="65" t="s">
        <v>220</v>
      </c>
      <c r="F88" s="63" t="s">
        <v>163</v>
      </c>
      <c r="G88" s="63" t="s">
        <v>164</v>
      </c>
      <c r="H88" s="63">
        <v>52</v>
      </c>
      <c r="I88" s="65" t="s">
        <v>175</v>
      </c>
      <c r="J88" s="63">
        <v>412</v>
      </c>
      <c r="K88" s="64">
        <v>792.69</v>
      </c>
      <c r="L88" s="63" t="s">
        <v>401</v>
      </c>
      <c r="M88" s="65" t="str">
        <f t="shared" si="1"/>
        <v>BRASIL MINERACAOUA SAO LUISBRITA 0</v>
      </c>
      <c r="N88" s="85" t="s">
        <v>1063</v>
      </c>
    </row>
    <row r="89" spans="2:14" x14ac:dyDescent="0.25">
      <c r="B89" s="91">
        <v>46057</v>
      </c>
      <c r="C89" s="63">
        <v>1</v>
      </c>
      <c r="D89" s="63" t="s">
        <v>179</v>
      </c>
      <c r="E89" s="65" t="s">
        <v>282</v>
      </c>
      <c r="F89" s="63" t="s">
        <v>166</v>
      </c>
      <c r="G89" s="63" t="s">
        <v>111</v>
      </c>
      <c r="H89" s="63">
        <v>79</v>
      </c>
      <c r="I89" s="65" t="s">
        <v>185</v>
      </c>
      <c r="J89" s="63">
        <v>237</v>
      </c>
      <c r="K89" s="64">
        <v>692.75</v>
      </c>
      <c r="L89" s="63" t="s">
        <v>402</v>
      </c>
      <c r="M89" s="65" t="str">
        <f t="shared" si="1"/>
        <v>GRANORTEBEIRA RIORACHÃOZINHO</v>
      </c>
      <c r="N89" s="85" t="s">
        <v>111</v>
      </c>
    </row>
    <row r="90" spans="2:14" x14ac:dyDescent="0.25">
      <c r="B90" s="91">
        <v>46057</v>
      </c>
      <c r="C90" s="63">
        <v>1</v>
      </c>
      <c r="D90" s="63" t="s">
        <v>181</v>
      </c>
      <c r="E90" s="65" t="s">
        <v>182</v>
      </c>
      <c r="F90" s="63" t="s">
        <v>163</v>
      </c>
      <c r="G90" s="63" t="s">
        <v>111</v>
      </c>
      <c r="H90" s="63">
        <v>75</v>
      </c>
      <c r="I90" s="65" t="s">
        <v>185</v>
      </c>
      <c r="J90" s="63">
        <v>2544</v>
      </c>
      <c r="K90" s="64">
        <v>705.96</v>
      </c>
      <c r="L90" s="63" t="s">
        <v>403</v>
      </c>
      <c r="M90" s="65" t="str">
        <f t="shared" si="1"/>
        <v>BRASIL MINERACAOBEIRA RIORACHÃOZINHO</v>
      </c>
      <c r="N90" s="85" t="s">
        <v>111</v>
      </c>
    </row>
    <row r="91" spans="2:14" x14ac:dyDescent="0.25">
      <c r="B91" s="91">
        <v>46057</v>
      </c>
      <c r="C91" s="63">
        <v>1</v>
      </c>
      <c r="D91" s="63" t="s">
        <v>181</v>
      </c>
      <c r="E91" s="65" t="s">
        <v>182</v>
      </c>
      <c r="F91" s="63" t="s">
        <v>163</v>
      </c>
      <c r="G91" s="63" t="s">
        <v>164</v>
      </c>
      <c r="H91" s="63">
        <v>52</v>
      </c>
      <c r="I91" s="65" t="s">
        <v>165</v>
      </c>
      <c r="J91" s="63">
        <v>2462</v>
      </c>
      <c r="K91" s="64">
        <v>473.69</v>
      </c>
      <c r="L91" s="63" t="s">
        <v>404</v>
      </c>
      <c r="M91" s="65" t="str">
        <f t="shared" si="1"/>
        <v>BRASIL MINERACAOUA SAO LUISPÓ DE BRITA</v>
      </c>
      <c r="N91" s="85" t="s">
        <v>1063</v>
      </c>
    </row>
    <row r="92" spans="2:14" x14ac:dyDescent="0.25">
      <c r="B92" s="91">
        <v>46057</v>
      </c>
      <c r="C92" s="63">
        <v>1</v>
      </c>
      <c r="D92" s="63" t="s">
        <v>196</v>
      </c>
      <c r="E92" s="65" t="s">
        <v>197</v>
      </c>
      <c r="F92" s="63" t="s">
        <v>163</v>
      </c>
      <c r="G92" s="63" t="s">
        <v>164</v>
      </c>
      <c r="H92" s="63">
        <v>52</v>
      </c>
      <c r="I92" s="65" t="s">
        <v>165</v>
      </c>
      <c r="J92" s="63">
        <v>674</v>
      </c>
      <c r="K92" s="64">
        <v>1296.78</v>
      </c>
      <c r="L92" s="63" t="s">
        <v>405</v>
      </c>
      <c r="M92" s="65" t="str">
        <f t="shared" si="1"/>
        <v>BRASIL MINERACAOUA SAO LUISPÓ DE BRITA</v>
      </c>
      <c r="N92" s="85" t="s">
        <v>1063</v>
      </c>
    </row>
    <row r="93" spans="2:14" x14ac:dyDescent="0.25">
      <c r="B93" s="91">
        <v>46057</v>
      </c>
      <c r="C93" s="63">
        <v>1</v>
      </c>
      <c r="D93" s="63" t="s">
        <v>210</v>
      </c>
      <c r="E93" s="65" t="s">
        <v>211</v>
      </c>
      <c r="F93" s="63" t="s">
        <v>163</v>
      </c>
      <c r="G93" s="63" t="s">
        <v>164</v>
      </c>
      <c r="H93" s="63">
        <v>52</v>
      </c>
      <c r="I93" s="65" t="s">
        <v>165</v>
      </c>
      <c r="J93" s="63">
        <v>4644</v>
      </c>
      <c r="K93" s="64">
        <v>893.51</v>
      </c>
      <c r="L93" s="63" t="s">
        <v>406</v>
      </c>
      <c r="M93" s="65" t="str">
        <f t="shared" si="1"/>
        <v>BRASIL MINERACAOUA SAO LUISPÓ DE BRITA</v>
      </c>
      <c r="N93" s="85" t="s">
        <v>1063</v>
      </c>
    </row>
    <row r="94" spans="2:14" x14ac:dyDescent="0.25">
      <c r="B94" s="91">
        <v>46057</v>
      </c>
      <c r="C94" s="63">
        <v>1</v>
      </c>
      <c r="D94" s="63" t="s">
        <v>210</v>
      </c>
      <c r="E94" s="65" t="s">
        <v>211</v>
      </c>
      <c r="F94" s="63" t="s">
        <v>163</v>
      </c>
      <c r="G94" s="63" t="s">
        <v>164</v>
      </c>
      <c r="H94" s="63">
        <v>52</v>
      </c>
      <c r="I94" s="65" t="s">
        <v>165</v>
      </c>
      <c r="J94" s="63">
        <v>453</v>
      </c>
      <c r="K94" s="64">
        <v>871.57</v>
      </c>
      <c r="L94" s="63" t="s">
        <v>407</v>
      </c>
      <c r="M94" s="65" t="str">
        <f t="shared" si="1"/>
        <v>BRASIL MINERACAOUA SAO LUISPÓ DE BRITA</v>
      </c>
      <c r="N94" s="85" t="s">
        <v>1063</v>
      </c>
    </row>
    <row r="95" spans="2:14" x14ac:dyDescent="0.25">
      <c r="B95" s="91">
        <v>46057</v>
      </c>
      <c r="C95" s="63">
        <v>1</v>
      </c>
      <c r="D95" s="63" t="s">
        <v>202</v>
      </c>
      <c r="E95" s="65" t="s">
        <v>214</v>
      </c>
      <c r="F95" s="63" t="s">
        <v>163</v>
      </c>
      <c r="G95" s="63" t="s">
        <v>164</v>
      </c>
      <c r="H95" s="63">
        <v>52</v>
      </c>
      <c r="I95" s="65" t="s">
        <v>165</v>
      </c>
      <c r="J95" s="63">
        <v>4612</v>
      </c>
      <c r="K95" s="64">
        <v>887.35</v>
      </c>
      <c r="L95" s="63" t="s">
        <v>408</v>
      </c>
      <c r="M95" s="65" t="str">
        <f t="shared" si="1"/>
        <v>BRASIL MINERACAOUA SAO LUISPÓ DE BRITA</v>
      </c>
      <c r="N95" s="85" t="s">
        <v>1063</v>
      </c>
    </row>
    <row r="96" spans="2:14" x14ac:dyDescent="0.25">
      <c r="B96" s="91">
        <v>46057</v>
      </c>
      <c r="C96" s="63">
        <v>1</v>
      </c>
      <c r="D96" s="63" t="s">
        <v>283</v>
      </c>
      <c r="E96" s="65" t="s">
        <v>215</v>
      </c>
      <c r="F96" s="63" t="s">
        <v>163</v>
      </c>
      <c r="G96" s="63" t="s">
        <v>111</v>
      </c>
      <c r="H96" s="63">
        <v>75</v>
      </c>
      <c r="I96" s="65" t="s">
        <v>185</v>
      </c>
      <c r="J96" s="63">
        <v>2594</v>
      </c>
      <c r="K96" s="64">
        <v>719.84</v>
      </c>
      <c r="L96" s="63" t="s">
        <v>409</v>
      </c>
      <c r="M96" s="65" t="str">
        <f t="shared" si="1"/>
        <v>BRASIL MINERACAOBEIRA RIORACHÃOZINHO</v>
      </c>
      <c r="N96" s="85" t="s">
        <v>111</v>
      </c>
    </row>
    <row r="97" spans="2:14" x14ac:dyDescent="0.25">
      <c r="B97" s="91">
        <v>46057</v>
      </c>
      <c r="C97" s="63">
        <v>1</v>
      </c>
      <c r="D97" s="63" t="s">
        <v>283</v>
      </c>
      <c r="E97" s="65" t="s">
        <v>215</v>
      </c>
      <c r="F97" s="63" t="s">
        <v>163</v>
      </c>
      <c r="G97" s="63" t="s">
        <v>164</v>
      </c>
      <c r="H97" s="63">
        <v>52</v>
      </c>
      <c r="I97" s="65" t="s">
        <v>165</v>
      </c>
      <c r="J97" s="63">
        <v>2714</v>
      </c>
      <c r="K97" s="64">
        <v>522.16999999999996</v>
      </c>
      <c r="L97" s="63" t="s">
        <v>410</v>
      </c>
      <c r="M97" s="65" t="str">
        <f t="shared" si="1"/>
        <v>BRASIL MINERACAOUA SAO LUISPÓ DE BRITA</v>
      </c>
      <c r="N97" s="85" t="s">
        <v>1063</v>
      </c>
    </row>
    <row r="98" spans="2:14" x14ac:dyDescent="0.25">
      <c r="B98" s="91">
        <v>46057</v>
      </c>
      <c r="C98" s="63">
        <v>1</v>
      </c>
      <c r="D98" s="63" t="s">
        <v>283</v>
      </c>
      <c r="E98" s="65" t="s">
        <v>215</v>
      </c>
      <c r="F98" s="63" t="s">
        <v>163</v>
      </c>
      <c r="G98" s="63" t="s">
        <v>164</v>
      </c>
      <c r="H98" s="63">
        <v>52</v>
      </c>
      <c r="I98" s="65" t="s">
        <v>175</v>
      </c>
      <c r="J98" s="63">
        <v>255</v>
      </c>
      <c r="K98" s="64">
        <v>490.62</v>
      </c>
      <c r="L98" s="63" t="s">
        <v>411</v>
      </c>
      <c r="M98" s="65" t="str">
        <f t="shared" si="1"/>
        <v>BRASIL MINERACAOUA SAO LUISBRITA 0</v>
      </c>
      <c r="N98" s="85" t="s">
        <v>1063</v>
      </c>
    </row>
    <row r="99" spans="2:14" x14ac:dyDescent="0.25">
      <c r="B99" s="91">
        <v>46057</v>
      </c>
      <c r="C99" s="63">
        <v>1</v>
      </c>
      <c r="D99" s="63" t="s">
        <v>283</v>
      </c>
      <c r="E99" s="65" t="s">
        <v>215</v>
      </c>
      <c r="F99" s="63" t="s">
        <v>163</v>
      </c>
      <c r="G99" s="63" t="s">
        <v>164</v>
      </c>
      <c r="H99" s="63">
        <v>52</v>
      </c>
      <c r="I99" s="65" t="s">
        <v>175</v>
      </c>
      <c r="J99" s="63">
        <v>2574</v>
      </c>
      <c r="K99" s="64">
        <v>495.24</v>
      </c>
      <c r="L99" s="63" t="s">
        <v>412</v>
      </c>
      <c r="M99" s="65" t="str">
        <f t="shared" si="1"/>
        <v>BRASIL MINERACAOUA SAO LUISBRITA 0</v>
      </c>
      <c r="N99" s="85" t="s">
        <v>1063</v>
      </c>
    </row>
    <row r="100" spans="2:14" x14ac:dyDescent="0.25">
      <c r="B100" s="91">
        <v>46057</v>
      </c>
      <c r="C100" s="63">
        <v>1</v>
      </c>
      <c r="D100" s="63" t="s">
        <v>284</v>
      </c>
      <c r="E100" s="65" t="s">
        <v>285</v>
      </c>
      <c r="F100" s="63" t="s">
        <v>163</v>
      </c>
      <c r="G100" s="63" t="s">
        <v>111</v>
      </c>
      <c r="H100" s="63">
        <v>75</v>
      </c>
      <c r="I100" s="65" t="s">
        <v>185</v>
      </c>
      <c r="J100" s="63">
        <v>2616</v>
      </c>
      <c r="K100" s="64">
        <v>725.94</v>
      </c>
      <c r="L100" s="63" t="s">
        <v>413</v>
      </c>
      <c r="M100" s="65" t="str">
        <f t="shared" si="1"/>
        <v>BRASIL MINERACAOBEIRA RIORACHÃOZINHO</v>
      </c>
      <c r="N100" s="85" t="s">
        <v>111</v>
      </c>
    </row>
    <row r="101" spans="2:14" x14ac:dyDescent="0.25">
      <c r="B101" s="91">
        <v>46057</v>
      </c>
      <c r="C101" s="63">
        <v>1</v>
      </c>
      <c r="D101" s="63" t="s">
        <v>188</v>
      </c>
      <c r="E101" s="65" t="s">
        <v>189</v>
      </c>
      <c r="F101" s="63" t="s">
        <v>163</v>
      </c>
      <c r="G101" s="63" t="s">
        <v>164</v>
      </c>
      <c r="H101" s="63">
        <v>52</v>
      </c>
      <c r="I101" s="65" t="s">
        <v>175</v>
      </c>
      <c r="J101" s="63">
        <v>7054</v>
      </c>
      <c r="K101" s="64">
        <v>1357.19</v>
      </c>
      <c r="L101" s="63" t="s">
        <v>414</v>
      </c>
      <c r="M101" s="65" t="str">
        <f t="shared" si="1"/>
        <v>BRASIL MINERACAOUA SAO LUISBRITA 0</v>
      </c>
      <c r="N101" s="85" t="s">
        <v>1063</v>
      </c>
    </row>
    <row r="102" spans="2:14" x14ac:dyDescent="0.25">
      <c r="B102" s="91">
        <v>46057</v>
      </c>
      <c r="C102" s="63">
        <v>1</v>
      </c>
      <c r="D102" s="63" t="s">
        <v>186</v>
      </c>
      <c r="E102" s="65" t="s">
        <v>187</v>
      </c>
      <c r="F102" s="63" t="s">
        <v>163</v>
      </c>
      <c r="G102" s="63" t="s">
        <v>164</v>
      </c>
      <c r="H102" s="63">
        <v>52</v>
      </c>
      <c r="I102" s="65" t="s">
        <v>165</v>
      </c>
      <c r="J102" s="63">
        <v>5108</v>
      </c>
      <c r="K102" s="64">
        <v>982.78</v>
      </c>
      <c r="L102" s="63" t="s">
        <v>415</v>
      </c>
      <c r="M102" s="65" t="str">
        <f t="shared" si="1"/>
        <v>BRASIL MINERACAOUA SAO LUISPÓ DE BRITA</v>
      </c>
      <c r="N102" s="85" t="s">
        <v>1063</v>
      </c>
    </row>
    <row r="103" spans="2:14" x14ac:dyDescent="0.25">
      <c r="B103" s="91">
        <v>46057</v>
      </c>
      <c r="C103" s="63">
        <v>1</v>
      </c>
      <c r="D103" s="63" t="s">
        <v>186</v>
      </c>
      <c r="E103" s="65" t="s">
        <v>187</v>
      </c>
      <c r="F103" s="63" t="s">
        <v>163</v>
      </c>
      <c r="G103" s="63" t="s">
        <v>164</v>
      </c>
      <c r="H103" s="63">
        <v>52</v>
      </c>
      <c r="I103" s="65" t="s">
        <v>165</v>
      </c>
      <c r="J103" s="63">
        <v>506</v>
      </c>
      <c r="K103" s="64">
        <v>973.54</v>
      </c>
      <c r="L103" s="63" t="s">
        <v>416</v>
      </c>
      <c r="M103" s="65" t="str">
        <f t="shared" si="1"/>
        <v>BRASIL MINERACAOUA SAO LUISPÓ DE BRITA</v>
      </c>
      <c r="N103" s="85" t="s">
        <v>1063</v>
      </c>
    </row>
    <row r="104" spans="2:14" x14ac:dyDescent="0.25">
      <c r="B104" s="91">
        <v>46057</v>
      </c>
      <c r="C104" s="63">
        <v>1</v>
      </c>
      <c r="D104" s="63" t="s">
        <v>213</v>
      </c>
      <c r="E104" s="65" t="s">
        <v>178</v>
      </c>
      <c r="F104" s="63" t="s">
        <v>163</v>
      </c>
      <c r="G104" s="63" t="s">
        <v>111</v>
      </c>
      <c r="H104" s="63">
        <v>75</v>
      </c>
      <c r="I104" s="65" t="s">
        <v>185</v>
      </c>
      <c r="J104" s="63">
        <v>2632</v>
      </c>
      <c r="K104" s="64">
        <v>730.38</v>
      </c>
      <c r="L104" s="63" t="s">
        <v>417</v>
      </c>
      <c r="M104" s="65" t="str">
        <f t="shared" si="1"/>
        <v>BRASIL MINERACAOBEIRA RIORACHÃOZINHO</v>
      </c>
      <c r="N104" s="85" t="s">
        <v>111</v>
      </c>
    </row>
    <row r="105" spans="2:14" x14ac:dyDescent="0.25">
      <c r="B105" s="91">
        <v>46057</v>
      </c>
      <c r="C105" s="63">
        <v>1</v>
      </c>
      <c r="D105" s="63" t="s">
        <v>270</v>
      </c>
      <c r="E105" s="65" t="s">
        <v>288</v>
      </c>
      <c r="F105" s="63" t="s">
        <v>166</v>
      </c>
      <c r="G105" s="63" t="s">
        <v>164</v>
      </c>
      <c r="H105" s="63">
        <v>58</v>
      </c>
      <c r="I105" s="65" t="s">
        <v>165</v>
      </c>
      <c r="J105" s="63">
        <v>4698</v>
      </c>
      <c r="K105" s="64">
        <v>1008.19</v>
      </c>
      <c r="L105" s="63" t="s">
        <v>378</v>
      </c>
      <c r="M105" s="65" t="str">
        <f t="shared" si="1"/>
        <v>GRANORTEUA SAO LUISPÓ DE BRITA</v>
      </c>
      <c r="N105" s="85" t="s">
        <v>1063</v>
      </c>
    </row>
    <row r="106" spans="2:14" x14ac:dyDescent="0.25">
      <c r="B106" s="91">
        <v>46057</v>
      </c>
      <c r="C106" s="63">
        <v>1</v>
      </c>
      <c r="D106" s="63" t="s">
        <v>270</v>
      </c>
      <c r="E106" s="65" t="s">
        <v>288</v>
      </c>
      <c r="F106" s="63" t="s">
        <v>166</v>
      </c>
      <c r="G106" s="63" t="s">
        <v>164</v>
      </c>
      <c r="H106" s="63">
        <v>58</v>
      </c>
      <c r="I106" s="65" t="s">
        <v>165</v>
      </c>
      <c r="J106" s="63">
        <v>4534</v>
      </c>
      <c r="K106" s="64">
        <v>973</v>
      </c>
      <c r="L106" s="63" t="s">
        <v>418</v>
      </c>
      <c r="M106" s="65" t="str">
        <f t="shared" si="1"/>
        <v>GRANORTEUA SAO LUISPÓ DE BRITA</v>
      </c>
      <c r="N106" s="85" t="s">
        <v>1063</v>
      </c>
    </row>
    <row r="107" spans="2:14" x14ac:dyDescent="0.25">
      <c r="B107" s="91">
        <v>46057</v>
      </c>
      <c r="C107" s="63">
        <v>1</v>
      </c>
      <c r="D107" s="63" t="s">
        <v>200</v>
      </c>
      <c r="E107" s="65" t="s">
        <v>201</v>
      </c>
      <c r="F107" s="63" t="s">
        <v>163</v>
      </c>
      <c r="G107" s="63" t="s">
        <v>164</v>
      </c>
      <c r="H107" s="63">
        <v>52</v>
      </c>
      <c r="I107" s="65" t="s">
        <v>165</v>
      </c>
      <c r="J107" s="63">
        <v>2508</v>
      </c>
      <c r="K107" s="64">
        <v>482.54</v>
      </c>
      <c r="L107" s="63" t="s">
        <v>419</v>
      </c>
      <c r="M107" s="65" t="str">
        <f t="shared" si="1"/>
        <v>BRASIL MINERACAOUA SAO LUISPÓ DE BRITA</v>
      </c>
      <c r="N107" s="85" t="s">
        <v>1063</v>
      </c>
    </row>
    <row r="108" spans="2:14" x14ac:dyDescent="0.25">
      <c r="B108" s="91">
        <v>46057</v>
      </c>
      <c r="C108" s="63">
        <v>1</v>
      </c>
      <c r="D108" s="63" t="s">
        <v>200</v>
      </c>
      <c r="E108" s="65" t="s">
        <v>201</v>
      </c>
      <c r="F108" s="63" t="s">
        <v>163</v>
      </c>
      <c r="G108" s="63" t="s">
        <v>164</v>
      </c>
      <c r="H108" s="63">
        <v>52</v>
      </c>
      <c r="I108" s="65" t="s">
        <v>165</v>
      </c>
      <c r="J108" s="63">
        <v>247</v>
      </c>
      <c r="K108" s="64">
        <v>475.23</v>
      </c>
      <c r="L108" s="63" t="s">
        <v>420</v>
      </c>
      <c r="M108" s="65" t="str">
        <f t="shared" si="1"/>
        <v>BRASIL MINERACAOUA SAO LUISPÓ DE BRITA</v>
      </c>
      <c r="N108" s="85" t="s">
        <v>1063</v>
      </c>
    </row>
    <row r="109" spans="2:14" x14ac:dyDescent="0.25">
      <c r="B109" s="91">
        <v>46057</v>
      </c>
      <c r="C109" s="63">
        <v>2</v>
      </c>
      <c r="D109" s="63" t="s">
        <v>294</v>
      </c>
      <c r="E109" s="65" t="s">
        <v>295</v>
      </c>
      <c r="F109" s="63" t="s">
        <v>276</v>
      </c>
      <c r="G109" s="63" t="s">
        <v>277</v>
      </c>
      <c r="H109" s="63">
        <v>118</v>
      </c>
      <c r="I109" s="65" t="s">
        <v>165</v>
      </c>
      <c r="J109" s="63">
        <v>3964</v>
      </c>
      <c r="K109" s="64">
        <v>1496.81</v>
      </c>
      <c r="L109" s="63" t="s">
        <v>993</v>
      </c>
      <c r="M109" s="65" t="str">
        <f t="shared" si="1"/>
        <v>MINERADORA PORTO FRANCOCONCRENORTEPÓ DE BRITA</v>
      </c>
      <c r="N109" s="85" t="s">
        <v>1065</v>
      </c>
    </row>
    <row r="110" spans="2:14" x14ac:dyDescent="0.25">
      <c r="B110" s="67">
        <v>46057</v>
      </c>
      <c r="C110" s="63">
        <v>1</v>
      </c>
      <c r="D110" s="63" t="s">
        <v>270</v>
      </c>
      <c r="E110" s="68" t="s">
        <v>1071</v>
      </c>
      <c r="F110" s="63" t="s">
        <v>1069</v>
      </c>
      <c r="G110" s="63" t="s">
        <v>1070</v>
      </c>
      <c r="H110" s="63">
        <v>52</v>
      </c>
      <c r="I110" s="65" t="s">
        <v>165</v>
      </c>
      <c r="J110" s="63">
        <v>45.34</v>
      </c>
      <c r="K110" s="64">
        <v>872.34159999999997</v>
      </c>
      <c r="L110" s="63" t="s">
        <v>1091</v>
      </c>
      <c r="M110" s="65" t="str">
        <f t="shared" si="1"/>
        <v>BRASIL MINERAÇÃOUA-11 DistritoPÓ DE BRITA</v>
      </c>
      <c r="N110" s="78" t="s">
        <v>1063</v>
      </c>
    </row>
    <row r="111" spans="2:14" x14ac:dyDescent="0.25">
      <c r="B111" s="91">
        <v>46058</v>
      </c>
      <c r="C111" s="63">
        <v>1</v>
      </c>
      <c r="D111" s="63" t="s">
        <v>188</v>
      </c>
      <c r="E111" s="65" t="s">
        <v>189</v>
      </c>
      <c r="F111" s="63" t="s">
        <v>166</v>
      </c>
      <c r="G111" s="63" t="s">
        <v>164</v>
      </c>
      <c r="H111" s="63">
        <v>58</v>
      </c>
      <c r="I111" s="65" t="s">
        <v>175</v>
      </c>
      <c r="J111" s="63">
        <v>787</v>
      </c>
      <c r="K111" s="64">
        <v>1688.9</v>
      </c>
      <c r="L111" s="63" t="s">
        <v>421</v>
      </c>
      <c r="M111" s="65" t="str">
        <f t="shared" si="1"/>
        <v>GRANORTEUA SAO LUISBRITA 0</v>
      </c>
      <c r="N111" s="85" t="s">
        <v>1063</v>
      </c>
    </row>
    <row r="112" spans="2:14" x14ac:dyDescent="0.25">
      <c r="B112" s="91">
        <v>46058</v>
      </c>
      <c r="C112" s="63">
        <v>1</v>
      </c>
      <c r="D112" s="63" t="s">
        <v>202</v>
      </c>
      <c r="E112" s="65" t="s">
        <v>214</v>
      </c>
      <c r="F112" s="63" t="s">
        <v>163</v>
      </c>
      <c r="G112" s="63" t="s">
        <v>164</v>
      </c>
      <c r="H112" s="63">
        <v>52</v>
      </c>
      <c r="I112" s="65" t="s">
        <v>165</v>
      </c>
      <c r="J112" s="63">
        <v>6748</v>
      </c>
      <c r="K112" s="64">
        <v>1298.32</v>
      </c>
      <c r="L112" s="63" t="s">
        <v>422</v>
      </c>
      <c r="M112" s="65" t="str">
        <f t="shared" si="1"/>
        <v>BRASIL MINERACAOUA SAO LUISPÓ DE BRITA</v>
      </c>
      <c r="N112" s="85" t="s">
        <v>1063</v>
      </c>
    </row>
    <row r="113" spans="2:14" x14ac:dyDescent="0.25">
      <c r="B113" s="91">
        <v>46058</v>
      </c>
      <c r="C113" s="63">
        <v>1</v>
      </c>
      <c r="D113" s="63" t="s">
        <v>176</v>
      </c>
      <c r="E113" s="65" t="s">
        <v>177</v>
      </c>
      <c r="F113" s="63" t="s">
        <v>163</v>
      </c>
      <c r="G113" s="63" t="s">
        <v>164</v>
      </c>
      <c r="H113" s="63">
        <v>52</v>
      </c>
      <c r="I113" s="65" t="s">
        <v>175</v>
      </c>
      <c r="J113" s="63">
        <v>2614</v>
      </c>
      <c r="K113" s="64">
        <v>502.93</v>
      </c>
      <c r="L113" s="63" t="s">
        <v>423</v>
      </c>
      <c r="M113" s="65" t="str">
        <f t="shared" si="1"/>
        <v>BRASIL MINERACAOUA SAO LUISBRITA 0</v>
      </c>
      <c r="N113" s="85" t="s">
        <v>1063</v>
      </c>
    </row>
    <row r="114" spans="2:14" x14ac:dyDescent="0.25">
      <c r="B114" s="91">
        <v>46058</v>
      </c>
      <c r="C114" s="63">
        <v>1</v>
      </c>
      <c r="D114" s="63" t="s">
        <v>170</v>
      </c>
      <c r="E114" s="65" t="s">
        <v>171</v>
      </c>
      <c r="F114" s="63" t="s">
        <v>163</v>
      </c>
      <c r="G114" s="63" t="s">
        <v>164</v>
      </c>
      <c r="H114" s="63">
        <v>52</v>
      </c>
      <c r="I114" s="65" t="s">
        <v>175</v>
      </c>
      <c r="J114" s="63">
        <v>2626</v>
      </c>
      <c r="K114" s="64">
        <v>505.24</v>
      </c>
      <c r="L114" s="63" t="s">
        <v>424</v>
      </c>
      <c r="M114" s="65" t="str">
        <f t="shared" si="1"/>
        <v>BRASIL MINERACAOUA SAO LUISBRITA 0</v>
      </c>
      <c r="N114" s="85" t="s">
        <v>1063</v>
      </c>
    </row>
    <row r="115" spans="2:14" x14ac:dyDescent="0.25">
      <c r="B115" s="91">
        <v>46058</v>
      </c>
      <c r="C115" s="63">
        <v>1</v>
      </c>
      <c r="D115" s="63" t="s">
        <v>179</v>
      </c>
      <c r="E115" s="65" t="s">
        <v>282</v>
      </c>
      <c r="F115" s="63" t="s">
        <v>166</v>
      </c>
      <c r="G115" s="63" t="s">
        <v>164</v>
      </c>
      <c r="H115" s="63">
        <v>58</v>
      </c>
      <c r="I115" s="65" t="s">
        <v>172</v>
      </c>
      <c r="J115" s="63">
        <v>2676</v>
      </c>
      <c r="K115" s="64">
        <v>574.27</v>
      </c>
      <c r="L115" s="63" t="s">
        <v>293</v>
      </c>
      <c r="M115" s="65" t="str">
        <f t="shared" si="1"/>
        <v>GRANORTEUA SAO LUISBICA CORRIDA</v>
      </c>
      <c r="N115" s="85" t="s">
        <v>1063</v>
      </c>
    </row>
    <row r="116" spans="2:14" x14ac:dyDescent="0.25">
      <c r="B116" s="91">
        <v>46058</v>
      </c>
      <c r="C116" s="63">
        <v>1</v>
      </c>
      <c r="D116" s="63" t="s">
        <v>196</v>
      </c>
      <c r="E116" s="65" t="s">
        <v>197</v>
      </c>
      <c r="F116" s="63" t="s">
        <v>163</v>
      </c>
      <c r="G116" s="63" t="s">
        <v>164</v>
      </c>
      <c r="H116" s="63">
        <v>52</v>
      </c>
      <c r="I116" s="65" t="s">
        <v>165</v>
      </c>
      <c r="J116" s="63">
        <v>6922</v>
      </c>
      <c r="K116" s="64">
        <v>1331.79</v>
      </c>
      <c r="L116" s="63" t="s">
        <v>425</v>
      </c>
      <c r="M116" s="65" t="str">
        <f t="shared" si="1"/>
        <v>BRASIL MINERACAOUA SAO LUISPÓ DE BRITA</v>
      </c>
      <c r="N116" s="85" t="s">
        <v>1063</v>
      </c>
    </row>
    <row r="117" spans="2:14" x14ac:dyDescent="0.25">
      <c r="B117" s="91">
        <v>46058</v>
      </c>
      <c r="C117" s="63">
        <v>1</v>
      </c>
      <c r="D117" s="63" t="s">
        <v>186</v>
      </c>
      <c r="E117" s="65" t="s">
        <v>187</v>
      </c>
      <c r="F117" s="63" t="s">
        <v>163</v>
      </c>
      <c r="G117" s="63" t="s">
        <v>164</v>
      </c>
      <c r="H117" s="63">
        <v>52</v>
      </c>
      <c r="I117" s="65" t="s">
        <v>165</v>
      </c>
      <c r="J117" s="63">
        <v>4994</v>
      </c>
      <c r="K117" s="64">
        <v>960.85</v>
      </c>
      <c r="L117" s="63" t="s">
        <v>426</v>
      </c>
      <c r="M117" s="65" t="str">
        <f t="shared" si="1"/>
        <v>BRASIL MINERACAOUA SAO LUISPÓ DE BRITA</v>
      </c>
      <c r="N117" s="85" t="s">
        <v>1063</v>
      </c>
    </row>
    <row r="118" spans="2:14" x14ac:dyDescent="0.25">
      <c r="B118" s="91">
        <v>46058</v>
      </c>
      <c r="C118" s="63">
        <v>1</v>
      </c>
      <c r="D118" s="63" t="s">
        <v>203</v>
      </c>
      <c r="E118" s="65" t="s">
        <v>204</v>
      </c>
      <c r="F118" s="63" t="s">
        <v>163</v>
      </c>
      <c r="G118" s="63" t="s">
        <v>164</v>
      </c>
      <c r="H118" s="63">
        <v>52</v>
      </c>
      <c r="I118" s="65" t="s">
        <v>175</v>
      </c>
      <c r="J118" s="63">
        <v>444</v>
      </c>
      <c r="K118" s="64">
        <v>854.26</v>
      </c>
      <c r="L118" s="63" t="s">
        <v>427</v>
      </c>
      <c r="M118" s="65" t="str">
        <f t="shared" si="1"/>
        <v>BRASIL MINERACAOUA SAO LUISBRITA 0</v>
      </c>
      <c r="N118" s="85" t="s">
        <v>1063</v>
      </c>
    </row>
    <row r="119" spans="2:14" x14ac:dyDescent="0.25">
      <c r="B119" s="91">
        <v>46058</v>
      </c>
      <c r="C119" s="63">
        <v>1</v>
      </c>
      <c r="D119" s="63" t="s">
        <v>162</v>
      </c>
      <c r="E119" s="65" t="s">
        <v>281</v>
      </c>
      <c r="F119" s="63" t="s">
        <v>166</v>
      </c>
      <c r="G119" s="63" t="s">
        <v>164</v>
      </c>
      <c r="H119" s="63">
        <v>58</v>
      </c>
      <c r="I119" s="65" t="s">
        <v>165</v>
      </c>
      <c r="J119" s="63">
        <v>2602</v>
      </c>
      <c r="K119" s="64">
        <v>558.39</v>
      </c>
      <c r="L119" s="63" t="s">
        <v>428</v>
      </c>
      <c r="M119" s="65" t="str">
        <f t="shared" si="1"/>
        <v>GRANORTEUA SAO LUISPÓ DE BRITA</v>
      </c>
      <c r="N119" s="85" t="s">
        <v>1063</v>
      </c>
    </row>
    <row r="120" spans="2:14" x14ac:dyDescent="0.25">
      <c r="B120" s="91">
        <v>46058</v>
      </c>
      <c r="C120" s="63">
        <v>1</v>
      </c>
      <c r="D120" s="63" t="s">
        <v>202</v>
      </c>
      <c r="E120" s="65" t="s">
        <v>214</v>
      </c>
      <c r="F120" s="63" t="s">
        <v>163</v>
      </c>
      <c r="G120" s="63" t="s">
        <v>164</v>
      </c>
      <c r="H120" s="63">
        <v>52</v>
      </c>
      <c r="I120" s="65" t="s">
        <v>165</v>
      </c>
      <c r="J120" s="63">
        <v>5168</v>
      </c>
      <c r="K120" s="64">
        <v>994.32</v>
      </c>
      <c r="L120" s="63" t="s">
        <v>429</v>
      </c>
      <c r="M120" s="65" t="str">
        <f t="shared" si="1"/>
        <v>BRASIL MINERACAOUA SAO LUISPÓ DE BRITA</v>
      </c>
      <c r="N120" s="85" t="s">
        <v>1063</v>
      </c>
    </row>
    <row r="121" spans="2:14" x14ac:dyDescent="0.25">
      <c r="B121" s="91">
        <v>46058</v>
      </c>
      <c r="C121" s="63">
        <v>1</v>
      </c>
      <c r="D121" s="63" t="s">
        <v>181</v>
      </c>
      <c r="E121" s="65" t="s">
        <v>182</v>
      </c>
      <c r="F121" s="63" t="s">
        <v>166</v>
      </c>
      <c r="G121" s="63" t="s">
        <v>164</v>
      </c>
      <c r="H121" s="63">
        <v>58</v>
      </c>
      <c r="I121" s="65" t="s">
        <v>165</v>
      </c>
      <c r="J121" s="63">
        <v>256</v>
      </c>
      <c r="K121" s="64">
        <v>549.38</v>
      </c>
      <c r="L121" s="63" t="s">
        <v>430</v>
      </c>
      <c r="M121" s="65" t="str">
        <f t="shared" si="1"/>
        <v>GRANORTEUA SAO LUISPÓ DE BRITA</v>
      </c>
      <c r="N121" s="85" t="s">
        <v>1063</v>
      </c>
    </row>
    <row r="122" spans="2:14" x14ac:dyDescent="0.25">
      <c r="B122" s="91">
        <v>46058</v>
      </c>
      <c r="C122" s="63">
        <v>1</v>
      </c>
      <c r="D122" s="63" t="s">
        <v>210</v>
      </c>
      <c r="E122" s="65" t="s">
        <v>211</v>
      </c>
      <c r="F122" s="63" t="s">
        <v>163</v>
      </c>
      <c r="G122" s="63" t="s">
        <v>164</v>
      </c>
      <c r="H122" s="63">
        <v>52</v>
      </c>
      <c r="I122" s="65" t="s">
        <v>165</v>
      </c>
      <c r="J122" s="63">
        <v>4606</v>
      </c>
      <c r="K122" s="64">
        <v>886.19</v>
      </c>
      <c r="L122" s="63" t="s">
        <v>431</v>
      </c>
      <c r="M122" s="65" t="str">
        <f t="shared" si="1"/>
        <v>BRASIL MINERACAOUA SAO LUISPÓ DE BRITA</v>
      </c>
      <c r="N122" s="85" t="s">
        <v>1063</v>
      </c>
    </row>
    <row r="123" spans="2:14" x14ac:dyDescent="0.25">
      <c r="B123" s="91">
        <v>46058</v>
      </c>
      <c r="C123" s="63">
        <v>1</v>
      </c>
      <c r="D123" s="63" t="s">
        <v>208</v>
      </c>
      <c r="E123" s="65" t="s">
        <v>209</v>
      </c>
      <c r="F123" s="63" t="s">
        <v>163</v>
      </c>
      <c r="G123" s="63" t="s">
        <v>164</v>
      </c>
      <c r="H123" s="63">
        <v>52</v>
      </c>
      <c r="I123" s="65" t="s">
        <v>175</v>
      </c>
      <c r="J123" s="63">
        <v>650</v>
      </c>
      <c r="K123" s="64">
        <v>1250.5999999999999</v>
      </c>
      <c r="L123" s="63" t="s">
        <v>432</v>
      </c>
      <c r="M123" s="65" t="str">
        <f t="shared" si="1"/>
        <v>BRASIL MINERACAOUA SAO LUISBRITA 0</v>
      </c>
      <c r="N123" s="85" t="s">
        <v>1063</v>
      </c>
    </row>
    <row r="124" spans="2:14" x14ac:dyDescent="0.25">
      <c r="B124" s="91">
        <v>46058</v>
      </c>
      <c r="C124" s="63">
        <v>1</v>
      </c>
      <c r="D124" s="63" t="s">
        <v>196</v>
      </c>
      <c r="E124" s="65" t="s">
        <v>197</v>
      </c>
      <c r="F124" s="63" t="s">
        <v>163</v>
      </c>
      <c r="G124" s="63" t="s">
        <v>164</v>
      </c>
      <c r="H124" s="63">
        <v>52</v>
      </c>
      <c r="I124" s="65" t="s">
        <v>165</v>
      </c>
      <c r="J124" s="63">
        <v>4534</v>
      </c>
      <c r="K124" s="64">
        <v>872.34</v>
      </c>
      <c r="L124" s="63" t="s">
        <v>433</v>
      </c>
      <c r="M124" s="65" t="str">
        <f t="shared" si="1"/>
        <v>BRASIL MINERACAOUA SAO LUISPÓ DE BRITA</v>
      </c>
      <c r="N124" s="85" t="s">
        <v>1063</v>
      </c>
    </row>
    <row r="125" spans="2:14" x14ac:dyDescent="0.25">
      <c r="B125" s="91">
        <v>46058</v>
      </c>
      <c r="C125" s="63">
        <v>1</v>
      </c>
      <c r="D125" s="63" t="s">
        <v>203</v>
      </c>
      <c r="E125" s="65" t="s">
        <v>204</v>
      </c>
      <c r="F125" s="63" t="s">
        <v>163</v>
      </c>
      <c r="G125" s="63" t="s">
        <v>164</v>
      </c>
      <c r="H125" s="63">
        <v>52</v>
      </c>
      <c r="I125" s="65" t="s">
        <v>175</v>
      </c>
      <c r="J125" s="63">
        <v>445</v>
      </c>
      <c r="K125" s="64">
        <v>856.18</v>
      </c>
      <c r="L125" s="63" t="s">
        <v>434</v>
      </c>
      <c r="M125" s="65" t="str">
        <f t="shared" si="1"/>
        <v>BRASIL MINERACAOUA SAO LUISBRITA 0</v>
      </c>
      <c r="N125" s="85" t="s">
        <v>1063</v>
      </c>
    </row>
    <row r="126" spans="2:14" x14ac:dyDescent="0.25">
      <c r="B126" s="91">
        <v>46058</v>
      </c>
      <c r="C126" s="63">
        <v>1</v>
      </c>
      <c r="D126" s="63" t="s">
        <v>170</v>
      </c>
      <c r="E126" s="65" t="s">
        <v>171</v>
      </c>
      <c r="F126" s="63" t="s">
        <v>166</v>
      </c>
      <c r="G126" s="63" t="s">
        <v>164</v>
      </c>
      <c r="H126" s="63">
        <v>58</v>
      </c>
      <c r="I126" s="65" t="s">
        <v>172</v>
      </c>
      <c r="J126" s="63">
        <v>2574</v>
      </c>
      <c r="K126" s="64">
        <v>552.38</v>
      </c>
      <c r="L126" s="63" t="s">
        <v>435</v>
      </c>
      <c r="M126" s="65" t="str">
        <f t="shared" si="1"/>
        <v>GRANORTEUA SAO LUISBICA CORRIDA</v>
      </c>
      <c r="N126" s="85" t="s">
        <v>1063</v>
      </c>
    </row>
    <row r="127" spans="2:14" x14ac:dyDescent="0.25">
      <c r="B127" s="91">
        <v>46058</v>
      </c>
      <c r="C127" s="63">
        <v>1</v>
      </c>
      <c r="D127" s="63" t="s">
        <v>188</v>
      </c>
      <c r="E127" s="65" t="s">
        <v>189</v>
      </c>
      <c r="F127" s="63" t="s">
        <v>166</v>
      </c>
      <c r="G127" s="63" t="s">
        <v>164</v>
      </c>
      <c r="H127" s="63">
        <v>58</v>
      </c>
      <c r="I127" s="65" t="s">
        <v>175</v>
      </c>
      <c r="J127" s="63">
        <v>6816</v>
      </c>
      <c r="K127" s="64">
        <v>1462.71</v>
      </c>
      <c r="L127" s="63" t="s">
        <v>436</v>
      </c>
      <c r="M127" s="65" t="str">
        <f t="shared" si="1"/>
        <v>GRANORTEUA SAO LUISBRITA 0</v>
      </c>
      <c r="N127" s="85" t="s">
        <v>1063</v>
      </c>
    </row>
    <row r="128" spans="2:14" x14ac:dyDescent="0.25">
      <c r="B128" s="91">
        <v>46058</v>
      </c>
      <c r="C128" s="63">
        <v>1</v>
      </c>
      <c r="D128" s="63" t="s">
        <v>179</v>
      </c>
      <c r="E128" s="65" t="s">
        <v>282</v>
      </c>
      <c r="F128" s="63" t="s">
        <v>166</v>
      </c>
      <c r="G128" s="63" t="s">
        <v>164</v>
      </c>
      <c r="H128" s="63">
        <v>58</v>
      </c>
      <c r="I128" s="65" t="s">
        <v>172</v>
      </c>
      <c r="J128" s="63">
        <v>2674</v>
      </c>
      <c r="K128" s="64">
        <v>573.84</v>
      </c>
      <c r="L128" s="63" t="s">
        <v>437</v>
      </c>
      <c r="M128" s="65" t="str">
        <f t="shared" si="1"/>
        <v>GRANORTEUA SAO LUISBICA CORRIDA</v>
      </c>
      <c r="N128" s="85" t="s">
        <v>1063</v>
      </c>
    </row>
    <row r="129" spans="2:14" x14ac:dyDescent="0.25">
      <c r="B129" s="91">
        <v>46058</v>
      </c>
      <c r="C129" s="63">
        <v>1</v>
      </c>
      <c r="D129" s="63" t="s">
        <v>210</v>
      </c>
      <c r="E129" s="65" t="s">
        <v>211</v>
      </c>
      <c r="F129" s="63" t="s">
        <v>166</v>
      </c>
      <c r="G129" s="63" t="s">
        <v>164</v>
      </c>
      <c r="H129" s="63">
        <v>58</v>
      </c>
      <c r="I129" s="65" t="s">
        <v>165</v>
      </c>
      <c r="J129" s="63">
        <v>4478</v>
      </c>
      <c r="K129" s="64">
        <v>960.98</v>
      </c>
      <c r="L129" s="63" t="s">
        <v>438</v>
      </c>
      <c r="M129" s="65" t="str">
        <f t="shared" si="1"/>
        <v>GRANORTEUA SAO LUISPÓ DE BRITA</v>
      </c>
      <c r="N129" s="85" t="s">
        <v>1063</v>
      </c>
    </row>
    <row r="130" spans="2:14" x14ac:dyDescent="0.25">
      <c r="B130" s="91">
        <v>46058</v>
      </c>
      <c r="C130" s="63">
        <v>1</v>
      </c>
      <c r="D130" s="63" t="s">
        <v>219</v>
      </c>
      <c r="E130" s="65" t="s">
        <v>220</v>
      </c>
      <c r="F130" s="63" t="s">
        <v>163</v>
      </c>
      <c r="G130" s="63" t="s">
        <v>164</v>
      </c>
      <c r="H130" s="63">
        <v>52</v>
      </c>
      <c r="I130" s="65" t="s">
        <v>175</v>
      </c>
      <c r="J130" s="63">
        <v>623</v>
      </c>
      <c r="K130" s="64">
        <v>1198.6500000000001</v>
      </c>
      <c r="L130" s="63" t="s">
        <v>439</v>
      </c>
      <c r="M130" s="65" t="str">
        <f t="shared" si="1"/>
        <v>BRASIL MINERACAOUA SAO LUISBRITA 0</v>
      </c>
      <c r="N130" s="85" t="s">
        <v>1063</v>
      </c>
    </row>
    <row r="131" spans="2:14" x14ac:dyDescent="0.25">
      <c r="B131" s="91">
        <v>46058</v>
      </c>
      <c r="C131" s="63">
        <v>1</v>
      </c>
      <c r="D131" s="63" t="s">
        <v>219</v>
      </c>
      <c r="E131" s="65" t="s">
        <v>220</v>
      </c>
      <c r="F131" s="63" t="s">
        <v>163</v>
      </c>
      <c r="G131" s="63" t="s">
        <v>164</v>
      </c>
      <c r="H131" s="63">
        <v>52</v>
      </c>
      <c r="I131" s="65" t="s">
        <v>175</v>
      </c>
      <c r="J131" s="63">
        <v>756</v>
      </c>
      <c r="K131" s="64">
        <v>1454.54</v>
      </c>
      <c r="L131" s="63" t="s">
        <v>440</v>
      </c>
      <c r="M131" s="65" t="str">
        <f t="shared" si="1"/>
        <v>BRASIL MINERACAOUA SAO LUISBRITA 0</v>
      </c>
      <c r="N131" s="85" t="s">
        <v>1063</v>
      </c>
    </row>
    <row r="132" spans="2:14" x14ac:dyDescent="0.25">
      <c r="B132" s="91">
        <v>46058</v>
      </c>
      <c r="C132" s="63">
        <v>1</v>
      </c>
      <c r="D132" s="63" t="s">
        <v>219</v>
      </c>
      <c r="E132" s="65" t="s">
        <v>220</v>
      </c>
      <c r="F132" s="63" t="s">
        <v>163</v>
      </c>
      <c r="G132" s="63" t="s">
        <v>164</v>
      </c>
      <c r="H132" s="63">
        <v>52</v>
      </c>
      <c r="I132" s="65" t="s">
        <v>175</v>
      </c>
      <c r="J132" s="63">
        <v>729</v>
      </c>
      <c r="K132" s="64">
        <v>1402.6</v>
      </c>
      <c r="L132" s="63" t="s">
        <v>441</v>
      </c>
      <c r="M132" s="65" t="str">
        <f t="shared" si="1"/>
        <v>BRASIL MINERACAOUA SAO LUISBRITA 0</v>
      </c>
      <c r="N132" s="85" t="s">
        <v>1063</v>
      </c>
    </row>
    <row r="133" spans="2:14" x14ac:dyDescent="0.25">
      <c r="B133" s="91">
        <v>46058</v>
      </c>
      <c r="C133" s="63">
        <v>1</v>
      </c>
      <c r="D133" s="63" t="s">
        <v>181</v>
      </c>
      <c r="E133" s="65" t="s">
        <v>182</v>
      </c>
      <c r="F133" s="63" t="s">
        <v>166</v>
      </c>
      <c r="G133" s="63" t="s">
        <v>164</v>
      </c>
      <c r="H133" s="63">
        <v>58</v>
      </c>
      <c r="I133" s="65" t="s">
        <v>172</v>
      </c>
      <c r="J133" s="63">
        <v>2716</v>
      </c>
      <c r="K133" s="64">
        <v>582.85</v>
      </c>
      <c r="L133" s="63" t="s">
        <v>442</v>
      </c>
      <c r="M133" s="65" t="str">
        <f t="shared" ref="M133:M196" si="2">F133&amp;G133&amp;I133</f>
        <v>GRANORTEUA SAO LUISBICA CORRIDA</v>
      </c>
      <c r="N133" s="85" t="s">
        <v>1063</v>
      </c>
    </row>
    <row r="134" spans="2:14" x14ac:dyDescent="0.25">
      <c r="B134" s="91">
        <v>46058</v>
      </c>
      <c r="C134" s="63">
        <v>1</v>
      </c>
      <c r="D134" s="63" t="s">
        <v>188</v>
      </c>
      <c r="E134" s="65" t="s">
        <v>189</v>
      </c>
      <c r="F134" s="63" t="s">
        <v>166</v>
      </c>
      <c r="G134" s="63" t="s">
        <v>164</v>
      </c>
      <c r="H134" s="63">
        <v>58</v>
      </c>
      <c r="I134" s="65" t="s">
        <v>172</v>
      </c>
      <c r="J134" s="63">
        <v>783</v>
      </c>
      <c r="K134" s="64">
        <v>1680.32</v>
      </c>
      <c r="L134" s="63" t="s">
        <v>443</v>
      </c>
      <c r="M134" s="65" t="str">
        <f t="shared" si="2"/>
        <v>GRANORTEUA SAO LUISBICA CORRIDA</v>
      </c>
      <c r="N134" s="85" t="s">
        <v>1063</v>
      </c>
    </row>
    <row r="135" spans="2:14" x14ac:dyDescent="0.25">
      <c r="B135" s="91">
        <v>46058</v>
      </c>
      <c r="C135" s="63">
        <v>1</v>
      </c>
      <c r="D135" s="63" t="s">
        <v>196</v>
      </c>
      <c r="E135" s="65" t="s">
        <v>197</v>
      </c>
      <c r="F135" s="63" t="s">
        <v>166</v>
      </c>
      <c r="G135" s="63" t="s">
        <v>164</v>
      </c>
      <c r="H135" s="63">
        <v>58</v>
      </c>
      <c r="I135" s="65" t="s">
        <v>172</v>
      </c>
      <c r="J135" s="63">
        <v>7334</v>
      </c>
      <c r="K135" s="64">
        <v>1573.88</v>
      </c>
      <c r="L135" s="63" t="s">
        <v>444</v>
      </c>
      <c r="M135" s="65" t="str">
        <f t="shared" si="2"/>
        <v>GRANORTEUA SAO LUISBICA CORRIDA</v>
      </c>
      <c r="N135" s="85" t="s">
        <v>1063</v>
      </c>
    </row>
    <row r="136" spans="2:14" x14ac:dyDescent="0.25">
      <c r="B136" s="91">
        <v>46058</v>
      </c>
      <c r="C136" s="63">
        <v>1</v>
      </c>
      <c r="D136" s="63" t="s">
        <v>283</v>
      </c>
      <c r="E136" s="65" t="s">
        <v>215</v>
      </c>
      <c r="F136" s="63" t="s">
        <v>166</v>
      </c>
      <c r="G136" s="63" t="s">
        <v>164</v>
      </c>
      <c r="H136" s="63">
        <v>58</v>
      </c>
      <c r="I136" s="65" t="s">
        <v>172</v>
      </c>
      <c r="J136" s="63">
        <v>3056</v>
      </c>
      <c r="K136" s="64">
        <v>655.82</v>
      </c>
      <c r="L136" s="63" t="s">
        <v>445</v>
      </c>
      <c r="M136" s="65" t="str">
        <f t="shared" si="2"/>
        <v>GRANORTEUA SAO LUISBICA CORRIDA</v>
      </c>
      <c r="N136" s="85" t="s">
        <v>1063</v>
      </c>
    </row>
    <row r="137" spans="2:14" x14ac:dyDescent="0.25">
      <c r="B137" s="91">
        <v>46058</v>
      </c>
      <c r="C137" s="63">
        <v>1</v>
      </c>
      <c r="D137" s="63" t="s">
        <v>283</v>
      </c>
      <c r="E137" s="65" t="s">
        <v>215</v>
      </c>
      <c r="F137" s="63" t="s">
        <v>166</v>
      </c>
      <c r="G137" s="63" t="s">
        <v>164</v>
      </c>
      <c r="H137" s="63">
        <v>58</v>
      </c>
      <c r="I137" s="65" t="s">
        <v>165</v>
      </c>
      <c r="J137" s="63">
        <v>2432</v>
      </c>
      <c r="K137" s="64">
        <v>521.91</v>
      </c>
      <c r="L137" s="63" t="s">
        <v>446</v>
      </c>
      <c r="M137" s="65" t="str">
        <f t="shared" si="2"/>
        <v>GRANORTEUA SAO LUISPÓ DE BRITA</v>
      </c>
      <c r="N137" s="85" t="s">
        <v>1063</v>
      </c>
    </row>
    <row r="138" spans="2:14" x14ac:dyDescent="0.25">
      <c r="B138" s="91">
        <v>46058</v>
      </c>
      <c r="C138" s="63">
        <v>1</v>
      </c>
      <c r="D138" s="63" t="s">
        <v>283</v>
      </c>
      <c r="E138" s="65" t="s">
        <v>215</v>
      </c>
      <c r="F138" s="63" t="s">
        <v>163</v>
      </c>
      <c r="G138" s="63" t="s">
        <v>164</v>
      </c>
      <c r="H138" s="63">
        <v>52</v>
      </c>
      <c r="I138" s="65" t="s">
        <v>175</v>
      </c>
      <c r="J138" s="63">
        <v>2608</v>
      </c>
      <c r="K138" s="64">
        <v>501.78</v>
      </c>
      <c r="L138" s="63" t="s">
        <v>447</v>
      </c>
      <c r="M138" s="65" t="str">
        <f t="shared" si="2"/>
        <v>BRASIL MINERACAOUA SAO LUISBRITA 0</v>
      </c>
      <c r="N138" s="85" t="s">
        <v>1063</v>
      </c>
    </row>
    <row r="139" spans="2:14" x14ac:dyDescent="0.25">
      <c r="B139" s="91">
        <v>46058</v>
      </c>
      <c r="C139" s="63">
        <v>1</v>
      </c>
      <c r="D139" s="63" t="s">
        <v>173</v>
      </c>
      <c r="E139" s="65" t="s">
        <v>174</v>
      </c>
      <c r="F139" s="63" t="s">
        <v>163</v>
      </c>
      <c r="G139" s="63" t="s">
        <v>164</v>
      </c>
      <c r="H139" s="63">
        <v>52</v>
      </c>
      <c r="I139" s="65" t="s">
        <v>185</v>
      </c>
      <c r="J139" s="63">
        <v>3524</v>
      </c>
      <c r="K139" s="64">
        <v>678.02</v>
      </c>
      <c r="L139" s="63" t="s">
        <v>448</v>
      </c>
      <c r="M139" s="65" t="str">
        <f t="shared" si="2"/>
        <v>BRASIL MINERACAOUA SAO LUISRACHÃOZINHO</v>
      </c>
      <c r="N139" s="85" t="s">
        <v>1063</v>
      </c>
    </row>
    <row r="140" spans="2:14" x14ac:dyDescent="0.25">
      <c r="B140" s="91">
        <v>46058</v>
      </c>
      <c r="C140" s="63">
        <v>1</v>
      </c>
      <c r="D140" s="63" t="s">
        <v>173</v>
      </c>
      <c r="E140" s="65" t="s">
        <v>174</v>
      </c>
      <c r="F140" s="63" t="s">
        <v>163</v>
      </c>
      <c r="G140" s="63" t="s">
        <v>164</v>
      </c>
      <c r="H140" s="63">
        <v>52</v>
      </c>
      <c r="I140" s="65" t="s">
        <v>185</v>
      </c>
      <c r="J140" s="63">
        <v>3466</v>
      </c>
      <c r="K140" s="64">
        <v>666.86</v>
      </c>
      <c r="L140" s="63" t="s">
        <v>449</v>
      </c>
      <c r="M140" s="65" t="str">
        <f t="shared" si="2"/>
        <v>BRASIL MINERACAOUA SAO LUISRACHÃOZINHO</v>
      </c>
      <c r="N140" s="85" t="s">
        <v>1063</v>
      </c>
    </row>
    <row r="141" spans="2:14" x14ac:dyDescent="0.25">
      <c r="B141" s="91">
        <v>46058</v>
      </c>
      <c r="C141" s="63">
        <v>1</v>
      </c>
      <c r="D141" s="63" t="s">
        <v>173</v>
      </c>
      <c r="E141" s="65" t="s">
        <v>174</v>
      </c>
      <c r="F141" s="63" t="s">
        <v>163</v>
      </c>
      <c r="G141" s="63" t="s">
        <v>164</v>
      </c>
      <c r="H141" s="63">
        <v>52</v>
      </c>
      <c r="I141" s="65" t="s">
        <v>185</v>
      </c>
      <c r="J141" s="63">
        <v>2554</v>
      </c>
      <c r="K141" s="64">
        <v>491.39</v>
      </c>
      <c r="L141" s="63" t="s">
        <v>450</v>
      </c>
      <c r="M141" s="65" t="str">
        <f t="shared" si="2"/>
        <v>BRASIL MINERACAOUA SAO LUISRACHÃOZINHO</v>
      </c>
      <c r="N141" s="85" t="s">
        <v>1063</v>
      </c>
    </row>
    <row r="142" spans="2:14" x14ac:dyDescent="0.25">
      <c r="B142" s="91">
        <v>46058</v>
      </c>
      <c r="C142" s="63">
        <v>1</v>
      </c>
      <c r="D142" s="63" t="s">
        <v>173</v>
      </c>
      <c r="E142" s="65" t="s">
        <v>174</v>
      </c>
      <c r="F142" s="63" t="s">
        <v>163</v>
      </c>
      <c r="G142" s="63" t="s">
        <v>164</v>
      </c>
      <c r="H142" s="63">
        <v>52</v>
      </c>
      <c r="I142" s="65" t="s">
        <v>185</v>
      </c>
      <c r="J142" s="63">
        <v>240</v>
      </c>
      <c r="K142" s="64">
        <v>461.76</v>
      </c>
      <c r="L142" s="63" t="s">
        <v>451</v>
      </c>
      <c r="M142" s="65" t="str">
        <f t="shared" si="2"/>
        <v>BRASIL MINERACAOUA SAO LUISRACHÃOZINHO</v>
      </c>
      <c r="N142" s="85" t="s">
        <v>1063</v>
      </c>
    </row>
    <row r="143" spans="2:14" x14ac:dyDescent="0.25">
      <c r="B143" s="91">
        <v>46058</v>
      </c>
      <c r="C143" s="63">
        <v>1</v>
      </c>
      <c r="D143" s="63" t="s">
        <v>173</v>
      </c>
      <c r="E143" s="65" t="s">
        <v>174</v>
      </c>
      <c r="F143" s="63" t="s">
        <v>166</v>
      </c>
      <c r="G143" s="63" t="s">
        <v>164</v>
      </c>
      <c r="H143" s="63">
        <v>58</v>
      </c>
      <c r="I143" s="65" t="s">
        <v>172</v>
      </c>
      <c r="J143" s="63">
        <v>3708</v>
      </c>
      <c r="K143" s="64">
        <v>795.74</v>
      </c>
      <c r="L143" s="63" t="s">
        <v>452</v>
      </c>
      <c r="M143" s="65" t="str">
        <f t="shared" si="2"/>
        <v>GRANORTEUA SAO LUISBICA CORRIDA</v>
      </c>
      <c r="N143" s="85" t="s">
        <v>1063</v>
      </c>
    </row>
    <row r="144" spans="2:14" x14ac:dyDescent="0.25">
      <c r="B144" s="91">
        <v>46058</v>
      </c>
      <c r="C144" s="63">
        <v>1</v>
      </c>
      <c r="D144" s="63" t="s">
        <v>173</v>
      </c>
      <c r="E144" s="65" t="s">
        <v>174</v>
      </c>
      <c r="F144" s="63" t="s">
        <v>163</v>
      </c>
      <c r="G144" s="63" t="s">
        <v>164</v>
      </c>
      <c r="H144" s="63">
        <v>52</v>
      </c>
      <c r="I144" s="65" t="s">
        <v>175</v>
      </c>
      <c r="J144" s="63">
        <v>2716</v>
      </c>
      <c r="K144" s="64">
        <v>522.55999999999995</v>
      </c>
      <c r="L144" s="63" t="s">
        <v>453</v>
      </c>
      <c r="M144" s="65" t="str">
        <f t="shared" si="2"/>
        <v>BRASIL MINERACAOUA SAO LUISBRITA 0</v>
      </c>
      <c r="N144" s="85" t="s">
        <v>1063</v>
      </c>
    </row>
    <row r="145" spans="2:14" x14ac:dyDescent="0.25">
      <c r="B145" s="91">
        <v>46058</v>
      </c>
      <c r="C145" s="63">
        <v>1</v>
      </c>
      <c r="D145" s="63" t="s">
        <v>173</v>
      </c>
      <c r="E145" s="65" t="s">
        <v>174</v>
      </c>
      <c r="F145" s="63" t="s">
        <v>163</v>
      </c>
      <c r="G145" s="63" t="s">
        <v>164</v>
      </c>
      <c r="H145" s="63">
        <v>52</v>
      </c>
      <c r="I145" s="65" t="s">
        <v>175</v>
      </c>
      <c r="J145" s="63">
        <v>3512</v>
      </c>
      <c r="K145" s="64">
        <v>675.71</v>
      </c>
      <c r="L145" s="63" t="s">
        <v>454</v>
      </c>
      <c r="M145" s="65" t="str">
        <f t="shared" si="2"/>
        <v>BRASIL MINERACAOUA SAO LUISBRITA 0</v>
      </c>
      <c r="N145" s="85" t="s">
        <v>1063</v>
      </c>
    </row>
    <row r="146" spans="2:14" x14ac:dyDescent="0.25">
      <c r="B146" s="91">
        <v>46058</v>
      </c>
      <c r="C146" s="63">
        <v>1</v>
      </c>
      <c r="D146" s="63" t="s">
        <v>173</v>
      </c>
      <c r="E146" s="65" t="s">
        <v>174</v>
      </c>
      <c r="F146" s="63" t="s">
        <v>166</v>
      </c>
      <c r="G146" s="63" t="s">
        <v>111</v>
      </c>
      <c r="H146" s="63">
        <v>79</v>
      </c>
      <c r="I146" s="65" t="s">
        <v>292</v>
      </c>
      <c r="J146" s="63">
        <v>255</v>
      </c>
      <c r="K146" s="64">
        <v>745.37</v>
      </c>
      <c r="L146" s="63" t="s">
        <v>455</v>
      </c>
      <c r="M146" s="65" t="str">
        <f t="shared" si="2"/>
        <v>GRANORTEBEIRA RIOPEDRA PULMÃO</v>
      </c>
      <c r="N146" s="85" t="s">
        <v>111</v>
      </c>
    </row>
    <row r="147" spans="2:14" x14ac:dyDescent="0.25">
      <c r="B147" s="91">
        <v>46058</v>
      </c>
      <c r="C147" s="63">
        <v>1</v>
      </c>
      <c r="D147" s="63" t="s">
        <v>173</v>
      </c>
      <c r="E147" s="65" t="s">
        <v>174</v>
      </c>
      <c r="F147" s="63" t="s">
        <v>166</v>
      </c>
      <c r="G147" s="63" t="s">
        <v>164</v>
      </c>
      <c r="H147" s="63">
        <v>58</v>
      </c>
      <c r="I147" s="65" t="s">
        <v>172</v>
      </c>
      <c r="J147" s="63">
        <v>4102</v>
      </c>
      <c r="K147" s="64">
        <v>880.29</v>
      </c>
      <c r="L147" s="63" t="s">
        <v>456</v>
      </c>
      <c r="M147" s="65" t="str">
        <f t="shared" si="2"/>
        <v>GRANORTEUA SAO LUISBICA CORRIDA</v>
      </c>
      <c r="N147" s="85" t="s">
        <v>1063</v>
      </c>
    </row>
    <row r="148" spans="2:14" x14ac:dyDescent="0.25">
      <c r="B148" s="91">
        <v>46058</v>
      </c>
      <c r="C148" s="63">
        <v>1</v>
      </c>
      <c r="D148" s="63" t="s">
        <v>173</v>
      </c>
      <c r="E148" s="65" t="s">
        <v>174</v>
      </c>
      <c r="F148" s="63" t="s">
        <v>166</v>
      </c>
      <c r="G148" s="63" t="s">
        <v>164</v>
      </c>
      <c r="H148" s="63">
        <v>58</v>
      </c>
      <c r="I148" s="65" t="s">
        <v>172</v>
      </c>
      <c r="J148" s="63">
        <v>260</v>
      </c>
      <c r="K148" s="64">
        <v>557.96</v>
      </c>
      <c r="L148" s="63" t="s">
        <v>457</v>
      </c>
      <c r="M148" s="65" t="str">
        <f t="shared" si="2"/>
        <v>GRANORTEUA SAO LUISBICA CORRIDA</v>
      </c>
      <c r="N148" s="85" t="s">
        <v>1063</v>
      </c>
    </row>
    <row r="149" spans="2:14" x14ac:dyDescent="0.25">
      <c r="B149" s="91">
        <v>46058</v>
      </c>
      <c r="C149" s="63">
        <v>1</v>
      </c>
      <c r="D149" s="63" t="s">
        <v>193</v>
      </c>
      <c r="E149" s="65" t="s">
        <v>285</v>
      </c>
      <c r="F149" s="63" t="s">
        <v>166</v>
      </c>
      <c r="G149" s="63" t="s">
        <v>458</v>
      </c>
      <c r="H149" s="63">
        <v>50</v>
      </c>
      <c r="I149" s="65" t="s">
        <v>165</v>
      </c>
      <c r="J149" s="63">
        <v>2612</v>
      </c>
      <c r="K149" s="64">
        <v>483.22</v>
      </c>
      <c r="L149" s="63" t="s">
        <v>459</v>
      </c>
      <c r="M149" s="65" t="str">
        <f t="shared" si="2"/>
        <v>GRANORTEDEPOSITO DISTRITOPÓ DE BRITA</v>
      </c>
      <c r="N149" s="85" t="s">
        <v>1063</v>
      </c>
    </row>
    <row r="150" spans="2:14" x14ac:dyDescent="0.25">
      <c r="B150" s="91">
        <v>46058</v>
      </c>
      <c r="C150" s="63">
        <v>1</v>
      </c>
      <c r="D150" s="63" t="s">
        <v>193</v>
      </c>
      <c r="E150" s="65" t="s">
        <v>285</v>
      </c>
      <c r="F150" s="63" t="s">
        <v>166</v>
      </c>
      <c r="G150" s="63" t="s">
        <v>458</v>
      </c>
      <c r="H150" s="63">
        <v>50</v>
      </c>
      <c r="I150" s="65" t="s">
        <v>165</v>
      </c>
      <c r="J150" s="63">
        <v>2482</v>
      </c>
      <c r="K150" s="64">
        <v>459.17</v>
      </c>
      <c r="L150" s="63" t="s">
        <v>460</v>
      </c>
      <c r="M150" s="65" t="str">
        <f t="shared" si="2"/>
        <v>GRANORTEDEPOSITO DISTRITOPÓ DE BRITA</v>
      </c>
      <c r="N150" s="85" t="s">
        <v>1063</v>
      </c>
    </row>
    <row r="151" spans="2:14" x14ac:dyDescent="0.25">
      <c r="B151" s="91">
        <v>46058</v>
      </c>
      <c r="C151" s="63">
        <v>1</v>
      </c>
      <c r="D151" s="63" t="s">
        <v>210</v>
      </c>
      <c r="E151" s="65" t="s">
        <v>211</v>
      </c>
      <c r="F151" s="63" t="s">
        <v>163</v>
      </c>
      <c r="G151" s="63" t="s">
        <v>164</v>
      </c>
      <c r="H151" s="63">
        <v>52</v>
      </c>
      <c r="I151" s="65" t="s">
        <v>165</v>
      </c>
      <c r="J151" s="63">
        <v>4614</v>
      </c>
      <c r="K151" s="64">
        <v>887.73</v>
      </c>
      <c r="L151" s="63" t="s">
        <v>461</v>
      </c>
      <c r="M151" s="65" t="str">
        <f t="shared" si="2"/>
        <v>BRASIL MINERACAOUA SAO LUISPÓ DE BRITA</v>
      </c>
      <c r="N151" s="85" t="s">
        <v>1063</v>
      </c>
    </row>
    <row r="152" spans="2:14" x14ac:dyDescent="0.25">
      <c r="B152" s="91">
        <v>46058</v>
      </c>
      <c r="C152" s="63">
        <v>1</v>
      </c>
      <c r="D152" s="63" t="s">
        <v>202</v>
      </c>
      <c r="E152" s="65" t="s">
        <v>214</v>
      </c>
      <c r="F152" s="63" t="s">
        <v>166</v>
      </c>
      <c r="G152" s="63" t="s">
        <v>164</v>
      </c>
      <c r="H152" s="63">
        <v>58</v>
      </c>
      <c r="I152" s="65" t="s">
        <v>172</v>
      </c>
      <c r="J152" s="63">
        <v>5332</v>
      </c>
      <c r="K152" s="64">
        <v>1144.25</v>
      </c>
      <c r="L152" s="63" t="s">
        <v>462</v>
      </c>
      <c r="M152" s="65" t="str">
        <f t="shared" si="2"/>
        <v>GRANORTEUA SAO LUISBICA CORRIDA</v>
      </c>
      <c r="N152" s="85" t="s">
        <v>1063</v>
      </c>
    </row>
    <row r="153" spans="2:14" x14ac:dyDescent="0.25">
      <c r="B153" s="91">
        <v>46058</v>
      </c>
      <c r="C153" s="63">
        <v>1</v>
      </c>
      <c r="D153" s="63" t="s">
        <v>186</v>
      </c>
      <c r="E153" s="65" t="s">
        <v>187</v>
      </c>
      <c r="F153" s="63" t="s">
        <v>163</v>
      </c>
      <c r="G153" s="63" t="s">
        <v>164</v>
      </c>
      <c r="H153" s="63">
        <v>52</v>
      </c>
      <c r="I153" s="65" t="s">
        <v>165</v>
      </c>
      <c r="J153" s="63">
        <v>4978</v>
      </c>
      <c r="K153" s="64">
        <v>957.77</v>
      </c>
      <c r="L153" s="63" t="s">
        <v>463</v>
      </c>
      <c r="M153" s="65" t="str">
        <f t="shared" si="2"/>
        <v>BRASIL MINERACAOUA SAO LUISPÓ DE BRITA</v>
      </c>
      <c r="N153" s="85" t="s">
        <v>1063</v>
      </c>
    </row>
    <row r="154" spans="2:14" x14ac:dyDescent="0.25">
      <c r="B154" s="91">
        <v>46058</v>
      </c>
      <c r="C154" s="63">
        <v>1</v>
      </c>
      <c r="D154" s="63" t="s">
        <v>213</v>
      </c>
      <c r="E154" s="65" t="s">
        <v>178</v>
      </c>
      <c r="F154" s="63" t="s">
        <v>163</v>
      </c>
      <c r="G154" s="63" t="s">
        <v>164</v>
      </c>
      <c r="H154" s="63">
        <v>52</v>
      </c>
      <c r="I154" s="65" t="s">
        <v>175</v>
      </c>
      <c r="J154" s="63">
        <v>2566</v>
      </c>
      <c r="K154" s="64">
        <v>493.7</v>
      </c>
      <c r="L154" s="63" t="s">
        <v>464</v>
      </c>
      <c r="M154" s="65" t="str">
        <f t="shared" si="2"/>
        <v>BRASIL MINERACAOUA SAO LUISBRITA 0</v>
      </c>
      <c r="N154" s="85" t="s">
        <v>1063</v>
      </c>
    </row>
    <row r="155" spans="2:14" x14ac:dyDescent="0.25">
      <c r="B155" s="91">
        <v>46058</v>
      </c>
      <c r="C155" s="63">
        <v>1</v>
      </c>
      <c r="D155" s="63" t="s">
        <v>192</v>
      </c>
      <c r="E155" s="65" t="s">
        <v>287</v>
      </c>
      <c r="F155" s="63" t="s">
        <v>166</v>
      </c>
      <c r="G155" s="63" t="s">
        <v>164</v>
      </c>
      <c r="H155" s="63">
        <v>58</v>
      </c>
      <c r="I155" s="65" t="s">
        <v>165</v>
      </c>
      <c r="J155" s="63">
        <v>4754</v>
      </c>
      <c r="K155" s="64">
        <v>1020.21</v>
      </c>
      <c r="L155" s="63" t="s">
        <v>465</v>
      </c>
      <c r="M155" s="65" t="str">
        <f t="shared" si="2"/>
        <v>GRANORTEUA SAO LUISPÓ DE BRITA</v>
      </c>
      <c r="N155" s="85" t="s">
        <v>1063</v>
      </c>
    </row>
    <row r="156" spans="2:14" x14ac:dyDescent="0.25">
      <c r="B156" s="91">
        <v>46058</v>
      </c>
      <c r="C156" s="63">
        <v>1</v>
      </c>
      <c r="D156" s="63" t="s">
        <v>192</v>
      </c>
      <c r="E156" s="65" t="s">
        <v>287</v>
      </c>
      <c r="F156" s="63" t="s">
        <v>163</v>
      </c>
      <c r="G156" s="63" t="s">
        <v>164</v>
      </c>
      <c r="H156" s="63">
        <v>52</v>
      </c>
      <c r="I156" s="65" t="s">
        <v>165</v>
      </c>
      <c r="J156" s="63">
        <v>471</v>
      </c>
      <c r="K156" s="64">
        <v>906.2</v>
      </c>
      <c r="L156" s="63" t="s">
        <v>466</v>
      </c>
      <c r="M156" s="65" t="str">
        <f t="shared" si="2"/>
        <v>BRASIL MINERACAOUA SAO LUISPÓ DE BRITA</v>
      </c>
      <c r="N156" s="85" t="s">
        <v>1063</v>
      </c>
    </row>
    <row r="157" spans="2:14" x14ac:dyDescent="0.25">
      <c r="B157" s="91">
        <v>46058</v>
      </c>
      <c r="C157" s="63">
        <v>1</v>
      </c>
      <c r="D157" s="63" t="s">
        <v>200</v>
      </c>
      <c r="E157" s="65" t="s">
        <v>201</v>
      </c>
      <c r="F157" s="63" t="s">
        <v>163</v>
      </c>
      <c r="G157" s="63" t="s">
        <v>164</v>
      </c>
      <c r="H157" s="63">
        <v>52</v>
      </c>
      <c r="I157" s="65" t="s">
        <v>165</v>
      </c>
      <c r="J157" s="63">
        <v>2326</v>
      </c>
      <c r="K157" s="64">
        <v>447.52</v>
      </c>
      <c r="L157" s="63" t="s">
        <v>467</v>
      </c>
      <c r="M157" s="65" t="str">
        <f t="shared" si="2"/>
        <v>BRASIL MINERACAOUA SAO LUISPÓ DE BRITA</v>
      </c>
      <c r="N157" s="85" t="s">
        <v>1063</v>
      </c>
    </row>
    <row r="158" spans="2:14" x14ac:dyDescent="0.25">
      <c r="B158" s="91">
        <v>46058</v>
      </c>
      <c r="C158" s="63">
        <v>1</v>
      </c>
      <c r="D158" s="63" t="s">
        <v>286</v>
      </c>
      <c r="E158" s="65" t="s">
        <v>343</v>
      </c>
      <c r="F158" s="63" t="s">
        <v>166</v>
      </c>
      <c r="G158" s="63" t="s">
        <v>164</v>
      </c>
      <c r="H158" s="63">
        <v>58</v>
      </c>
      <c r="I158" s="65" t="s">
        <v>165</v>
      </c>
      <c r="J158" s="63">
        <v>468</v>
      </c>
      <c r="K158" s="64">
        <v>1004.33</v>
      </c>
      <c r="L158" s="63" t="s">
        <v>468</v>
      </c>
      <c r="M158" s="65" t="str">
        <f t="shared" si="2"/>
        <v>GRANORTEUA SAO LUISPÓ DE BRITA</v>
      </c>
      <c r="N158" s="85" t="s">
        <v>1063</v>
      </c>
    </row>
    <row r="159" spans="2:14" x14ac:dyDescent="0.25">
      <c r="B159" s="91">
        <v>46059</v>
      </c>
      <c r="C159" s="63">
        <v>1</v>
      </c>
      <c r="D159" s="63" t="s">
        <v>188</v>
      </c>
      <c r="E159" s="65" t="s">
        <v>189</v>
      </c>
      <c r="F159" s="63" t="s">
        <v>166</v>
      </c>
      <c r="G159" s="63" t="s">
        <v>164</v>
      </c>
      <c r="H159" s="63">
        <v>58</v>
      </c>
      <c r="I159" s="65" t="s">
        <v>175</v>
      </c>
      <c r="J159" s="63">
        <v>7818</v>
      </c>
      <c r="K159" s="64">
        <v>1677.74</v>
      </c>
      <c r="L159" s="63" t="s">
        <v>469</v>
      </c>
      <c r="M159" s="65" t="str">
        <f t="shared" si="2"/>
        <v>GRANORTEUA SAO LUISBRITA 0</v>
      </c>
      <c r="N159" s="85" t="s">
        <v>1063</v>
      </c>
    </row>
    <row r="160" spans="2:14" x14ac:dyDescent="0.25">
      <c r="B160" s="91">
        <v>46059</v>
      </c>
      <c r="C160" s="63">
        <v>1</v>
      </c>
      <c r="D160" s="63" t="s">
        <v>176</v>
      </c>
      <c r="E160" s="65" t="s">
        <v>177</v>
      </c>
      <c r="F160" s="63" t="s">
        <v>166</v>
      </c>
      <c r="G160" s="63" t="s">
        <v>164</v>
      </c>
      <c r="H160" s="63">
        <v>58</v>
      </c>
      <c r="I160" s="65" t="s">
        <v>172</v>
      </c>
      <c r="J160" s="63">
        <v>2596</v>
      </c>
      <c r="K160" s="64">
        <v>557.1</v>
      </c>
      <c r="L160" s="63" t="s">
        <v>470</v>
      </c>
      <c r="M160" s="65" t="str">
        <f t="shared" si="2"/>
        <v>GRANORTEUA SAO LUISBICA CORRIDA</v>
      </c>
      <c r="N160" s="85" t="s">
        <v>1063</v>
      </c>
    </row>
    <row r="161" spans="2:14" x14ac:dyDescent="0.25">
      <c r="B161" s="91">
        <v>46059</v>
      </c>
      <c r="C161" s="63">
        <v>1</v>
      </c>
      <c r="D161" s="63" t="s">
        <v>170</v>
      </c>
      <c r="E161" s="65" t="s">
        <v>171</v>
      </c>
      <c r="F161" s="63" t="s">
        <v>166</v>
      </c>
      <c r="G161" s="63" t="s">
        <v>164</v>
      </c>
      <c r="H161" s="63">
        <v>58</v>
      </c>
      <c r="I161" s="65" t="s">
        <v>172</v>
      </c>
      <c r="J161" s="63">
        <v>259</v>
      </c>
      <c r="K161" s="64">
        <v>555.80999999999995</v>
      </c>
      <c r="L161" s="63" t="s">
        <v>471</v>
      </c>
      <c r="M161" s="65" t="str">
        <f t="shared" si="2"/>
        <v>GRANORTEUA SAO LUISBICA CORRIDA</v>
      </c>
      <c r="N161" s="85" t="s">
        <v>1063</v>
      </c>
    </row>
    <row r="162" spans="2:14" x14ac:dyDescent="0.25">
      <c r="B162" s="91">
        <v>46059</v>
      </c>
      <c r="C162" s="63">
        <v>1</v>
      </c>
      <c r="D162" s="63" t="s">
        <v>186</v>
      </c>
      <c r="E162" s="65" t="s">
        <v>187</v>
      </c>
      <c r="F162" s="63" t="s">
        <v>166</v>
      </c>
      <c r="G162" s="63" t="s">
        <v>164</v>
      </c>
      <c r="H162" s="63">
        <v>58</v>
      </c>
      <c r="I162" s="65" t="s">
        <v>172</v>
      </c>
      <c r="J162" s="63">
        <v>5412</v>
      </c>
      <c r="K162" s="64">
        <v>1161.42</v>
      </c>
      <c r="L162" s="63" t="s">
        <v>472</v>
      </c>
      <c r="M162" s="65" t="str">
        <f t="shared" si="2"/>
        <v>GRANORTEUA SAO LUISBICA CORRIDA</v>
      </c>
      <c r="N162" s="85" t="s">
        <v>1063</v>
      </c>
    </row>
    <row r="163" spans="2:14" x14ac:dyDescent="0.25">
      <c r="B163" s="91">
        <v>46059</v>
      </c>
      <c r="C163" s="63">
        <v>1</v>
      </c>
      <c r="D163" s="63" t="s">
        <v>188</v>
      </c>
      <c r="E163" s="65" t="s">
        <v>189</v>
      </c>
      <c r="F163" s="63" t="s">
        <v>166</v>
      </c>
      <c r="G163" s="63" t="s">
        <v>164</v>
      </c>
      <c r="H163" s="63">
        <v>58</v>
      </c>
      <c r="I163" s="65" t="s">
        <v>172</v>
      </c>
      <c r="J163" s="63">
        <v>495</v>
      </c>
      <c r="K163" s="64">
        <v>1062.27</v>
      </c>
      <c r="L163" s="63" t="s">
        <v>473</v>
      </c>
      <c r="M163" s="65" t="str">
        <f t="shared" si="2"/>
        <v>GRANORTEUA SAO LUISBICA CORRIDA</v>
      </c>
      <c r="N163" s="85" t="s">
        <v>1063</v>
      </c>
    </row>
    <row r="164" spans="2:14" x14ac:dyDescent="0.25">
      <c r="B164" s="91">
        <v>46059</v>
      </c>
      <c r="C164" s="63">
        <v>1</v>
      </c>
      <c r="D164" s="63" t="s">
        <v>179</v>
      </c>
      <c r="E164" s="65" t="s">
        <v>282</v>
      </c>
      <c r="F164" s="63" t="s">
        <v>166</v>
      </c>
      <c r="G164" s="63" t="s">
        <v>164</v>
      </c>
      <c r="H164" s="63">
        <v>58</v>
      </c>
      <c r="I164" s="65" t="s">
        <v>172</v>
      </c>
      <c r="J164" s="63">
        <v>267</v>
      </c>
      <c r="K164" s="64">
        <v>572.98</v>
      </c>
      <c r="L164" s="63" t="s">
        <v>474</v>
      </c>
      <c r="M164" s="65" t="str">
        <f t="shared" si="2"/>
        <v>GRANORTEUA SAO LUISBICA CORRIDA</v>
      </c>
      <c r="N164" s="85" t="s">
        <v>1063</v>
      </c>
    </row>
    <row r="165" spans="2:14" x14ac:dyDescent="0.25">
      <c r="B165" s="91">
        <v>46059</v>
      </c>
      <c r="C165" s="63">
        <v>1</v>
      </c>
      <c r="D165" s="63" t="s">
        <v>202</v>
      </c>
      <c r="E165" s="65" t="s">
        <v>214</v>
      </c>
      <c r="F165" s="63" t="s">
        <v>166</v>
      </c>
      <c r="G165" s="63" t="s">
        <v>164</v>
      </c>
      <c r="H165" s="63">
        <v>58</v>
      </c>
      <c r="I165" s="65" t="s">
        <v>172</v>
      </c>
      <c r="J165" s="63">
        <v>497</v>
      </c>
      <c r="K165" s="64">
        <v>1066.56</v>
      </c>
      <c r="L165" s="63" t="s">
        <v>475</v>
      </c>
      <c r="M165" s="65" t="str">
        <f t="shared" si="2"/>
        <v>GRANORTEUA SAO LUISBICA CORRIDA</v>
      </c>
      <c r="N165" s="85" t="s">
        <v>1063</v>
      </c>
    </row>
    <row r="166" spans="2:14" x14ac:dyDescent="0.25">
      <c r="B166" s="91">
        <v>46059</v>
      </c>
      <c r="C166" s="63">
        <v>1</v>
      </c>
      <c r="D166" s="63" t="s">
        <v>176</v>
      </c>
      <c r="E166" s="65" t="s">
        <v>177</v>
      </c>
      <c r="F166" s="63" t="s">
        <v>166</v>
      </c>
      <c r="G166" s="63" t="s">
        <v>164</v>
      </c>
      <c r="H166" s="63">
        <v>58</v>
      </c>
      <c r="I166" s="65" t="s">
        <v>172</v>
      </c>
      <c r="J166" s="63">
        <v>2658</v>
      </c>
      <c r="K166" s="64">
        <v>570.41</v>
      </c>
      <c r="L166" s="63" t="s">
        <v>476</v>
      </c>
      <c r="M166" s="65" t="str">
        <f t="shared" si="2"/>
        <v>GRANORTEUA SAO LUISBICA CORRIDA</v>
      </c>
      <c r="N166" s="85" t="s">
        <v>1063</v>
      </c>
    </row>
    <row r="167" spans="2:14" x14ac:dyDescent="0.25">
      <c r="B167" s="91">
        <v>46059</v>
      </c>
      <c r="C167" s="63">
        <v>1</v>
      </c>
      <c r="D167" s="63" t="s">
        <v>170</v>
      </c>
      <c r="E167" s="65" t="s">
        <v>171</v>
      </c>
      <c r="F167" s="63" t="s">
        <v>166</v>
      </c>
      <c r="G167" s="63" t="s">
        <v>164</v>
      </c>
      <c r="H167" s="63">
        <v>58</v>
      </c>
      <c r="I167" s="65" t="s">
        <v>172</v>
      </c>
      <c r="J167" s="63">
        <v>2442</v>
      </c>
      <c r="K167" s="64">
        <v>524.04999999999995</v>
      </c>
      <c r="L167" s="63" t="s">
        <v>477</v>
      </c>
      <c r="M167" s="65" t="str">
        <f t="shared" si="2"/>
        <v>GRANORTEUA SAO LUISBICA CORRIDA</v>
      </c>
      <c r="N167" s="85" t="s">
        <v>1063</v>
      </c>
    </row>
    <row r="168" spans="2:14" x14ac:dyDescent="0.25">
      <c r="B168" s="91">
        <v>46059</v>
      </c>
      <c r="C168" s="63">
        <v>1</v>
      </c>
      <c r="D168" s="63" t="s">
        <v>176</v>
      </c>
      <c r="E168" s="65" t="s">
        <v>177</v>
      </c>
      <c r="F168" s="63" t="s">
        <v>163</v>
      </c>
      <c r="G168" s="63" t="s">
        <v>164</v>
      </c>
      <c r="H168" s="63">
        <v>52</v>
      </c>
      <c r="I168" s="65" t="s">
        <v>175</v>
      </c>
      <c r="J168" s="63">
        <v>2538</v>
      </c>
      <c r="K168" s="64">
        <v>488.31</v>
      </c>
      <c r="L168" s="63" t="s">
        <v>478</v>
      </c>
      <c r="M168" s="65" t="str">
        <f t="shared" si="2"/>
        <v>BRASIL MINERACAOUA SAO LUISBRITA 0</v>
      </c>
      <c r="N168" s="85" t="s">
        <v>1063</v>
      </c>
    </row>
    <row r="169" spans="2:14" x14ac:dyDescent="0.25">
      <c r="B169" s="91">
        <v>46059</v>
      </c>
      <c r="C169" s="63">
        <v>1</v>
      </c>
      <c r="D169" s="63" t="s">
        <v>173</v>
      </c>
      <c r="E169" s="65" t="s">
        <v>174</v>
      </c>
      <c r="F169" s="63" t="s">
        <v>166</v>
      </c>
      <c r="G169" s="63" t="s">
        <v>111</v>
      </c>
      <c r="H169" s="63">
        <v>79</v>
      </c>
      <c r="I169" s="65" t="s">
        <v>292</v>
      </c>
      <c r="J169" s="63">
        <v>2602</v>
      </c>
      <c r="K169" s="64">
        <v>760.56</v>
      </c>
      <c r="L169" s="63" t="s">
        <v>479</v>
      </c>
      <c r="M169" s="65" t="str">
        <f t="shared" si="2"/>
        <v>GRANORTEBEIRA RIOPEDRA PULMÃO</v>
      </c>
      <c r="N169" s="85" t="s">
        <v>111</v>
      </c>
    </row>
    <row r="170" spans="2:14" x14ac:dyDescent="0.25">
      <c r="B170" s="91">
        <v>46059</v>
      </c>
      <c r="C170" s="63">
        <v>1</v>
      </c>
      <c r="D170" s="63" t="s">
        <v>173</v>
      </c>
      <c r="E170" s="65" t="s">
        <v>174</v>
      </c>
      <c r="F170" s="63" t="s">
        <v>166</v>
      </c>
      <c r="G170" s="63" t="s">
        <v>111</v>
      </c>
      <c r="H170" s="63">
        <v>79</v>
      </c>
      <c r="I170" s="65" t="s">
        <v>292</v>
      </c>
      <c r="J170" s="63">
        <v>2616</v>
      </c>
      <c r="K170" s="64">
        <v>764.66</v>
      </c>
      <c r="L170" s="63" t="s">
        <v>480</v>
      </c>
      <c r="M170" s="65" t="str">
        <f t="shared" si="2"/>
        <v>GRANORTEBEIRA RIOPEDRA PULMÃO</v>
      </c>
      <c r="N170" s="85" t="s">
        <v>111</v>
      </c>
    </row>
    <row r="171" spans="2:14" x14ac:dyDescent="0.25">
      <c r="B171" s="91">
        <v>46059</v>
      </c>
      <c r="C171" s="63">
        <v>1</v>
      </c>
      <c r="D171" s="63" t="s">
        <v>188</v>
      </c>
      <c r="E171" s="65" t="s">
        <v>189</v>
      </c>
      <c r="F171" s="63" t="s">
        <v>166</v>
      </c>
      <c r="G171" s="63" t="s">
        <v>164</v>
      </c>
      <c r="H171" s="63">
        <v>58</v>
      </c>
      <c r="I171" s="65" t="s">
        <v>165</v>
      </c>
      <c r="J171" s="63">
        <v>4834</v>
      </c>
      <c r="K171" s="64">
        <v>1037.3800000000001</v>
      </c>
      <c r="L171" s="63" t="s">
        <v>481</v>
      </c>
      <c r="M171" s="65" t="str">
        <f t="shared" si="2"/>
        <v>GRANORTEUA SAO LUISPÓ DE BRITA</v>
      </c>
      <c r="N171" s="85" t="s">
        <v>1063</v>
      </c>
    </row>
    <row r="172" spans="2:14" x14ac:dyDescent="0.25">
      <c r="B172" s="91">
        <v>46059</v>
      </c>
      <c r="C172" s="63">
        <v>1</v>
      </c>
      <c r="D172" s="63" t="s">
        <v>162</v>
      </c>
      <c r="E172" s="65" t="s">
        <v>281</v>
      </c>
      <c r="F172" s="63" t="s">
        <v>166</v>
      </c>
      <c r="G172" s="63" t="s">
        <v>164</v>
      </c>
      <c r="H172" s="63">
        <v>58</v>
      </c>
      <c r="I172" s="65" t="s">
        <v>292</v>
      </c>
      <c r="J172" s="63">
        <v>2626</v>
      </c>
      <c r="K172" s="64">
        <v>563.54</v>
      </c>
      <c r="L172" s="63" t="s">
        <v>482</v>
      </c>
      <c r="M172" s="65" t="str">
        <f t="shared" si="2"/>
        <v>GRANORTEUA SAO LUISPEDRA PULMÃO</v>
      </c>
      <c r="N172" s="85" t="s">
        <v>1063</v>
      </c>
    </row>
    <row r="173" spans="2:14" x14ac:dyDescent="0.25">
      <c r="B173" s="91">
        <v>46059</v>
      </c>
      <c r="C173" s="63">
        <v>1</v>
      </c>
      <c r="D173" s="63" t="s">
        <v>170</v>
      </c>
      <c r="E173" s="65" t="s">
        <v>171</v>
      </c>
      <c r="F173" s="63" t="s">
        <v>163</v>
      </c>
      <c r="G173" s="63" t="s">
        <v>164</v>
      </c>
      <c r="H173" s="63">
        <v>52</v>
      </c>
      <c r="I173" s="65" t="s">
        <v>175</v>
      </c>
      <c r="J173" s="63">
        <v>254</v>
      </c>
      <c r="K173" s="64">
        <v>488.7</v>
      </c>
      <c r="L173" s="63" t="s">
        <v>483</v>
      </c>
      <c r="M173" s="65" t="str">
        <f t="shared" si="2"/>
        <v>BRASIL MINERACAOUA SAO LUISBRITA 0</v>
      </c>
      <c r="N173" s="85" t="s">
        <v>1063</v>
      </c>
    </row>
    <row r="174" spans="2:14" x14ac:dyDescent="0.25">
      <c r="B174" s="91">
        <v>46059</v>
      </c>
      <c r="C174" s="63">
        <v>1</v>
      </c>
      <c r="D174" s="63" t="s">
        <v>208</v>
      </c>
      <c r="E174" s="65" t="s">
        <v>209</v>
      </c>
      <c r="F174" s="63" t="s">
        <v>166</v>
      </c>
      <c r="G174" s="63" t="s">
        <v>164</v>
      </c>
      <c r="H174" s="63">
        <v>58</v>
      </c>
      <c r="I174" s="65" t="s">
        <v>172</v>
      </c>
      <c r="J174" s="63">
        <v>600</v>
      </c>
      <c r="K174" s="64">
        <v>1287.5999999999999</v>
      </c>
      <c r="L174" s="63" t="s">
        <v>484</v>
      </c>
      <c r="M174" s="65" t="str">
        <f t="shared" si="2"/>
        <v>GRANORTEUA SAO LUISBICA CORRIDA</v>
      </c>
      <c r="N174" s="85" t="s">
        <v>1063</v>
      </c>
    </row>
    <row r="175" spans="2:14" x14ac:dyDescent="0.25">
      <c r="B175" s="91">
        <v>46059</v>
      </c>
      <c r="C175" s="63">
        <v>1</v>
      </c>
      <c r="D175" s="63" t="s">
        <v>199</v>
      </c>
      <c r="E175" s="65" t="s">
        <v>180</v>
      </c>
      <c r="F175" s="63" t="s">
        <v>166</v>
      </c>
      <c r="G175" s="63" t="s">
        <v>111</v>
      </c>
      <c r="H175" s="63">
        <v>79</v>
      </c>
      <c r="I175" s="65" t="s">
        <v>292</v>
      </c>
      <c r="J175" s="63">
        <v>2606</v>
      </c>
      <c r="K175" s="64">
        <v>761.73</v>
      </c>
      <c r="L175" s="63" t="s">
        <v>485</v>
      </c>
      <c r="M175" s="65" t="str">
        <f t="shared" si="2"/>
        <v>GRANORTEBEIRA RIOPEDRA PULMÃO</v>
      </c>
      <c r="N175" s="85" t="s">
        <v>111</v>
      </c>
    </row>
    <row r="176" spans="2:14" x14ac:dyDescent="0.25">
      <c r="B176" s="91">
        <v>46059</v>
      </c>
      <c r="C176" s="63">
        <v>1</v>
      </c>
      <c r="D176" s="63" t="s">
        <v>162</v>
      </c>
      <c r="E176" s="65" t="s">
        <v>281</v>
      </c>
      <c r="F176" s="63" t="s">
        <v>166</v>
      </c>
      <c r="G176" s="63" t="s">
        <v>164</v>
      </c>
      <c r="H176" s="63">
        <v>58</v>
      </c>
      <c r="I176" s="65" t="s">
        <v>172</v>
      </c>
      <c r="J176" s="63">
        <v>259</v>
      </c>
      <c r="K176" s="64">
        <v>555.80999999999995</v>
      </c>
      <c r="L176" s="63" t="s">
        <v>486</v>
      </c>
      <c r="M176" s="65" t="str">
        <f t="shared" si="2"/>
        <v>GRANORTEUA SAO LUISBICA CORRIDA</v>
      </c>
      <c r="N176" s="85" t="s">
        <v>1063</v>
      </c>
    </row>
    <row r="177" spans="2:14" x14ac:dyDescent="0.25">
      <c r="B177" s="91">
        <v>46059</v>
      </c>
      <c r="C177" s="63">
        <v>1</v>
      </c>
      <c r="D177" s="63" t="s">
        <v>203</v>
      </c>
      <c r="E177" s="65" t="s">
        <v>204</v>
      </c>
      <c r="F177" s="63" t="s">
        <v>166</v>
      </c>
      <c r="G177" s="63" t="s">
        <v>164</v>
      </c>
      <c r="H177" s="63">
        <v>58</v>
      </c>
      <c r="I177" s="65" t="s">
        <v>172</v>
      </c>
      <c r="J177" s="63">
        <v>4522</v>
      </c>
      <c r="K177" s="64">
        <v>970.42</v>
      </c>
      <c r="L177" s="63" t="s">
        <v>487</v>
      </c>
      <c r="M177" s="65" t="str">
        <f t="shared" si="2"/>
        <v>GRANORTEUA SAO LUISBICA CORRIDA</v>
      </c>
      <c r="N177" s="85" t="s">
        <v>1063</v>
      </c>
    </row>
    <row r="178" spans="2:14" x14ac:dyDescent="0.25">
      <c r="B178" s="91">
        <v>46059</v>
      </c>
      <c r="C178" s="63">
        <v>1</v>
      </c>
      <c r="D178" s="63" t="s">
        <v>196</v>
      </c>
      <c r="E178" s="65" t="s">
        <v>197</v>
      </c>
      <c r="F178" s="63" t="s">
        <v>163</v>
      </c>
      <c r="G178" s="63" t="s">
        <v>164</v>
      </c>
      <c r="H178" s="63">
        <v>52</v>
      </c>
      <c r="I178" s="65" t="s">
        <v>175</v>
      </c>
      <c r="J178" s="63">
        <v>5178</v>
      </c>
      <c r="K178" s="64">
        <v>996.25</v>
      </c>
      <c r="L178" s="63" t="s">
        <v>488</v>
      </c>
      <c r="M178" s="65" t="str">
        <f t="shared" si="2"/>
        <v>BRASIL MINERACAOUA SAO LUISBRITA 0</v>
      </c>
      <c r="N178" s="85" t="s">
        <v>1063</v>
      </c>
    </row>
    <row r="179" spans="2:14" x14ac:dyDescent="0.25">
      <c r="B179" s="91">
        <v>46059</v>
      </c>
      <c r="C179" s="63">
        <v>1</v>
      </c>
      <c r="D179" s="63" t="s">
        <v>193</v>
      </c>
      <c r="E179" s="65" t="s">
        <v>285</v>
      </c>
      <c r="F179" s="63" t="s">
        <v>166</v>
      </c>
      <c r="G179" s="63" t="s">
        <v>111</v>
      </c>
      <c r="H179" s="63">
        <v>79</v>
      </c>
      <c r="I179" s="65" t="s">
        <v>292</v>
      </c>
      <c r="J179" s="63">
        <v>2554</v>
      </c>
      <c r="K179" s="64">
        <v>746.53</v>
      </c>
      <c r="L179" s="63" t="s">
        <v>489</v>
      </c>
      <c r="M179" s="65" t="str">
        <f t="shared" si="2"/>
        <v>GRANORTEBEIRA RIOPEDRA PULMÃO</v>
      </c>
      <c r="N179" s="85" t="s">
        <v>111</v>
      </c>
    </row>
    <row r="180" spans="2:14" x14ac:dyDescent="0.25">
      <c r="B180" s="91">
        <v>46059</v>
      </c>
      <c r="C180" s="63">
        <v>1</v>
      </c>
      <c r="D180" s="63" t="s">
        <v>193</v>
      </c>
      <c r="E180" s="65" t="s">
        <v>285</v>
      </c>
      <c r="F180" s="63" t="s">
        <v>166</v>
      </c>
      <c r="G180" s="63" t="s">
        <v>111</v>
      </c>
      <c r="H180" s="63">
        <v>79</v>
      </c>
      <c r="I180" s="65" t="s">
        <v>292</v>
      </c>
      <c r="J180" s="63">
        <v>2598</v>
      </c>
      <c r="K180" s="64">
        <v>759.4</v>
      </c>
      <c r="L180" s="63" t="s">
        <v>490</v>
      </c>
      <c r="M180" s="65" t="str">
        <f t="shared" si="2"/>
        <v>GRANORTEBEIRA RIOPEDRA PULMÃO</v>
      </c>
      <c r="N180" s="85" t="s">
        <v>111</v>
      </c>
    </row>
    <row r="181" spans="2:14" x14ac:dyDescent="0.25">
      <c r="B181" s="91">
        <v>46059</v>
      </c>
      <c r="C181" s="63">
        <v>1</v>
      </c>
      <c r="D181" s="63" t="s">
        <v>202</v>
      </c>
      <c r="E181" s="65" t="s">
        <v>214</v>
      </c>
      <c r="F181" s="63" t="s">
        <v>163</v>
      </c>
      <c r="G181" s="63" t="s">
        <v>164</v>
      </c>
      <c r="H181" s="63">
        <v>52</v>
      </c>
      <c r="I181" s="65" t="s">
        <v>165</v>
      </c>
      <c r="J181" s="63">
        <v>4972</v>
      </c>
      <c r="K181" s="64">
        <v>956.61</v>
      </c>
      <c r="L181" s="63" t="s">
        <v>491</v>
      </c>
      <c r="M181" s="65" t="str">
        <f t="shared" si="2"/>
        <v>BRASIL MINERACAOUA SAO LUISPÓ DE BRITA</v>
      </c>
      <c r="N181" s="85" t="s">
        <v>1063</v>
      </c>
    </row>
    <row r="182" spans="2:14" x14ac:dyDescent="0.25">
      <c r="B182" s="91">
        <v>46059</v>
      </c>
      <c r="C182" s="63">
        <v>1</v>
      </c>
      <c r="D182" s="63" t="s">
        <v>283</v>
      </c>
      <c r="E182" s="65" t="s">
        <v>215</v>
      </c>
      <c r="F182" s="63" t="s">
        <v>163</v>
      </c>
      <c r="G182" s="63" t="s">
        <v>164</v>
      </c>
      <c r="H182" s="63">
        <v>52</v>
      </c>
      <c r="I182" s="65" t="s">
        <v>165</v>
      </c>
      <c r="J182" s="63">
        <v>2622</v>
      </c>
      <c r="K182" s="64">
        <v>504.47</v>
      </c>
      <c r="L182" s="63" t="s">
        <v>492</v>
      </c>
      <c r="M182" s="65" t="str">
        <f t="shared" si="2"/>
        <v>BRASIL MINERACAOUA SAO LUISPÓ DE BRITA</v>
      </c>
      <c r="N182" s="85" t="s">
        <v>1063</v>
      </c>
    </row>
    <row r="183" spans="2:14" x14ac:dyDescent="0.25">
      <c r="B183" s="91">
        <v>46059</v>
      </c>
      <c r="C183" s="63">
        <v>1</v>
      </c>
      <c r="D183" s="63" t="s">
        <v>283</v>
      </c>
      <c r="E183" s="65" t="s">
        <v>215</v>
      </c>
      <c r="F183" s="63" t="s">
        <v>163</v>
      </c>
      <c r="G183" s="63" t="s">
        <v>164</v>
      </c>
      <c r="H183" s="63">
        <v>52</v>
      </c>
      <c r="I183" s="65" t="s">
        <v>175</v>
      </c>
      <c r="J183" s="63">
        <v>2606</v>
      </c>
      <c r="K183" s="64">
        <v>501.39</v>
      </c>
      <c r="L183" s="63" t="s">
        <v>493</v>
      </c>
      <c r="M183" s="65" t="str">
        <f t="shared" si="2"/>
        <v>BRASIL MINERACAOUA SAO LUISBRITA 0</v>
      </c>
      <c r="N183" s="85" t="s">
        <v>1063</v>
      </c>
    </row>
    <row r="184" spans="2:14" x14ac:dyDescent="0.25">
      <c r="B184" s="91">
        <v>46059</v>
      </c>
      <c r="C184" s="63">
        <v>1</v>
      </c>
      <c r="D184" s="63" t="s">
        <v>181</v>
      </c>
      <c r="E184" s="65" t="s">
        <v>182</v>
      </c>
      <c r="F184" s="63" t="s">
        <v>166</v>
      </c>
      <c r="G184" s="63" t="s">
        <v>111</v>
      </c>
      <c r="H184" s="63">
        <v>79</v>
      </c>
      <c r="I184" s="65" t="s">
        <v>292</v>
      </c>
      <c r="J184" s="63">
        <v>2544</v>
      </c>
      <c r="K184" s="64">
        <v>743.61</v>
      </c>
      <c r="L184" s="63" t="s">
        <v>494</v>
      </c>
      <c r="M184" s="65" t="str">
        <f t="shared" si="2"/>
        <v>GRANORTEBEIRA RIOPEDRA PULMÃO</v>
      </c>
      <c r="N184" s="85" t="s">
        <v>111</v>
      </c>
    </row>
    <row r="185" spans="2:14" x14ac:dyDescent="0.25">
      <c r="B185" s="91">
        <v>46059</v>
      </c>
      <c r="C185" s="63">
        <v>1</v>
      </c>
      <c r="D185" s="63" t="s">
        <v>181</v>
      </c>
      <c r="E185" s="65" t="s">
        <v>182</v>
      </c>
      <c r="F185" s="63" t="s">
        <v>166</v>
      </c>
      <c r="G185" s="63" t="s">
        <v>111</v>
      </c>
      <c r="H185" s="63">
        <v>79</v>
      </c>
      <c r="I185" s="65" t="s">
        <v>292</v>
      </c>
      <c r="J185" s="63">
        <v>257</v>
      </c>
      <c r="K185" s="64">
        <v>751.21</v>
      </c>
      <c r="L185" s="63" t="s">
        <v>495</v>
      </c>
      <c r="M185" s="65" t="str">
        <f t="shared" si="2"/>
        <v>GRANORTEBEIRA RIOPEDRA PULMÃO</v>
      </c>
      <c r="N185" s="85" t="s">
        <v>111</v>
      </c>
    </row>
    <row r="186" spans="2:14" x14ac:dyDescent="0.25">
      <c r="B186" s="91">
        <v>46059</v>
      </c>
      <c r="C186" s="63">
        <v>1</v>
      </c>
      <c r="D186" s="63" t="s">
        <v>496</v>
      </c>
      <c r="E186" s="65" t="s">
        <v>497</v>
      </c>
      <c r="F186" s="63" t="s">
        <v>166</v>
      </c>
      <c r="G186" s="63" t="s">
        <v>164</v>
      </c>
      <c r="H186" s="63">
        <v>58</v>
      </c>
      <c r="I186" s="65" t="s">
        <v>165</v>
      </c>
      <c r="J186" s="63">
        <v>2818</v>
      </c>
      <c r="K186" s="64">
        <v>604.74</v>
      </c>
      <c r="L186" s="63" t="s">
        <v>498</v>
      </c>
      <c r="M186" s="65" t="str">
        <f t="shared" si="2"/>
        <v>GRANORTEUA SAO LUISPÓ DE BRITA</v>
      </c>
      <c r="N186" s="85" t="s">
        <v>1063</v>
      </c>
    </row>
    <row r="187" spans="2:14" x14ac:dyDescent="0.25">
      <c r="B187" s="91">
        <v>46059</v>
      </c>
      <c r="C187" s="63">
        <v>1</v>
      </c>
      <c r="D187" s="63" t="s">
        <v>192</v>
      </c>
      <c r="E187" s="65" t="s">
        <v>287</v>
      </c>
      <c r="F187" s="63" t="s">
        <v>166</v>
      </c>
      <c r="G187" s="63" t="s">
        <v>164</v>
      </c>
      <c r="H187" s="63">
        <v>58</v>
      </c>
      <c r="I187" s="65" t="s">
        <v>172</v>
      </c>
      <c r="J187" s="63">
        <v>4726</v>
      </c>
      <c r="K187" s="64">
        <v>1014.2</v>
      </c>
      <c r="L187" s="63" t="s">
        <v>499</v>
      </c>
      <c r="M187" s="65" t="str">
        <f t="shared" si="2"/>
        <v>GRANORTEUA SAO LUISBICA CORRIDA</v>
      </c>
      <c r="N187" s="85" t="s">
        <v>1063</v>
      </c>
    </row>
    <row r="188" spans="2:14" x14ac:dyDescent="0.25">
      <c r="B188" s="91">
        <v>46059</v>
      </c>
      <c r="C188" s="63">
        <v>1</v>
      </c>
      <c r="D188" s="63" t="s">
        <v>192</v>
      </c>
      <c r="E188" s="65" t="s">
        <v>287</v>
      </c>
      <c r="F188" s="63" t="s">
        <v>163</v>
      </c>
      <c r="G188" s="63" t="s">
        <v>164</v>
      </c>
      <c r="H188" s="63">
        <v>52</v>
      </c>
      <c r="I188" s="65" t="s">
        <v>175</v>
      </c>
      <c r="J188" s="63">
        <v>4766</v>
      </c>
      <c r="K188" s="64">
        <v>916.98</v>
      </c>
      <c r="L188" s="63" t="s">
        <v>500</v>
      </c>
      <c r="M188" s="65" t="str">
        <f t="shared" si="2"/>
        <v>BRASIL MINERACAOUA SAO LUISBRITA 0</v>
      </c>
      <c r="N188" s="85" t="s">
        <v>1063</v>
      </c>
    </row>
    <row r="189" spans="2:14" x14ac:dyDescent="0.25">
      <c r="B189" s="91">
        <v>46059</v>
      </c>
      <c r="C189" s="63">
        <v>1</v>
      </c>
      <c r="D189" s="63" t="s">
        <v>192</v>
      </c>
      <c r="E189" s="65" t="s">
        <v>287</v>
      </c>
      <c r="F189" s="63" t="s">
        <v>163</v>
      </c>
      <c r="G189" s="63" t="s">
        <v>164</v>
      </c>
      <c r="H189" s="63">
        <v>52</v>
      </c>
      <c r="I189" s="65" t="s">
        <v>175</v>
      </c>
      <c r="J189" s="63">
        <v>6866</v>
      </c>
      <c r="K189" s="64">
        <v>1321.02</v>
      </c>
      <c r="L189" s="63" t="s">
        <v>501</v>
      </c>
      <c r="M189" s="65" t="str">
        <f t="shared" si="2"/>
        <v>BRASIL MINERACAOUA SAO LUISBRITA 0</v>
      </c>
      <c r="N189" s="85" t="s">
        <v>1063</v>
      </c>
    </row>
    <row r="190" spans="2:14" x14ac:dyDescent="0.25">
      <c r="B190" s="91">
        <v>46059</v>
      </c>
      <c r="C190" s="63">
        <v>1</v>
      </c>
      <c r="D190" s="63" t="s">
        <v>496</v>
      </c>
      <c r="E190" s="65" t="s">
        <v>497</v>
      </c>
      <c r="F190" s="63" t="s">
        <v>163</v>
      </c>
      <c r="G190" s="63" t="s">
        <v>164</v>
      </c>
      <c r="H190" s="63">
        <v>52</v>
      </c>
      <c r="I190" s="65" t="s">
        <v>175</v>
      </c>
      <c r="J190" s="63">
        <v>3024</v>
      </c>
      <c r="K190" s="64">
        <v>581.82000000000005</v>
      </c>
      <c r="L190" s="63" t="s">
        <v>502</v>
      </c>
      <c r="M190" s="65" t="str">
        <f t="shared" si="2"/>
        <v>BRASIL MINERACAOUA SAO LUISBRITA 0</v>
      </c>
      <c r="N190" s="85" t="s">
        <v>1063</v>
      </c>
    </row>
    <row r="191" spans="2:14" x14ac:dyDescent="0.25">
      <c r="B191" s="91">
        <v>46059</v>
      </c>
      <c r="C191" s="63">
        <v>1</v>
      </c>
      <c r="D191" s="63" t="s">
        <v>270</v>
      </c>
      <c r="E191" s="65" t="s">
        <v>288</v>
      </c>
      <c r="F191" s="63" t="s">
        <v>166</v>
      </c>
      <c r="G191" s="63" t="s">
        <v>164</v>
      </c>
      <c r="H191" s="63">
        <v>58</v>
      </c>
      <c r="I191" s="65" t="s">
        <v>165</v>
      </c>
      <c r="J191" s="63">
        <v>467</v>
      </c>
      <c r="K191" s="64">
        <v>1002.18</v>
      </c>
      <c r="L191" s="63" t="s">
        <v>503</v>
      </c>
      <c r="M191" s="65" t="str">
        <f t="shared" si="2"/>
        <v>GRANORTEUA SAO LUISPÓ DE BRITA</v>
      </c>
      <c r="N191" s="85" t="s">
        <v>1063</v>
      </c>
    </row>
    <row r="192" spans="2:14" x14ac:dyDescent="0.25">
      <c r="B192" s="91">
        <v>46059</v>
      </c>
      <c r="C192" s="63">
        <v>1</v>
      </c>
      <c r="D192" s="63" t="s">
        <v>200</v>
      </c>
      <c r="E192" s="65" t="s">
        <v>201</v>
      </c>
      <c r="F192" s="63" t="s">
        <v>163</v>
      </c>
      <c r="G192" s="63" t="s">
        <v>164</v>
      </c>
      <c r="H192" s="63">
        <v>52</v>
      </c>
      <c r="I192" s="65" t="s">
        <v>165</v>
      </c>
      <c r="J192" s="63">
        <v>2496</v>
      </c>
      <c r="K192" s="64">
        <v>480.23</v>
      </c>
      <c r="L192" s="63" t="s">
        <v>504</v>
      </c>
      <c r="M192" s="65" t="str">
        <f t="shared" si="2"/>
        <v>BRASIL MINERACAOUA SAO LUISPÓ DE BRITA</v>
      </c>
      <c r="N192" s="85" t="s">
        <v>1063</v>
      </c>
    </row>
    <row r="193" spans="2:14" x14ac:dyDescent="0.25">
      <c r="B193" s="91">
        <v>46059</v>
      </c>
      <c r="C193" s="63">
        <v>1</v>
      </c>
      <c r="D193" s="63" t="s">
        <v>200</v>
      </c>
      <c r="E193" s="65" t="s">
        <v>201</v>
      </c>
      <c r="F193" s="63" t="s">
        <v>163</v>
      </c>
      <c r="G193" s="63" t="s">
        <v>164</v>
      </c>
      <c r="H193" s="63">
        <v>52</v>
      </c>
      <c r="I193" s="65" t="s">
        <v>165</v>
      </c>
      <c r="J193" s="63">
        <v>236</v>
      </c>
      <c r="K193" s="64">
        <v>454.06</v>
      </c>
      <c r="L193" s="63" t="s">
        <v>505</v>
      </c>
      <c r="M193" s="65" t="str">
        <f t="shared" si="2"/>
        <v>BRASIL MINERACAOUA SAO LUISPÓ DE BRITA</v>
      </c>
      <c r="N193" s="85" t="s">
        <v>1063</v>
      </c>
    </row>
    <row r="194" spans="2:14" x14ac:dyDescent="0.25">
      <c r="B194" s="91">
        <v>46059</v>
      </c>
      <c r="C194" s="63">
        <v>1</v>
      </c>
      <c r="D194" s="63" t="s">
        <v>183</v>
      </c>
      <c r="E194" s="65" t="s">
        <v>506</v>
      </c>
      <c r="F194" s="63" t="s">
        <v>166</v>
      </c>
      <c r="G194" s="63" t="s">
        <v>111</v>
      </c>
      <c r="H194" s="63">
        <v>79</v>
      </c>
      <c r="I194" s="65" t="s">
        <v>292</v>
      </c>
      <c r="J194" s="63">
        <v>2706</v>
      </c>
      <c r="K194" s="64">
        <v>790.96</v>
      </c>
      <c r="L194" s="63" t="s">
        <v>507</v>
      </c>
      <c r="M194" s="65" t="str">
        <f t="shared" si="2"/>
        <v>GRANORTEBEIRA RIOPEDRA PULMÃO</v>
      </c>
      <c r="N194" s="85" t="s">
        <v>111</v>
      </c>
    </row>
    <row r="195" spans="2:14" x14ac:dyDescent="0.25">
      <c r="B195" s="91">
        <v>46059</v>
      </c>
      <c r="C195" s="63">
        <v>2</v>
      </c>
      <c r="D195" s="63" t="s">
        <v>294</v>
      </c>
      <c r="E195" s="65" t="s">
        <v>295</v>
      </c>
      <c r="F195" s="63" t="s">
        <v>276</v>
      </c>
      <c r="G195" s="63" t="s">
        <v>277</v>
      </c>
      <c r="H195" s="63">
        <v>118</v>
      </c>
      <c r="I195" s="65" t="s">
        <v>165</v>
      </c>
      <c r="J195" s="63">
        <v>4044</v>
      </c>
      <c r="K195" s="64">
        <v>1527.01</v>
      </c>
      <c r="L195" s="63" t="s">
        <v>994</v>
      </c>
      <c r="M195" s="65" t="str">
        <f t="shared" si="2"/>
        <v>MINERADORA PORTO FRANCOCONCRENORTEPÓ DE BRITA</v>
      </c>
      <c r="N195" s="85" t="s">
        <v>1065</v>
      </c>
    </row>
    <row r="196" spans="2:14" x14ac:dyDescent="0.25">
      <c r="B196" s="91">
        <v>46060</v>
      </c>
      <c r="C196" s="63">
        <v>1</v>
      </c>
      <c r="D196" s="63" t="s">
        <v>202</v>
      </c>
      <c r="E196" s="65" t="s">
        <v>214</v>
      </c>
      <c r="F196" s="63" t="s">
        <v>163</v>
      </c>
      <c r="G196" s="63" t="s">
        <v>164</v>
      </c>
      <c r="H196" s="63">
        <v>52</v>
      </c>
      <c r="I196" s="65" t="s">
        <v>175</v>
      </c>
      <c r="J196" s="63">
        <v>6952</v>
      </c>
      <c r="K196" s="64">
        <v>1337.56</v>
      </c>
      <c r="L196" s="63" t="s">
        <v>508</v>
      </c>
      <c r="M196" s="65" t="str">
        <f t="shared" si="2"/>
        <v>BRASIL MINERACAOUA SAO LUISBRITA 0</v>
      </c>
      <c r="N196" s="85" t="s">
        <v>1063</v>
      </c>
    </row>
    <row r="197" spans="2:14" x14ac:dyDescent="0.25">
      <c r="B197" s="91">
        <v>46060</v>
      </c>
      <c r="C197" s="63">
        <v>1</v>
      </c>
      <c r="D197" s="63" t="s">
        <v>210</v>
      </c>
      <c r="E197" s="65" t="s">
        <v>211</v>
      </c>
      <c r="F197" s="63" t="s">
        <v>163</v>
      </c>
      <c r="G197" s="63" t="s">
        <v>164</v>
      </c>
      <c r="H197" s="63">
        <v>52</v>
      </c>
      <c r="I197" s="65" t="s">
        <v>195</v>
      </c>
      <c r="J197" s="63">
        <v>239</v>
      </c>
      <c r="K197" s="64">
        <v>459.84</v>
      </c>
      <c r="L197" s="63" t="s">
        <v>509</v>
      </c>
      <c r="M197" s="65" t="str">
        <f t="shared" ref="M197:M260" si="3">F197&amp;G197&amp;I197</f>
        <v>BRASIL MINERACAOUA SAO LUISBRITA 1</v>
      </c>
      <c r="N197" s="85" t="s">
        <v>1063</v>
      </c>
    </row>
    <row r="198" spans="2:14" x14ac:dyDescent="0.25">
      <c r="B198" s="91">
        <v>46060</v>
      </c>
      <c r="C198" s="63">
        <v>1</v>
      </c>
      <c r="D198" s="63" t="s">
        <v>200</v>
      </c>
      <c r="E198" s="65" t="s">
        <v>201</v>
      </c>
      <c r="F198" s="63" t="s">
        <v>163</v>
      </c>
      <c r="G198" s="63" t="s">
        <v>164</v>
      </c>
      <c r="H198" s="63">
        <v>52</v>
      </c>
      <c r="I198" s="65" t="s">
        <v>175</v>
      </c>
      <c r="J198" s="63">
        <v>2636</v>
      </c>
      <c r="K198" s="64">
        <v>507.17</v>
      </c>
      <c r="L198" s="63" t="s">
        <v>510</v>
      </c>
      <c r="M198" s="65" t="str">
        <f t="shared" si="3"/>
        <v>BRASIL MINERACAOUA SAO LUISBRITA 0</v>
      </c>
      <c r="N198" s="85" t="s">
        <v>1063</v>
      </c>
    </row>
    <row r="199" spans="2:14" x14ac:dyDescent="0.25">
      <c r="B199" s="91">
        <v>46060</v>
      </c>
      <c r="C199" s="63">
        <v>1</v>
      </c>
      <c r="D199" s="63" t="s">
        <v>192</v>
      </c>
      <c r="E199" s="65" t="s">
        <v>287</v>
      </c>
      <c r="F199" s="63" t="s">
        <v>163</v>
      </c>
      <c r="G199" s="63" t="s">
        <v>164</v>
      </c>
      <c r="H199" s="63">
        <v>52</v>
      </c>
      <c r="I199" s="65" t="s">
        <v>175</v>
      </c>
      <c r="J199" s="63">
        <v>4864</v>
      </c>
      <c r="K199" s="64">
        <v>935.83</v>
      </c>
      <c r="L199" s="63" t="s">
        <v>511</v>
      </c>
      <c r="M199" s="65" t="str">
        <f t="shared" si="3"/>
        <v>BRASIL MINERACAOUA SAO LUISBRITA 0</v>
      </c>
      <c r="N199" s="85" t="s">
        <v>1063</v>
      </c>
    </row>
    <row r="200" spans="2:14" x14ac:dyDescent="0.25">
      <c r="B200" s="91">
        <v>46060</v>
      </c>
      <c r="C200" s="63">
        <v>1</v>
      </c>
      <c r="D200" s="63" t="s">
        <v>496</v>
      </c>
      <c r="E200" s="65" t="s">
        <v>497</v>
      </c>
      <c r="F200" s="63" t="s">
        <v>163</v>
      </c>
      <c r="G200" s="63" t="s">
        <v>164</v>
      </c>
      <c r="H200" s="63">
        <v>52</v>
      </c>
      <c r="I200" s="65" t="s">
        <v>175</v>
      </c>
      <c r="J200" s="63">
        <v>2966</v>
      </c>
      <c r="K200" s="64">
        <v>570.66</v>
      </c>
      <c r="L200" s="63" t="s">
        <v>512</v>
      </c>
      <c r="M200" s="65" t="str">
        <f t="shared" si="3"/>
        <v>BRASIL MINERACAOUA SAO LUISBRITA 0</v>
      </c>
      <c r="N200" s="85" t="s">
        <v>1063</v>
      </c>
    </row>
    <row r="201" spans="2:14" x14ac:dyDescent="0.25">
      <c r="B201" s="91">
        <v>46060</v>
      </c>
      <c r="C201" s="63">
        <v>1</v>
      </c>
      <c r="D201" s="63" t="s">
        <v>200</v>
      </c>
      <c r="E201" s="65" t="s">
        <v>201</v>
      </c>
      <c r="F201" s="63" t="s">
        <v>163</v>
      </c>
      <c r="G201" s="63" t="s">
        <v>164</v>
      </c>
      <c r="H201" s="63">
        <v>52</v>
      </c>
      <c r="I201" s="65" t="s">
        <v>165</v>
      </c>
      <c r="J201" s="63">
        <v>2536</v>
      </c>
      <c r="K201" s="64">
        <v>487.93</v>
      </c>
      <c r="L201" s="63" t="s">
        <v>513</v>
      </c>
      <c r="M201" s="65" t="str">
        <f t="shared" si="3"/>
        <v>BRASIL MINERACAOUA SAO LUISPÓ DE BRITA</v>
      </c>
      <c r="N201" s="85" t="s">
        <v>1063</v>
      </c>
    </row>
    <row r="202" spans="2:14" x14ac:dyDescent="0.25">
      <c r="B202" s="91">
        <v>46060</v>
      </c>
      <c r="C202" s="63">
        <v>1</v>
      </c>
      <c r="D202" s="63" t="s">
        <v>286</v>
      </c>
      <c r="E202" s="65" t="s">
        <v>343</v>
      </c>
      <c r="F202" s="63" t="s">
        <v>163</v>
      </c>
      <c r="G202" s="63" t="s">
        <v>164</v>
      </c>
      <c r="H202" s="63">
        <v>52</v>
      </c>
      <c r="I202" s="65" t="s">
        <v>175</v>
      </c>
      <c r="J202" s="63">
        <v>454</v>
      </c>
      <c r="K202" s="64">
        <v>873.5</v>
      </c>
      <c r="L202" s="63" t="s">
        <v>514</v>
      </c>
      <c r="M202" s="65" t="str">
        <f t="shared" si="3"/>
        <v>BRASIL MINERACAOUA SAO LUISBRITA 0</v>
      </c>
      <c r="N202" s="85" t="s">
        <v>1063</v>
      </c>
    </row>
    <row r="203" spans="2:14" x14ac:dyDescent="0.25">
      <c r="B203" s="67">
        <v>46060</v>
      </c>
      <c r="C203" s="63">
        <v>1</v>
      </c>
      <c r="D203" s="63" t="s">
        <v>219</v>
      </c>
      <c r="E203" s="68" t="s">
        <v>1072</v>
      </c>
      <c r="F203" s="63" t="s">
        <v>1069</v>
      </c>
      <c r="G203" s="63" t="s">
        <v>1070</v>
      </c>
      <c r="H203" s="63">
        <v>52</v>
      </c>
      <c r="I203" s="68" t="s">
        <v>175</v>
      </c>
      <c r="J203" s="63">
        <v>36.14</v>
      </c>
      <c r="K203" s="64">
        <v>695.33359999999993</v>
      </c>
      <c r="L203" s="63" t="s">
        <v>1093</v>
      </c>
      <c r="M203" s="65" t="str">
        <f t="shared" si="3"/>
        <v>BRASIL MINERAÇÃOUA-11 DistritoBRITA 0</v>
      </c>
      <c r="N203" s="78" t="s">
        <v>1063</v>
      </c>
    </row>
    <row r="204" spans="2:14" x14ac:dyDescent="0.25">
      <c r="B204" s="91">
        <v>46062</v>
      </c>
      <c r="C204" s="63">
        <v>1</v>
      </c>
      <c r="D204" s="63" t="s">
        <v>176</v>
      </c>
      <c r="E204" s="65" t="s">
        <v>177</v>
      </c>
      <c r="F204" s="63" t="s">
        <v>163</v>
      </c>
      <c r="G204" s="63" t="s">
        <v>164</v>
      </c>
      <c r="H204" s="63">
        <v>52</v>
      </c>
      <c r="I204" s="65" t="s">
        <v>175</v>
      </c>
      <c r="J204" s="63">
        <v>2698</v>
      </c>
      <c r="K204" s="64">
        <v>519.1</v>
      </c>
      <c r="L204" s="63" t="s">
        <v>515</v>
      </c>
      <c r="M204" s="65" t="str">
        <f t="shared" si="3"/>
        <v>BRASIL MINERACAOUA SAO LUISBRITA 0</v>
      </c>
      <c r="N204" s="85" t="s">
        <v>1063</v>
      </c>
    </row>
    <row r="205" spans="2:14" x14ac:dyDescent="0.25">
      <c r="B205" s="91">
        <v>46062</v>
      </c>
      <c r="C205" s="63">
        <v>1</v>
      </c>
      <c r="D205" s="63" t="s">
        <v>188</v>
      </c>
      <c r="E205" s="65" t="s">
        <v>189</v>
      </c>
      <c r="F205" s="63" t="s">
        <v>163</v>
      </c>
      <c r="G205" s="63" t="s">
        <v>164</v>
      </c>
      <c r="H205" s="63">
        <v>52</v>
      </c>
      <c r="I205" s="65" t="s">
        <v>175</v>
      </c>
      <c r="J205" s="63">
        <v>4966</v>
      </c>
      <c r="K205" s="64">
        <v>955.46</v>
      </c>
      <c r="L205" s="63" t="s">
        <v>516</v>
      </c>
      <c r="M205" s="65" t="str">
        <f t="shared" si="3"/>
        <v>BRASIL MINERACAOUA SAO LUISBRITA 0</v>
      </c>
      <c r="N205" s="85" t="s">
        <v>1063</v>
      </c>
    </row>
    <row r="206" spans="2:14" x14ac:dyDescent="0.25">
      <c r="B206" s="91">
        <v>46062</v>
      </c>
      <c r="C206" s="63">
        <v>1</v>
      </c>
      <c r="D206" s="63" t="s">
        <v>219</v>
      </c>
      <c r="E206" s="65" t="s">
        <v>220</v>
      </c>
      <c r="F206" s="63" t="s">
        <v>163</v>
      </c>
      <c r="G206" s="63" t="s">
        <v>164</v>
      </c>
      <c r="H206" s="63">
        <v>52</v>
      </c>
      <c r="I206" s="65" t="s">
        <v>175</v>
      </c>
      <c r="J206" s="63">
        <v>746</v>
      </c>
      <c r="K206" s="64">
        <v>1435.3</v>
      </c>
      <c r="L206" s="63" t="s">
        <v>517</v>
      </c>
      <c r="M206" s="65" t="str">
        <f t="shared" si="3"/>
        <v>BRASIL MINERACAOUA SAO LUISBRITA 0</v>
      </c>
      <c r="N206" s="85" t="s">
        <v>1063</v>
      </c>
    </row>
    <row r="207" spans="2:14" x14ac:dyDescent="0.25">
      <c r="B207" s="91">
        <v>46062</v>
      </c>
      <c r="C207" s="63">
        <v>1</v>
      </c>
      <c r="D207" s="63" t="s">
        <v>219</v>
      </c>
      <c r="E207" s="65" t="s">
        <v>220</v>
      </c>
      <c r="F207" s="63" t="s">
        <v>163</v>
      </c>
      <c r="G207" s="63" t="s">
        <v>164</v>
      </c>
      <c r="H207" s="63">
        <v>52</v>
      </c>
      <c r="I207" s="65" t="s">
        <v>175</v>
      </c>
      <c r="J207" s="63">
        <v>415</v>
      </c>
      <c r="K207" s="64">
        <v>798.46</v>
      </c>
      <c r="L207" s="63" t="s">
        <v>518</v>
      </c>
      <c r="M207" s="65" t="str">
        <f t="shared" si="3"/>
        <v>BRASIL MINERACAOUA SAO LUISBRITA 0</v>
      </c>
      <c r="N207" s="85" t="s">
        <v>1063</v>
      </c>
    </row>
    <row r="208" spans="2:14" x14ac:dyDescent="0.25">
      <c r="B208" s="91">
        <v>46062</v>
      </c>
      <c r="C208" s="63">
        <v>1</v>
      </c>
      <c r="D208" s="63" t="s">
        <v>219</v>
      </c>
      <c r="E208" s="65" t="s">
        <v>220</v>
      </c>
      <c r="F208" s="63" t="s">
        <v>163</v>
      </c>
      <c r="G208" s="63" t="s">
        <v>164</v>
      </c>
      <c r="H208" s="63">
        <v>52</v>
      </c>
      <c r="I208" s="65" t="s">
        <v>175</v>
      </c>
      <c r="J208" s="63">
        <v>525</v>
      </c>
      <c r="K208" s="64">
        <v>1010.1</v>
      </c>
      <c r="L208" s="63" t="s">
        <v>519</v>
      </c>
      <c r="M208" s="65" t="str">
        <f t="shared" si="3"/>
        <v>BRASIL MINERACAOUA SAO LUISBRITA 0</v>
      </c>
      <c r="N208" s="85" t="s">
        <v>1063</v>
      </c>
    </row>
    <row r="209" spans="2:14" x14ac:dyDescent="0.25">
      <c r="B209" s="91">
        <v>46062</v>
      </c>
      <c r="C209" s="63">
        <v>1</v>
      </c>
      <c r="D209" s="63" t="s">
        <v>219</v>
      </c>
      <c r="E209" s="65" t="s">
        <v>220</v>
      </c>
      <c r="F209" s="63" t="s">
        <v>163</v>
      </c>
      <c r="G209" s="63" t="s">
        <v>164</v>
      </c>
      <c r="H209" s="63">
        <v>52</v>
      </c>
      <c r="I209" s="65" t="s">
        <v>175</v>
      </c>
      <c r="J209" s="63">
        <v>721</v>
      </c>
      <c r="K209" s="64">
        <v>1387.2</v>
      </c>
      <c r="L209" s="63" t="s">
        <v>520</v>
      </c>
      <c r="M209" s="65" t="str">
        <f t="shared" si="3"/>
        <v>BRASIL MINERACAOUA SAO LUISBRITA 0</v>
      </c>
      <c r="N209" s="85" t="s">
        <v>1063</v>
      </c>
    </row>
    <row r="210" spans="2:14" x14ac:dyDescent="0.25">
      <c r="B210" s="91">
        <v>46062</v>
      </c>
      <c r="C210" s="63">
        <v>1</v>
      </c>
      <c r="D210" s="63" t="s">
        <v>196</v>
      </c>
      <c r="E210" s="65" t="s">
        <v>197</v>
      </c>
      <c r="F210" s="63" t="s">
        <v>163</v>
      </c>
      <c r="G210" s="63" t="s">
        <v>164</v>
      </c>
      <c r="H210" s="63">
        <v>52</v>
      </c>
      <c r="I210" s="65" t="s">
        <v>195</v>
      </c>
      <c r="J210" s="63">
        <v>473</v>
      </c>
      <c r="K210" s="64">
        <v>910.05</v>
      </c>
      <c r="L210" s="63" t="s">
        <v>521</v>
      </c>
      <c r="M210" s="65" t="str">
        <f t="shared" si="3"/>
        <v>BRASIL MINERACAOUA SAO LUISBRITA 1</v>
      </c>
      <c r="N210" s="85" t="s">
        <v>1063</v>
      </c>
    </row>
    <row r="211" spans="2:14" x14ac:dyDescent="0.25">
      <c r="B211" s="91">
        <v>46062</v>
      </c>
      <c r="C211" s="63">
        <v>1</v>
      </c>
      <c r="D211" s="63" t="s">
        <v>202</v>
      </c>
      <c r="E211" s="65" t="s">
        <v>214</v>
      </c>
      <c r="F211" s="63" t="s">
        <v>163</v>
      </c>
      <c r="G211" s="63" t="s">
        <v>164</v>
      </c>
      <c r="H211" s="63">
        <v>52</v>
      </c>
      <c r="I211" s="65" t="s">
        <v>175</v>
      </c>
      <c r="J211" s="63">
        <v>4856</v>
      </c>
      <c r="K211" s="64">
        <v>934.29</v>
      </c>
      <c r="L211" s="63" t="s">
        <v>522</v>
      </c>
      <c r="M211" s="65" t="str">
        <f t="shared" si="3"/>
        <v>BRASIL MINERACAOUA SAO LUISBRITA 0</v>
      </c>
      <c r="N211" s="85" t="s">
        <v>1063</v>
      </c>
    </row>
    <row r="212" spans="2:14" x14ac:dyDescent="0.25">
      <c r="B212" s="91">
        <v>46062</v>
      </c>
      <c r="C212" s="63">
        <v>1</v>
      </c>
      <c r="D212" s="63" t="s">
        <v>170</v>
      </c>
      <c r="E212" s="65" t="s">
        <v>171</v>
      </c>
      <c r="F212" s="63" t="s">
        <v>166</v>
      </c>
      <c r="G212" s="63" t="s">
        <v>111</v>
      </c>
      <c r="H212" s="63">
        <v>79</v>
      </c>
      <c r="I212" s="65" t="s">
        <v>169</v>
      </c>
      <c r="J212" s="63">
        <v>2446</v>
      </c>
      <c r="K212" s="64">
        <v>714.97</v>
      </c>
      <c r="L212" s="63" t="s">
        <v>523</v>
      </c>
      <c r="M212" s="65" t="str">
        <f t="shared" si="3"/>
        <v>GRANORTEBEIRA RIOPULMÃOZINHO</v>
      </c>
      <c r="N212" s="85" t="s">
        <v>111</v>
      </c>
    </row>
    <row r="213" spans="2:14" x14ac:dyDescent="0.25">
      <c r="B213" s="91">
        <v>46062</v>
      </c>
      <c r="C213" s="63">
        <v>1</v>
      </c>
      <c r="D213" s="63" t="s">
        <v>188</v>
      </c>
      <c r="E213" s="65" t="s">
        <v>189</v>
      </c>
      <c r="F213" s="63" t="s">
        <v>163</v>
      </c>
      <c r="G213" s="63" t="s">
        <v>164</v>
      </c>
      <c r="H213" s="63">
        <v>52</v>
      </c>
      <c r="I213" s="65" t="s">
        <v>195</v>
      </c>
      <c r="J213" s="63">
        <v>4718</v>
      </c>
      <c r="K213" s="64">
        <v>907.74</v>
      </c>
      <c r="L213" s="63" t="s">
        <v>524</v>
      </c>
      <c r="M213" s="65" t="str">
        <f t="shared" si="3"/>
        <v>BRASIL MINERACAOUA SAO LUISBRITA 1</v>
      </c>
      <c r="N213" s="85" t="s">
        <v>1063</v>
      </c>
    </row>
    <row r="214" spans="2:14" x14ac:dyDescent="0.25">
      <c r="B214" s="91">
        <v>46062</v>
      </c>
      <c r="C214" s="63">
        <v>1</v>
      </c>
      <c r="D214" s="63" t="s">
        <v>179</v>
      </c>
      <c r="E214" s="65" t="s">
        <v>282</v>
      </c>
      <c r="F214" s="63" t="s">
        <v>166</v>
      </c>
      <c r="G214" s="63" t="s">
        <v>111</v>
      </c>
      <c r="H214" s="63">
        <v>79</v>
      </c>
      <c r="I214" s="65" t="s">
        <v>169</v>
      </c>
      <c r="J214" s="63">
        <v>2512</v>
      </c>
      <c r="K214" s="64">
        <v>734.26</v>
      </c>
      <c r="L214" s="63" t="s">
        <v>525</v>
      </c>
      <c r="M214" s="65" t="str">
        <f t="shared" si="3"/>
        <v>GRANORTEBEIRA RIOPULMÃOZINHO</v>
      </c>
      <c r="N214" s="85" t="s">
        <v>111</v>
      </c>
    </row>
    <row r="215" spans="2:14" x14ac:dyDescent="0.25">
      <c r="B215" s="91">
        <v>46062</v>
      </c>
      <c r="C215" s="63">
        <v>1</v>
      </c>
      <c r="D215" s="63" t="s">
        <v>162</v>
      </c>
      <c r="E215" s="65" t="s">
        <v>281</v>
      </c>
      <c r="F215" s="63" t="s">
        <v>166</v>
      </c>
      <c r="G215" s="63" t="s">
        <v>164</v>
      </c>
      <c r="H215" s="63">
        <v>58</v>
      </c>
      <c r="I215" s="65" t="s">
        <v>169</v>
      </c>
      <c r="J215" s="63">
        <v>255</v>
      </c>
      <c r="K215" s="64">
        <v>547.23</v>
      </c>
      <c r="L215" s="63" t="s">
        <v>526</v>
      </c>
      <c r="M215" s="65" t="str">
        <f t="shared" si="3"/>
        <v>GRANORTEUA SAO LUISPULMÃOZINHO</v>
      </c>
      <c r="N215" s="85" t="s">
        <v>1063</v>
      </c>
    </row>
    <row r="216" spans="2:14" x14ac:dyDescent="0.25">
      <c r="B216" s="91">
        <v>46062</v>
      </c>
      <c r="C216" s="63">
        <v>1</v>
      </c>
      <c r="D216" s="63" t="s">
        <v>203</v>
      </c>
      <c r="E216" s="65" t="s">
        <v>204</v>
      </c>
      <c r="F216" s="63" t="s">
        <v>163</v>
      </c>
      <c r="G216" s="63" t="s">
        <v>164</v>
      </c>
      <c r="H216" s="63">
        <v>52</v>
      </c>
      <c r="I216" s="65" t="s">
        <v>165</v>
      </c>
      <c r="J216" s="63">
        <v>467</v>
      </c>
      <c r="K216" s="64">
        <v>898.51</v>
      </c>
      <c r="L216" s="63" t="s">
        <v>527</v>
      </c>
      <c r="M216" s="65" t="str">
        <f t="shared" si="3"/>
        <v>BRASIL MINERACAOUA SAO LUISPÓ DE BRITA</v>
      </c>
      <c r="N216" s="85" t="s">
        <v>1063</v>
      </c>
    </row>
    <row r="217" spans="2:14" x14ac:dyDescent="0.25">
      <c r="B217" s="91">
        <v>46062</v>
      </c>
      <c r="C217" s="63">
        <v>1</v>
      </c>
      <c r="D217" s="63" t="s">
        <v>210</v>
      </c>
      <c r="E217" s="65" t="s">
        <v>211</v>
      </c>
      <c r="F217" s="63" t="s">
        <v>163</v>
      </c>
      <c r="G217" s="63" t="s">
        <v>164</v>
      </c>
      <c r="H217" s="63">
        <v>52</v>
      </c>
      <c r="I217" s="65" t="s">
        <v>165</v>
      </c>
      <c r="J217" s="63">
        <v>227</v>
      </c>
      <c r="K217" s="64">
        <v>436.75</v>
      </c>
      <c r="L217" s="63" t="s">
        <v>528</v>
      </c>
      <c r="M217" s="65" t="str">
        <f t="shared" si="3"/>
        <v>BRASIL MINERACAOUA SAO LUISPÓ DE BRITA</v>
      </c>
      <c r="N217" s="85" t="s">
        <v>1063</v>
      </c>
    </row>
    <row r="218" spans="2:14" x14ac:dyDescent="0.25">
      <c r="B218" s="91">
        <v>46062</v>
      </c>
      <c r="C218" s="63">
        <v>1</v>
      </c>
      <c r="D218" s="63" t="s">
        <v>173</v>
      </c>
      <c r="E218" s="65" t="s">
        <v>174</v>
      </c>
      <c r="F218" s="63" t="s">
        <v>166</v>
      </c>
      <c r="G218" s="63" t="s">
        <v>111</v>
      </c>
      <c r="H218" s="63">
        <v>79</v>
      </c>
      <c r="I218" s="65" t="s">
        <v>169</v>
      </c>
      <c r="J218" s="63">
        <v>2526</v>
      </c>
      <c r="K218" s="64">
        <v>738.35</v>
      </c>
      <c r="L218" s="63" t="s">
        <v>529</v>
      </c>
      <c r="M218" s="65" t="str">
        <f t="shared" si="3"/>
        <v>GRANORTEBEIRA RIOPULMÃOZINHO</v>
      </c>
      <c r="N218" s="85" t="s">
        <v>111</v>
      </c>
    </row>
    <row r="219" spans="2:14" x14ac:dyDescent="0.25">
      <c r="B219" s="91">
        <v>46062</v>
      </c>
      <c r="C219" s="63">
        <v>1</v>
      </c>
      <c r="D219" s="63" t="s">
        <v>208</v>
      </c>
      <c r="E219" s="65" t="s">
        <v>209</v>
      </c>
      <c r="F219" s="63" t="s">
        <v>166</v>
      </c>
      <c r="G219" s="63" t="s">
        <v>164</v>
      </c>
      <c r="H219" s="63">
        <v>58</v>
      </c>
      <c r="I219" s="65" t="s">
        <v>165</v>
      </c>
      <c r="J219" s="63">
        <v>580</v>
      </c>
      <c r="K219" s="64">
        <v>1244.68</v>
      </c>
      <c r="L219" s="63" t="s">
        <v>530</v>
      </c>
      <c r="M219" s="65" t="str">
        <f t="shared" si="3"/>
        <v>GRANORTEUA SAO LUISPÓ DE BRITA</v>
      </c>
      <c r="N219" s="85" t="s">
        <v>1063</v>
      </c>
    </row>
    <row r="220" spans="2:14" x14ac:dyDescent="0.25">
      <c r="B220" s="91">
        <v>46062</v>
      </c>
      <c r="C220" s="63">
        <v>1</v>
      </c>
      <c r="D220" s="63" t="s">
        <v>188</v>
      </c>
      <c r="E220" s="65" t="s">
        <v>189</v>
      </c>
      <c r="F220" s="63" t="s">
        <v>163</v>
      </c>
      <c r="G220" s="63" t="s">
        <v>164</v>
      </c>
      <c r="H220" s="63">
        <v>52</v>
      </c>
      <c r="I220" s="65" t="s">
        <v>195</v>
      </c>
      <c r="J220" s="63">
        <v>4822</v>
      </c>
      <c r="K220" s="64">
        <v>927.75</v>
      </c>
      <c r="L220" s="63" t="s">
        <v>531</v>
      </c>
      <c r="M220" s="65" t="str">
        <f t="shared" si="3"/>
        <v>BRASIL MINERACAOUA SAO LUISBRITA 1</v>
      </c>
      <c r="N220" s="85" t="s">
        <v>1063</v>
      </c>
    </row>
    <row r="221" spans="2:14" x14ac:dyDescent="0.25">
      <c r="B221" s="91">
        <v>46062</v>
      </c>
      <c r="C221" s="63">
        <v>1</v>
      </c>
      <c r="D221" s="63" t="s">
        <v>196</v>
      </c>
      <c r="E221" s="65" t="s">
        <v>197</v>
      </c>
      <c r="F221" s="63" t="s">
        <v>163</v>
      </c>
      <c r="G221" s="63" t="s">
        <v>164</v>
      </c>
      <c r="H221" s="63">
        <v>52</v>
      </c>
      <c r="I221" s="65" t="s">
        <v>165</v>
      </c>
      <c r="J221" s="63">
        <v>4708</v>
      </c>
      <c r="K221" s="64">
        <v>905.82</v>
      </c>
      <c r="L221" s="63" t="s">
        <v>532</v>
      </c>
      <c r="M221" s="65" t="str">
        <f t="shared" si="3"/>
        <v>BRASIL MINERACAOUA SAO LUISPÓ DE BRITA</v>
      </c>
      <c r="N221" s="85" t="s">
        <v>1063</v>
      </c>
    </row>
    <row r="222" spans="2:14" x14ac:dyDescent="0.25">
      <c r="B222" s="91">
        <v>46062</v>
      </c>
      <c r="C222" s="63">
        <v>1</v>
      </c>
      <c r="D222" s="63" t="s">
        <v>202</v>
      </c>
      <c r="E222" s="65" t="s">
        <v>214</v>
      </c>
      <c r="F222" s="63" t="s">
        <v>163</v>
      </c>
      <c r="G222" s="63" t="s">
        <v>164</v>
      </c>
      <c r="H222" s="63">
        <v>52</v>
      </c>
      <c r="I222" s="65" t="s">
        <v>195</v>
      </c>
      <c r="J222" s="63">
        <v>4784</v>
      </c>
      <c r="K222" s="64">
        <v>920.44</v>
      </c>
      <c r="L222" s="63" t="s">
        <v>533</v>
      </c>
      <c r="M222" s="65" t="str">
        <f t="shared" si="3"/>
        <v>BRASIL MINERACAOUA SAO LUISBRITA 1</v>
      </c>
      <c r="N222" s="85" t="s">
        <v>1063</v>
      </c>
    </row>
    <row r="223" spans="2:14" x14ac:dyDescent="0.25">
      <c r="B223" s="91">
        <v>46062</v>
      </c>
      <c r="C223" s="63">
        <v>1</v>
      </c>
      <c r="D223" s="63" t="s">
        <v>210</v>
      </c>
      <c r="E223" s="65" t="s">
        <v>211</v>
      </c>
      <c r="F223" s="63" t="s">
        <v>166</v>
      </c>
      <c r="G223" s="63" t="s">
        <v>164</v>
      </c>
      <c r="H223" s="63">
        <v>58</v>
      </c>
      <c r="I223" s="65" t="s">
        <v>165</v>
      </c>
      <c r="J223" s="63">
        <v>2464</v>
      </c>
      <c r="K223" s="64">
        <v>528.77</v>
      </c>
      <c r="L223" s="63" t="s">
        <v>534</v>
      </c>
      <c r="M223" s="65" t="str">
        <f t="shared" si="3"/>
        <v>GRANORTEUA SAO LUISPÓ DE BRITA</v>
      </c>
      <c r="N223" s="85" t="s">
        <v>1063</v>
      </c>
    </row>
    <row r="224" spans="2:14" x14ac:dyDescent="0.25">
      <c r="B224" s="91">
        <v>46062</v>
      </c>
      <c r="C224" s="63">
        <v>1</v>
      </c>
      <c r="D224" s="63" t="s">
        <v>192</v>
      </c>
      <c r="E224" s="65" t="s">
        <v>287</v>
      </c>
      <c r="F224" s="63" t="s">
        <v>163</v>
      </c>
      <c r="G224" s="63" t="s">
        <v>164</v>
      </c>
      <c r="H224" s="63">
        <v>52</v>
      </c>
      <c r="I224" s="65" t="s">
        <v>195</v>
      </c>
      <c r="J224" s="63">
        <v>4716</v>
      </c>
      <c r="K224" s="64">
        <v>907.36</v>
      </c>
      <c r="L224" s="63" t="s">
        <v>535</v>
      </c>
      <c r="M224" s="65" t="str">
        <f t="shared" si="3"/>
        <v>BRASIL MINERACAOUA SAO LUISBRITA 1</v>
      </c>
      <c r="N224" s="85" t="s">
        <v>1063</v>
      </c>
    </row>
    <row r="225" spans="2:14" x14ac:dyDescent="0.25">
      <c r="B225" s="91">
        <v>46062</v>
      </c>
      <c r="C225" s="63">
        <v>1</v>
      </c>
      <c r="D225" s="63" t="s">
        <v>192</v>
      </c>
      <c r="E225" s="65" t="s">
        <v>287</v>
      </c>
      <c r="F225" s="63" t="s">
        <v>163</v>
      </c>
      <c r="G225" s="63" t="s">
        <v>164</v>
      </c>
      <c r="H225" s="63">
        <v>52</v>
      </c>
      <c r="I225" s="65" t="s">
        <v>195</v>
      </c>
      <c r="J225" s="63">
        <v>469</v>
      </c>
      <c r="K225" s="64">
        <v>902.36</v>
      </c>
      <c r="L225" s="63" t="s">
        <v>536</v>
      </c>
      <c r="M225" s="65" t="str">
        <f t="shared" si="3"/>
        <v>BRASIL MINERACAOUA SAO LUISBRITA 1</v>
      </c>
      <c r="N225" s="85" t="s">
        <v>1063</v>
      </c>
    </row>
    <row r="226" spans="2:14" x14ac:dyDescent="0.25">
      <c r="B226" s="91">
        <v>46062</v>
      </c>
      <c r="C226" s="63">
        <v>1</v>
      </c>
      <c r="D226" s="63" t="s">
        <v>192</v>
      </c>
      <c r="E226" s="65" t="s">
        <v>287</v>
      </c>
      <c r="F226" s="63" t="s">
        <v>163</v>
      </c>
      <c r="G226" s="63" t="s">
        <v>164</v>
      </c>
      <c r="H226" s="63">
        <v>52</v>
      </c>
      <c r="I226" s="65" t="s">
        <v>195</v>
      </c>
      <c r="J226" s="63">
        <v>4802</v>
      </c>
      <c r="K226" s="64">
        <v>923.9</v>
      </c>
      <c r="L226" s="63" t="s">
        <v>537</v>
      </c>
      <c r="M226" s="65" t="str">
        <f t="shared" si="3"/>
        <v>BRASIL MINERACAOUA SAO LUISBRITA 1</v>
      </c>
      <c r="N226" s="85" t="s">
        <v>1063</v>
      </c>
    </row>
    <row r="227" spans="2:14" x14ac:dyDescent="0.25">
      <c r="B227" s="91">
        <v>46062</v>
      </c>
      <c r="C227" s="63">
        <v>1</v>
      </c>
      <c r="D227" s="63" t="s">
        <v>199</v>
      </c>
      <c r="E227" s="65" t="s">
        <v>180</v>
      </c>
      <c r="F227" s="63" t="s">
        <v>166</v>
      </c>
      <c r="G227" s="63" t="s">
        <v>111</v>
      </c>
      <c r="H227" s="63">
        <v>79</v>
      </c>
      <c r="I227" s="65" t="s">
        <v>169</v>
      </c>
      <c r="J227" s="63">
        <v>2674</v>
      </c>
      <c r="K227" s="64">
        <v>781.61</v>
      </c>
      <c r="L227" s="63" t="s">
        <v>538</v>
      </c>
      <c r="M227" s="65" t="str">
        <f t="shared" si="3"/>
        <v>GRANORTEBEIRA RIOPULMÃOZINHO</v>
      </c>
      <c r="N227" s="85" t="s">
        <v>111</v>
      </c>
    </row>
    <row r="228" spans="2:14" x14ac:dyDescent="0.25">
      <c r="B228" s="91">
        <v>46062</v>
      </c>
      <c r="C228" s="63">
        <v>1</v>
      </c>
      <c r="D228" s="63" t="s">
        <v>283</v>
      </c>
      <c r="E228" s="65" t="s">
        <v>215</v>
      </c>
      <c r="F228" s="63" t="s">
        <v>163</v>
      </c>
      <c r="G228" s="63" t="s">
        <v>164</v>
      </c>
      <c r="H228" s="63">
        <v>52</v>
      </c>
      <c r="I228" s="65" t="s">
        <v>175</v>
      </c>
      <c r="J228" s="63">
        <v>263</v>
      </c>
      <c r="K228" s="64">
        <v>506.01</v>
      </c>
      <c r="L228" s="63" t="s">
        <v>539</v>
      </c>
      <c r="M228" s="65" t="str">
        <f t="shared" si="3"/>
        <v>BRASIL MINERACAOUA SAO LUISBRITA 0</v>
      </c>
      <c r="N228" s="85" t="s">
        <v>1063</v>
      </c>
    </row>
    <row r="229" spans="2:14" x14ac:dyDescent="0.25">
      <c r="B229" s="91">
        <v>46062</v>
      </c>
      <c r="C229" s="63">
        <v>1</v>
      </c>
      <c r="D229" s="63" t="s">
        <v>210</v>
      </c>
      <c r="E229" s="65" t="s">
        <v>211</v>
      </c>
      <c r="F229" s="63" t="s">
        <v>163</v>
      </c>
      <c r="G229" s="63" t="s">
        <v>164</v>
      </c>
      <c r="H229" s="63">
        <v>52</v>
      </c>
      <c r="I229" s="65" t="s">
        <v>165</v>
      </c>
      <c r="J229" s="63">
        <v>2524</v>
      </c>
      <c r="K229" s="64">
        <v>485.62</v>
      </c>
      <c r="L229" s="63" t="s">
        <v>540</v>
      </c>
      <c r="M229" s="65" t="str">
        <f t="shared" si="3"/>
        <v>BRASIL MINERACAOUA SAO LUISPÓ DE BRITA</v>
      </c>
      <c r="N229" s="85" t="s">
        <v>1063</v>
      </c>
    </row>
    <row r="230" spans="2:14" x14ac:dyDescent="0.25">
      <c r="B230" s="91">
        <v>46062</v>
      </c>
      <c r="C230" s="63">
        <v>1</v>
      </c>
      <c r="D230" s="63" t="s">
        <v>270</v>
      </c>
      <c r="E230" s="65" t="s">
        <v>288</v>
      </c>
      <c r="F230" s="63" t="s">
        <v>166</v>
      </c>
      <c r="G230" s="63" t="s">
        <v>164</v>
      </c>
      <c r="H230" s="63">
        <v>58</v>
      </c>
      <c r="I230" s="65" t="s">
        <v>165</v>
      </c>
      <c r="J230" s="63">
        <v>450</v>
      </c>
      <c r="K230" s="64">
        <v>965.7</v>
      </c>
      <c r="L230" s="63" t="s">
        <v>541</v>
      </c>
      <c r="M230" s="65" t="str">
        <f t="shared" si="3"/>
        <v>GRANORTEUA SAO LUISPÓ DE BRITA</v>
      </c>
      <c r="N230" s="85" t="s">
        <v>1063</v>
      </c>
    </row>
    <row r="231" spans="2:14" x14ac:dyDescent="0.25">
      <c r="B231" s="91">
        <v>46062</v>
      </c>
      <c r="C231" s="63">
        <v>1</v>
      </c>
      <c r="D231" s="63" t="s">
        <v>200</v>
      </c>
      <c r="E231" s="65" t="s">
        <v>201</v>
      </c>
      <c r="F231" s="63" t="s">
        <v>163</v>
      </c>
      <c r="G231" s="63" t="s">
        <v>164</v>
      </c>
      <c r="H231" s="63">
        <v>52</v>
      </c>
      <c r="I231" s="65" t="s">
        <v>195</v>
      </c>
      <c r="J231" s="63">
        <v>463</v>
      </c>
      <c r="K231" s="64">
        <v>890.81</v>
      </c>
      <c r="L231" s="63" t="s">
        <v>542</v>
      </c>
      <c r="M231" s="65" t="str">
        <f t="shared" si="3"/>
        <v>BRASIL MINERACAOUA SAO LUISBRITA 1</v>
      </c>
      <c r="N231" s="85" t="s">
        <v>1063</v>
      </c>
    </row>
    <row r="232" spans="2:14" x14ac:dyDescent="0.25">
      <c r="B232" s="91">
        <v>46062</v>
      </c>
      <c r="C232" s="63">
        <v>1</v>
      </c>
      <c r="D232" s="63" t="s">
        <v>200</v>
      </c>
      <c r="E232" s="65" t="s">
        <v>201</v>
      </c>
      <c r="F232" s="63" t="s">
        <v>163</v>
      </c>
      <c r="G232" s="63" t="s">
        <v>164</v>
      </c>
      <c r="H232" s="63">
        <v>52</v>
      </c>
      <c r="I232" s="65" t="s">
        <v>175</v>
      </c>
      <c r="J232" s="63">
        <v>256</v>
      </c>
      <c r="K232" s="64">
        <v>492.54</v>
      </c>
      <c r="L232" s="63" t="s">
        <v>543</v>
      </c>
      <c r="M232" s="65" t="str">
        <f t="shared" si="3"/>
        <v>BRASIL MINERACAOUA SAO LUISBRITA 0</v>
      </c>
      <c r="N232" s="85" t="s">
        <v>1063</v>
      </c>
    </row>
    <row r="233" spans="2:14" x14ac:dyDescent="0.25">
      <c r="B233" s="91">
        <v>46062</v>
      </c>
      <c r="C233" s="63">
        <v>1</v>
      </c>
      <c r="D233" s="63" t="s">
        <v>193</v>
      </c>
      <c r="E233" s="65" t="s">
        <v>285</v>
      </c>
      <c r="F233" s="63" t="s">
        <v>166</v>
      </c>
      <c r="G233" s="63" t="s">
        <v>111</v>
      </c>
      <c r="H233" s="63">
        <v>79</v>
      </c>
      <c r="I233" s="65" t="s">
        <v>207</v>
      </c>
      <c r="J233" s="63">
        <v>252</v>
      </c>
      <c r="K233" s="64">
        <v>736.6</v>
      </c>
      <c r="L233" s="63" t="s">
        <v>544</v>
      </c>
      <c r="M233" s="65" t="str">
        <f t="shared" si="3"/>
        <v>GRANORTEBEIRA RIORACHÃO</v>
      </c>
      <c r="N233" s="85" t="s">
        <v>111</v>
      </c>
    </row>
    <row r="234" spans="2:14" x14ac:dyDescent="0.25">
      <c r="B234" s="91">
        <v>46062</v>
      </c>
      <c r="C234" s="63">
        <v>1</v>
      </c>
      <c r="D234" s="63" t="s">
        <v>286</v>
      </c>
      <c r="E234" s="65" t="s">
        <v>343</v>
      </c>
      <c r="F234" s="63" t="s">
        <v>163</v>
      </c>
      <c r="G234" s="63" t="s">
        <v>164</v>
      </c>
      <c r="H234" s="63">
        <v>52</v>
      </c>
      <c r="I234" s="65" t="s">
        <v>165</v>
      </c>
      <c r="J234" s="63">
        <v>464</v>
      </c>
      <c r="K234" s="64">
        <v>892.74</v>
      </c>
      <c r="L234" s="63" t="s">
        <v>545</v>
      </c>
      <c r="M234" s="65" t="str">
        <f t="shared" si="3"/>
        <v>BRASIL MINERACAOUA SAO LUISPÓ DE BRITA</v>
      </c>
      <c r="N234" s="85" t="s">
        <v>1063</v>
      </c>
    </row>
    <row r="235" spans="2:14" x14ac:dyDescent="0.25">
      <c r="B235" s="91">
        <v>46063</v>
      </c>
      <c r="C235" s="63">
        <v>1</v>
      </c>
      <c r="D235" s="63" t="s">
        <v>188</v>
      </c>
      <c r="E235" s="65" t="s">
        <v>189</v>
      </c>
      <c r="F235" s="63" t="s">
        <v>163</v>
      </c>
      <c r="G235" s="63" t="s">
        <v>164</v>
      </c>
      <c r="H235" s="63">
        <v>52</v>
      </c>
      <c r="I235" s="65" t="s">
        <v>195</v>
      </c>
      <c r="J235" s="63">
        <v>7046</v>
      </c>
      <c r="K235" s="64">
        <v>1355.65</v>
      </c>
      <c r="L235" s="63" t="s">
        <v>546</v>
      </c>
      <c r="M235" s="65" t="str">
        <f t="shared" si="3"/>
        <v>BRASIL MINERACAOUA SAO LUISBRITA 1</v>
      </c>
      <c r="N235" s="85" t="s">
        <v>1063</v>
      </c>
    </row>
    <row r="236" spans="2:14" x14ac:dyDescent="0.25">
      <c r="B236" s="91">
        <v>46063</v>
      </c>
      <c r="C236" s="63">
        <v>1</v>
      </c>
      <c r="D236" s="63" t="s">
        <v>176</v>
      </c>
      <c r="E236" s="65" t="s">
        <v>177</v>
      </c>
      <c r="F236" s="63" t="s">
        <v>166</v>
      </c>
      <c r="G236" s="63" t="s">
        <v>164</v>
      </c>
      <c r="H236" s="63">
        <v>58</v>
      </c>
      <c r="I236" s="65" t="s">
        <v>172</v>
      </c>
      <c r="J236" s="63">
        <v>2682</v>
      </c>
      <c r="K236" s="64">
        <v>575.55999999999995</v>
      </c>
      <c r="L236" s="63" t="s">
        <v>547</v>
      </c>
      <c r="M236" s="65" t="str">
        <f t="shared" si="3"/>
        <v>GRANORTEUA SAO LUISBICA CORRIDA</v>
      </c>
      <c r="N236" s="85" t="s">
        <v>1063</v>
      </c>
    </row>
    <row r="237" spans="2:14" x14ac:dyDescent="0.25">
      <c r="B237" s="91">
        <v>46063</v>
      </c>
      <c r="C237" s="63">
        <v>1</v>
      </c>
      <c r="D237" s="63" t="s">
        <v>173</v>
      </c>
      <c r="E237" s="65" t="s">
        <v>174</v>
      </c>
      <c r="F237" s="63" t="s">
        <v>166</v>
      </c>
      <c r="G237" s="63" t="s">
        <v>111</v>
      </c>
      <c r="H237" s="63">
        <v>79</v>
      </c>
      <c r="I237" s="65" t="s">
        <v>169</v>
      </c>
      <c r="J237" s="63">
        <v>2466</v>
      </c>
      <c r="K237" s="64">
        <v>720.81</v>
      </c>
      <c r="L237" s="63" t="s">
        <v>548</v>
      </c>
      <c r="M237" s="65" t="str">
        <f t="shared" si="3"/>
        <v>GRANORTEBEIRA RIOPULMÃOZINHO</v>
      </c>
      <c r="N237" s="85" t="s">
        <v>111</v>
      </c>
    </row>
    <row r="238" spans="2:14" x14ac:dyDescent="0.25">
      <c r="B238" s="91">
        <v>46063</v>
      </c>
      <c r="C238" s="63">
        <v>1</v>
      </c>
      <c r="D238" s="63" t="s">
        <v>202</v>
      </c>
      <c r="E238" s="65" t="s">
        <v>214</v>
      </c>
      <c r="F238" s="63" t="s">
        <v>163</v>
      </c>
      <c r="G238" s="63" t="s">
        <v>164</v>
      </c>
      <c r="H238" s="63">
        <v>52</v>
      </c>
      <c r="I238" s="65" t="s">
        <v>195</v>
      </c>
      <c r="J238" s="63">
        <v>699</v>
      </c>
      <c r="K238" s="64">
        <v>1344.88</v>
      </c>
      <c r="L238" s="63" t="s">
        <v>549</v>
      </c>
      <c r="M238" s="65" t="str">
        <f t="shared" si="3"/>
        <v>BRASIL MINERACAOUA SAO LUISBRITA 1</v>
      </c>
      <c r="N238" s="85" t="s">
        <v>1063</v>
      </c>
    </row>
    <row r="239" spans="2:14" x14ac:dyDescent="0.25">
      <c r="B239" s="91">
        <v>46063</v>
      </c>
      <c r="C239" s="63">
        <v>1</v>
      </c>
      <c r="D239" s="63" t="s">
        <v>179</v>
      </c>
      <c r="E239" s="65" t="s">
        <v>282</v>
      </c>
      <c r="F239" s="63" t="s">
        <v>166</v>
      </c>
      <c r="G239" s="63" t="s">
        <v>111</v>
      </c>
      <c r="H239" s="63">
        <v>79</v>
      </c>
      <c r="I239" s="65" t="s">
        <v>169</v>
      </c>
      <c r="J239" s="63">
        <v>2704</v>
      </c>
      <c r="K239" s="64">
        <v>790.38</v>
      </c>
      <c r="L239" s="63" t="s">
        <v>550</v>
      </c>
      <c r="M239" s="65" t="str">
        <f t="shared" si="3"/>
        <v>GRANORTEBEIRA RIOPULMÃOZINHO</v>
      </c>
      <c r="N239" s="85" t="s">
        <v>111</v>
      </c>
    </row>
    <row r="240" spans="2:14" x14ac:dyDescent="0.25">
      <c r="B240" s="91">
        <v>46063</v>
      </c>
      <c r="C240" s="63">
        <v>1</v>
      </c>
      <c r="D240" s="63" t="s">
        <v>170</v>
      </c>
      <c r="E240" s="65" t="s">
        <v>171</v>
      </c>
      <c r="F240" s="63" t="s">
        <v>166</v>
      </c>
      <c r="G240" s="63" t="s">
        <v>111</v>
      </c>
      <c r="H240" s="63">
        <v>79</v>
      </c>
      <c r="I240" s="65" t="s">
        <v>172</v>
      </c>
      <c r="J240" s="63">
        <v>2586</v>
      </c>
      <c r="K240" s="64">
        <v>755.89</v>
      </c>
      <c r="L240" s="63" t="s">
        <v>551</v>
      </c>
      <c r="M240" s="65" t="str">
        <f t="shared" si="3"/>
        <v>GRANORTEBEIRA RIOBICA CORRIDA</v>
      </c>
      <c r="N240" s="85" t="s">
        <v>111</v>
      </c>
    </row>
    <row r="241" spans="2:14" x14ac:dyDescent="0.25">
      <c r="B241" s="91">
        <v>46063</v>
      </c>
      <c r="C241" s="63">
        <v>1</v>
      </c>
      <c r="D241" s="63" t="s">
        <v>176</v>
      </c>
      <c r="E241" s="65" t="s">
        <v>177</v>
      </c>
      <c r="F241" s="63" t="s">
        <v>166</v>
      </c>
      <c r="G241" s="63" t="s">
        <v>164</v>
      </c>
      <c r="H241" s="63">
        <v>58</v>
      </c>
      <c r="I241" s="65" t="s">
        <v>172</v>
      </c>
      <c r="J241" s="63">
        <v>251</v>
      </c>
      <c r="K241" s="64">
        <v>538.65</v>
      </c>
      <c r="L241" s="63" t="s">
        <v>552</v>
      </c>
      <c r="M241" s="65" t="str">
        <f t="shared" si="3"/>
        <v>GRANORTEUA SAO LUISBICA CORRIDA</v>
      </c>
      <c r="N241" s="85" t="s">
        <v>1063</v>
      </c>
    </row>
    <row r="242" spans="2:14" x14ac:dyDescent="0.25">
      <c r="B242" s="91">
        <v>46063</v>
      </c>
      <c r="C242" s="63">
        <v>1</v>
      </c>
      <c r="D242" s="63" t="s">
        <v>208</v>
      </c>
      <c r="E242" s="65" t="s">
        <v>209</v>
      </c>
      <c r="F242" s="63" t="s">
        <v>212</v>
      </c>
      <c r="G242" s="63" t="s">
        <v>191</v>
      </c>
      <c r="H242" s="63">
        <v>105</v>
      </c>
      <c r="I242" s="65" t="s">
        <v>172</v>
      </c>
      <c r="J242" s="63">
        <v>580</v>
      </c>
      <c r="K242" s="64">
        <v>2253.3000000000002</v>
      </c>
      <c r="L242" s="63" t="s">
        <v>553</v>
      </c>
      <c r="M242" s="65" t="str">
        <f t="shared" si="3"/>
        <v>USINA PINHEIROOLINDA NOVA - MABICA CORRIDA</v>
      </c>
      <c r="N242" s="85" t="s">
        <v>161</v>
      </c>
    </row>
    <row r="243" spans="2:14" x14ac:dyDescent="0.25">
      <c r="B243" s="91">
        <v>46063</v>
      </c>
      <c r="C243" s="63">
        <v>1</v>
      </c>
      <c r="D243" s="63" t="s">
        <v>196</v>
      </c>
      <c r="E243" s="65" t="s">
        <v>197</v>
      </c>
      <c r="F243" s="63" t="s">
        <v>163</v>
      </c>
      <c r="G243" s="63" t="s">
        <v>164</v>
      </c>
      <c r="H243" s="63">
        <v>52</v>
      </c>
      <c r="I243" s="65" t="s">
        <v>195</v>
      </c>
      <c r="J243" s="63">
        <v>4638</v>
      </c>
      <c r="K243" s="64">
        <v>892.35</v>
      </c>
      <c r="L243" s="63" t="s">
        <v>554</v>
      </c>
      <c r="M243" s="65" t="str">
        <f t="shared" si="3"/>
        <v>BRASIL MINERACAOUA SAO LUISBRITA 1</v>
      </c>
      <c r="N243" s="85" t="s">
        <v>1063</v>
      </c>
    </row>
    <row r="244" spans="2:14" x14ac:dyDescent="0.25">
      <c r="B244" s="91">
        <v>46063</v>
      </c>
      <c r="C244" s="63">
        <v>1</v>
      </c>
      <c r="D244" s="63" t="s">
        <v>219</v>
      </c>
      <c r="E244" s="65" t="s">
        <v>220</v>
      </c>
      <c r="F244" s="63" t="s">
        <v>163</v>
      </c>
      <c r="G244" s="63" t="s">
        <v>164</v>
      </c>
      <c r="H244" s="63">
        <v>52</v>
      </c>
      <c r="I244" s="65" t="s">
        <v>165</v>
      </c>
      <c r="J244" s="63">
        <v>425</v>
      </c>
      <c r="K244" s="64">
        <v>817.7</v>
      </c>
      <c r="L244" s="63" t="s">
        <v>555</v>
      </c>
      <c r="M244" s="65" t="str">
        <f t="shared" si="3"/>
        <v>BRASIL MINERACAOUA SAO LUISPÓ DE BRITA</v>
      </c>
      <c r="N244" s="85" t="s">
        <v>1063</v>
      </c>
    </row>
    <row r="245" spans="2:14" x14ac:dyDescent="0.25">
      <c r="B245" s="91">
        <v>46063</v>
      </c>
      <c r="C245" s="63">
        <v>1</v>
      </c>
      <c r="D245" s="63" t="s">
        <v>219</v>
      </c>
      <c r="E245" s="65" t="s">
        <v>220</v>
      </c>
      <c r="F245" s="63" t="s">
        <v>166</v>
      </c>
      <c r="G245" s="63" t="s">
        <v>164</v>
      </c>
      <c r="H245" s="63">
        <v>58</v>
      </c>
      <c r="I245" s="65" t="s">
        <v>172</v>
      </c>
      <c r="J245" s="63">
        <v>248</v>
      </c>
      <c r="K245" s="64">
        <v>532.21</v>
      </c>
      <c r="L245" s="63" t="s">
        <v>556</v>
      </c>
      <c r="M245" s="65" t="str">
        <f t="shared" si="3"/>
        <v>GRANORTEUA SAO LUISBICA CORRIDA</v>
      </c>
      <c r="N245" s="85" t="s">
        <v>1063</v>
      </c>
    </row>
    <row r="246" spans="2:14" x14ac:dyDescent="0.25">
      <c r="B246" s="91">
        <v>46063</v>
      </c>
      <c r="C246" s="63">
        <v>1</v>
      </c>
      <c r="D246" s="63" t="s">
        <v>219</v>
      </c>
      <c r="E246" s="65" t="s">
        <v>220</v>
      </c>
      <c r="F246" s="63" t="s">
        <v>166</v>
      </c>
      <c r="G246" s="63" t="s">
        <v>164</v>
      </c>
      <c r="H246" s="63">
        <v>58</v>
      </c>
      <c r="I246" s="65" t="s">
        <v>172</v>
      </c>
      <c r="J246" s="63">
        <v>4154</v>
      </c>
      <c r="K246" s="64">
        <v>891.45</v>
      </c>
      <c r="L246" s="63" t="s">
        <v>557</v>
      </c>
      <c r="M246" s="65" t="str">
        <f t="shared" si="3"/>
        <v>GRANORTEUA SAO LUISBICA CORRIDA</v>
      </c>
      <c r="N246" s="85" t="s">
        <v>1063</v>
      </c>
    </row>
    <row r="247" spans="2:14" x14ac:dyDescent="0.25">
      <c r="B247" s="91">
        <v>46063</v>
      </c>
      <c r="C247" s="63">
        <v>1</v>
      </c>
      <c r="D247" s="63" t="s">
        <v>219</v>
      </c>
      <c r="E247" s="65" t="s">
        <v>220</v>
      </c>
      <c r="F247" s="63" t="s">
        <v>166</v>
      </c>
      <c r="G247" s="63" t="s">
        <v>164</v>
      </c>
      <c r="H247" s="63">
        <v>58</v>
      </c>
      <c r="I247" s="65" t="s">
        <v>165</v>
      </c>
      <c r="J247" s="63">
        <v>791</v>
      </c>
      <c r="K247" s="64">
        <v>1697.49</v>
      </c>
      <c r="L247" s="63" t="s">
        <v>558</v>
      </c>
      <c r="M247" s="65" t="str">
        <f t="shared" si="3"/>
        <v>GRANORTEUA SAO LUISPÓ DE BRITA</v>
      </c>
      <c r="N247" s="85" t="s">
        <v>1063</v>
      </c>
    </row>
    <row r="248" spans="2:14" x14ac:dyDescent="0.25">
      <c r="B248" s="91">
        <v>46063</v>
      </c>
      <c r="C248" s="63">
        <v>1</v>
      </c>
      <c r="D248" s="63" t="s">
        <v>162</v>
      </c>
      <c r="E248" s="65" t="s">
        <v>281</v>
      </c>
      <c r="F248" s="63" t="s">
        <v>166</v>
      </c>
      <c r="G248" s="63" t="s">
        <v>164</v>
      </c>
      <c r="H248" s="63">
        <v>58</v>
      </c>
      <c r="I248" s="65" t="s">
        <v>292</v>
      </c>
      <c r="J248" s="63">
        <v>2568</v>
      </c>
      <c r="K248" s="64">
        <v>551.09</v>
      </c>
      <c r="L248" s="63" t="s">
        <v>559</v>
      </c>
      <c r="M248" s="65" t="str">
        <f t="shared" si="3"/>
        <v>GRANORTEUA SAO LUISPEDRA PULMÃO</v>
      </c>
      <c r="N248" s="85" t="s">
        <v>1063</v>
      </c>
    </row>
    <row r="249" spans="2:14" x14ac:dyDescent="0.25">
      <c r="B249" s="91">
        <v>46063</v>
      </c>
      <c r="C249" s="63">
        <v>1</v>
      </c>
      <c r="D249" s="63" t="s">
        <v>203</v>
      </c>
      <c r="E249" s="65" t="s">
        <v>204</v>
      </c>
      <c r="F249" s="63" t="s">
        <v>166</v>
      </c>
      <c r="G249" s="63" t="s">
        <v>164</v>
      </c>
      <c r="H249" s="63">
        <v>58</v>
      </c>
      <c r="I249" s="65" t="s">
        <v>172</v>
      </c>
      <c r="J249" s="63">
        <v>476</v>
      </c>
      <c r="K249" s="64">
        <v>1021.5</v>
      </c>
      <c r="L249" s="63" t="s">
        <v>560</v>
      </c>
      <c r="M249" s="65" t="str">
        <f t="shared" si="3"/>
        <v>GRANORTEUA SAO LUISBICA CORRIDA</v>
      </c>
      <c r="N249" s="85" t="s">
        <v>1063</v>
      </c>
    </row>
    <row r="250" spans="2:14" x14ac:dyDescent="0.25">
      <c r="B250" s="91">
        <v>46063</v>
      </c>
      <c r="C250" s="63">
        <v>1</v>
      </c>
      <c r="D250" s="63" t="s">
        <v>199</v>
      </c>
      <c r="E250" s="65" t="s">
        <v>180</v>
      </c>
      <c r="F250" s="63" t="s">
        <v>166</v>
      </c>
      <c r="G250" s="63" t="s">
        <v>111</v>
      </c>
      <c r="H250" s="63">
        <v>79</v>
      </c>
      <c r="I250" s="65" t="s">
        <v>216</v>
      </c>
      <c r="J250" s="63">
        <v>265</v>
      </c>
      <c r="K250" s="64">
        <v>774.6</v>
      </c>
      <c r="L250" s="63" t="s">
        <v>561</v>
      </c>
      <c r="M250" s="65" t="str">
        <f t="shared" si="3"/>
        <v>GRANORTEBEIRA RIOBRITA 3</v>
      </c>
      <c r="N250" s="85" t="s">
        <v>111</v>
      </c>
    </row>
    <row r="251" spans="2:14" x14ac:dyDescent="0.25">
      <c r="B251" s="91">
        <v>46063</v>
      </c>
      <c r="C251" s="63">
        <v>1</v>
      </c>
      <c r="D251" s="63" t="s">
        <v>210</v>
      </c>
      <c r="E251" s="65" t="s">
        <v>211</v>
      </c>
      <c r="F251" s="63" t="s">
        <v>166</v>
      </c>
      <c r="G251" s="63" t="s">
        <v>164</v>
      </c>
      <c r="H251" s="63">
        <v>58</v>
      </c>
      <c r="I251" s="65" t="s">
        <v>172</v>
      </c>
      <c r="J251" s="63">
        <v>2324</v>
      </c>
      <c r="K251" s="64">
        <v>498.73</v>
      </c>
      <c r="L251" s="63" t="s">
        <v>562</v>
      </c>
      <c r="M251" s="65" t="str">
        <f t="shared" si="3"/>
        <v>GRANORTEUA SAO LUISBICA CORRIDA</v>
      </c>
      <c r="N251" s="85" t="s">
        <v>1063</v>
      </c>
    </row>
    <row r="252" spans="2:14" x14ac:dyDescent="0.25">
      <c r="B252" s="91">
        <v>46063</v>
      </c>
      <c r="C252" s="63">
        <v>1</v>
      </c>
      <c r="D252" s="63" t="s">
        <v>170</v>
      </c>
      <c r="E252" s="65" t="s">
        <v>171</v>
      </c>
      <c r="F252" s="63" t="s">
        <v>166</v>
      </c>
      <c r="G252" s="63" t="s">
        <v>111</v>
      </c>
      <c r="H252" s="63">
        <v>79</v>
      </c>
      <c r="I252" s="65" t="s">
        <v>172</v>
      </c>
      <c r="J252" s="63">
        <v>2568</v>
      </c>
      <c r="K252" s="64">
        <v>750.63</v>
      </c>
      <c r="L252" s="63" t="s">
        <v>563</v>
      </c>
      <c r="M252" s="65" t="str">
        <f t="shared" si="3"/>
        <v>GRANORTEBEIRA RIOBICA CORRIDA</v>
      </c>
      <c r="N252" s="85" t="s">
        <v>111</v>
      </c>
    </row>
    <row r="253" spans="2:14" x14ac:dyDescent="0.25">
      <c r="B253" s="91">
        <v>46063</v>
      </c>
      <c r="C253" s="63">
        <v>1</v>
      </c>
      <c r="D253" s="63" t="s">
        <v>179</v>
      </c>
      <c r="E253" s="65" t="s">
        <v>282</v>
      </c>
      <c r="F253" s="63" t="s">
        <v>166</v>
      </c>
      <c r="G253" s="63" t="s">
        <v>111</v>
      </c>
      <c r="H253" s="63">
        <v>79</v>
      </c>
      <c r="I253" s="65" t="s">
        <v>185</v>
      </c>
      <c r="J253" s="63">
        <v>272</v>
      </c>
      <c r="K253" s="64">
        <v>795.06</v>
      </c>
      <c r="L253" s="63" t="s">
        <v>564</v>
      </c>
      <c r="M253" s="65" t="str">
        <f t="shared" si="3"/>
        <v>GRANORTEBEIRA RIORACHÃOZINHO</v>
      </c>
      <c r="N253" s="85" t="s">
        <v>111</v>
      </c>
    </row>
    <row r="254" spans="2:14" x14ac:dyDescent="0.25">
      <c r="B254" s="91">
        <v>46063</v>
      </c>
      <c r="C254" s="63">
        <v>1</v>
      </c>
      <c r="D254" s="63" t="s">
        <v>188</v>
      </c>
      <c r="E254" s="65" t="s">
        <v>189</v>
      </c>
      <c r="F254" s="63" t="s">
        <v>166</v>
      </c>
      <c r="G254" s="63" t="s">
        <v>164</v>
      </c>
      <c r="H254" s="63">
        <v>58</v>
      </c>
      <c r="I254" s="65" t="s">
        <v>172</v>
      </c>
      <c r="J254" s="63">
        <v>4782</v>
      </c>
      <c r="K254" s="64">
        <v>1026.22</v>
      </c>
      <c r="L254" s="63" t="s">
        <v>565</v>
      </c>
      <c r="M254" s="65" t="str">
        <f t="shared" si="3"/>
        <v>GRANORTEUA SAO LUISBICA CORRIDA</v>
      </c>
      <c r="N254" s="85" t="s">
        <v>1063</v>
      </c>
    </row>
    <row r="255" spans="2:14" x14ac:dyDescent="0.25">
      <c r="B255" s="91">
        <v>46063</v>
      </c>
      <c r="C255" s="63">
        <v>1</v>
      </c>
      <c r="D255" s="63" t="s">
        <v>188</v>
      </c>
      <c r="E255" s="65" t="s">
        <v>189</v>
      </c>
      <c r="F255" s="63" t="s">
        <v>166</v>
      </c>
      <c r="G255" s="63" t="s">
        <v>164</v>
      </c>
      <c r="H255" s="63">
        <v>58</v>
      </c>
      <c r="I255" s="65" t="s">
        <v>172</v>
      </c>
      <c r="J255" s="63">
        <v>4686</v>
      </c>
      <c r="K255" s="64">
        <v>1005.62</v>
      </c>
      <c r="L255" s="63" t="s">
        <v>566</v>
      </c>
      <c r="M255" s="65" t="str">
        <f t="shared" si="3"/>
        <v>GRANORTEUA SAO LUISBICA CORRIDA</v>
      </c>
      <c r="N255" s="85" t="s">
        <v>1063</v>
      </c>
    </row>
    <row r="256" spans="2:14" x14ac:dyDescent="0.25">
      <c r="B256" s="91">
        <v>46063</v>
      </c>
      <c r="C256" s="63">
        <v>1</v>
      </c>
      <c r="D256" s="63" t="s">
        <v>208</v>
      </c>
      <c r="E256" s="65" t="s">
        <v>209</v>
      </c>
      <c r="F256" s="63" t="s">
        <v>166</v>
      </c>
      <c r="G256" s="63" t="s">
        <v>164</v>
      </c>
      <c r="H256" s="63">
        <v>58</v>
      </c>
      <c r="I256" s="65" t="s">
        <v>172</v>
      </c>
      <c r="J256" s="63">
        <v>560</v>
      </c>
      <c r="K256" s="64">
        <v>1201.76</v>
      </c>
      <c r="L256" s="63" t="s">
        <v>567</v>
      </c>
      <c r="M256" s="65" t="str">
        <f t="shared" si="3"/>
        <v>GRANORTEUA SAO LUISBICA CORRIDA</v>
      </c>
      <c r="N256" s="85" t="s">
        <v>1063</v>
      </c>
    </row>
    <row r="257" spans="2:14" x14ac:dyDescent="0.25">
      <c r="B257" s="91">
        <v>46063</v>
      </c>
      <c r="C257" s="63">
        <v>1</v>
      </c>
      <c r="D257" s="63" t="s">
        <v>202</v>
      </c>
      <c r="E257" s="65" t="s">
        <v>214</v>
      </c>
      <c r="F257" s="63" t="s">
        <v>166</v>
      </c>
      <c r="G257" s="63" t="s">
        <v>164</v>
      </c>
      <c r="H257" s="63">
        <v>58</v>
      </c>
      <c r="I257" s="65" t="s">
        <v>172</v>
      </c>
      <c r="J257" s="63">
        <v>4642</v>
      </c>
      <c r="K257" s="64">
        <v>996.17</v>
      </c>
      <c r="L257" s="63" t="s">
        <v>568</v>
      </c>
      <c r="M257" s="65" t="str">
        <f t="shared" si="3"/>
        <v>GRANORTEUA SAO LUISBICA CORRIDA</v>
      </c>
      <c r="N257" s="85" t="s">
        <v>1063</v>
      </c>
    </row>
    <row r="258" spans="2:14" x14ac:dyDescent="0.25">
      <c r="B258" s="91">
        <v>46063</v>
      </c>
      <c r="C258" s="63">
        <v>1</v>
      </c>
      <c r="D258" s="63" t="s">
        <v>196</v>
      </c>
      <c r="E258" s="65" t="s">
        <v>197</v>
      </c>
      <c r="F258" s="63" t="s">
        <v>166</v>
      </c>
      <c r="G258" s="63" t="s">
        <v>164</v>
      </c>
      <c r="H258" s="63">
        <v>58</v>
      </c>
      <c r="I258" s="65" t="s">
        <v>172</v>
      </c>
      <c r="J258" s="63">
        <v>4594</v>
      </c>
      <c r="K258" s="64">
        <v>985.87</v>
      </c>
      <c r="L258" s="63" t="s">
        <v>569</v>
      </c>
      <c r="M258" s="65" t="str">
        <f t="shared" si="3"/>
        <v>GRANORTEUA SAO LUISBICA CORRIDA</v>
      </c>
      <c r="N258" s="85" t="s">
        <v>1063</v>
      </c>
    </row>
    <row r="259" spans="2:14" x14ac:dyDescent="0.25">
      <c r="B259" s="91">
        <v>46063</v>
      </c>
      <c r="C259" s="63">
        <v>1</v>
      </c>
      <c r="D259" s="63" t="s">
        <v>173</v>
      </c>
      <c r="E259" s="65" t="s">
        <v>174</v>
      </c>
      <c r="F259" s="63" t="s">
        <v>166</v>
      </c>
      <c r="G259" s="63" t="s">
        <v>111</v>
      </c>
      <c r="H259" s="63">
        <v>79</v>
      </c>
      <c r="I259" s="65" t="s">
        <v>216</v>
      </c>
      <c r="J259" s="63">
        <v>240</v>
      </c>
      <c r="K259" s="64">
        <v>701.52</v>
      </c>
      <c r="L259" s="63" t="s">
        <v>570</v>
      </c>
      <c r="M259" s="65" t="str">
        <f t="shared" si="3"/>
        <v>GRANORTEBEIRA RIOBRITA 3</v>
      </c>
      <c r="N259" s="85" t="s">
        <v>111</v>
      </c>
    </row>
    <row r="260" spans="2:14" x14ac:dyDescent="0.25">
      <c r="B260" s="91">
        <v>46063</v>
      </c>
      <c r="C260" s="63">
        <v>1</v>
      </c>
      <c r="D260" s="63" t="s">
        <v>203</v>
      </c>
      <c r="E260" s="65" t="s">
        <v>204</v>
      </c>
      <c r="F260" s="63" t="s">
        <v>166</v>
      </c>
      <c r="G260" s="63" t="s">
        <v>164</v>
      </c>
      <c r="H260" s="63">
        <v>58</v>
      </c>
      <c r="I260" s="65" t="s">
        <v>172</v>
      </c>
      <c r="J260" s="63">
        <v>4778</v>
      </c>
      <c r="K260" s="64">
        <v>1025.3599999999999</v>
      </c>
      <c r="L260" s="63" t="s">
        <v>571</v>
      </c>
      <c r="M260" s="65" t="str">
        <f t="shared" si="3"/>
        <v>GRANORTEUA SAO LUISBICA CORRIDA</v>
      </c>
      <c r="N260" s="85" t="s">
        <v>1063</v>
      </c>
    </row>
    <row r="261" spans="2:14" x14ac:dyDescent="0.25">
      <c r="B261" s="91">
        <v>46063</v>
      </c>
      <c r="C261" s="63">
        <v>1</v>
      </c>
      <c r="D261" s="63" t="s">
        <v>181</v>
      </c>
      <c r="E261" s="65" t="s">
        <v>182</v>
      </c>
      <c r="F261" s="63" t="s">
        <v>166</v>
      </c>
      <c r="G261" s="63" t="s">
        <v>111</v>
      </c>
      <c r="H261" s="63">
        <v>79</v>
      </c>
      <c r="I261" s="65" t="s">
        <v>216</v>
      </c>
      <c r="J261" s="63">
        <v>2624</v>
      </c>
      <c r="K261" s="64">
        <v>767</v>
      </c>
      <c r="L261" s="63" t="s">
        <v>572</v>
      </c>
      <c r="M261" s="65" t="str">
        <f t="shared" ref="M261:M324" si="4">F261&amp;G261&amp;I261</f>
        <v>GRANORTEBEIRA RIOBRITA 3</v>
      </c>
      <c r="N261" s="85" t="s">
        <v>111</v>
      </c>
    </row>
    <row r="262" spans="2:14" x14ac:dyDescent="0.25">
      <c r="B262" s="91">
        <v>46063</v>
      </c>
      <c r="C262" s="63">
        <v>1</v>
      </c>
      <c r="D262" s="63" t="s">
        <v>181</v>
      </c>
      <c r="E262" s="65" t="s">
        <v>182</v>
      </c>
      <c r="F262" s="63" t="s">
        <v>166</v>
      </c>
      <c r="G262" s="63" t="s">
        <v>111</v>
      </c>
      <c r="H262" s="63">
        <v>79</v>
      </c>
      <c r="I262" s="65" t="s">
        <v>216</v>
      </c>
      <c r="J262" s="63">
        <v>2478</v>
      </c>
      <c r="K262" s="64">
        <v>724.32</v>
      </c>
      <c r="L262" s="63" t="s">
        <v>573</v>
      </c>
      <c r="M262" s="65" t="str">
        <f t="shared" si="4"/>
        <v>GRANORTEBEIRA RIOBRITA 3</v>
      </c>
      <c r="N262" s="85" t="s">
        <v>111</v>
      </c>
    </row>
    <row r="263" spans="2:14" x14ac:dyDescent="0.25">
      <c r="B263" s="91">
        <v>46063</v>
      </c>
      <c r="C263" s="63">
        <v>1</v>
      </c>
      <c r="D263" s="63" t="s">
        <v>210</v>
      </c>
      <c r="E263" s="65" t="s">
        <v>211</v>
      </c>
      <c r="F263" s="63" t="s">
        <v>166</v>
      </c>
      <c r="G263" s="63" t="s">
        <v>164</v>
      </c>
      <c r="H263" s="63">
        <v>58</v>
      </c>
      <c r="I263" s="65" t="s">
        <v>172</v>
      </c>
      <c r="J263" s="63">
        <v>2714</v>
      </c>
      <c r="K263" s="64">
        <v>582.41999999999996</v>
      </c>
      <c r="L263" s="63" t="s">
        <v>574</v>
      </c>
      <c r="M263" s="65" t="str">
        <f t="shared" si="4"/>
        <v>GRANORTEUA SAO LUISBICA CORRIDA</v>
      </c>
      <c r="N263" s="85" t="s">
        <v>1063</v>
      </c>
    </row>
    <row r="264" spans="2:14" x14ac:dyDescent="0.25">
      <c r="B264" s="91">
        <v>46063</v>
      </c>
      <c r="C264" s="63">
        <v>1</v>
      </c>
      <c r="D264" s="63" t="s">
        <v>162</v>
      </c>
      <c r="E264" s="65" t="s">
        <v>281</v>
      </c>
      <c r="F264" s="63" t="s">
        <v>166</v>
      </c>
      <c r="G264" s="63" t="s">
        <v>164</v>
      </c>
      <c r="H264" s="63">
        <v>58</v>
      </c>
      <c r="I264" s="65" t="s">
        <v>216</v>
      </c>
      <c r="J264" s="63">
        <v>2628</v>
      </c>
      <c r="K264" s="64">
        <v>563.97</v>
      </c>
      <c r="L264" s="63" t="s">
        <v>575</v>
      </c>
      <c r="M264" s="65" t="str">
        <f t="shared" si="4"/>
        <v>GRANORTEUA SAO LUISBRITA 3</v>
      </c>
      <c r="N264" s="85" t="s">
        <v>1063</v>
      </c>
    </row>
    <row r="265" spans="2:14" x14ac:dyDescent="0.25">
      <c r="B265" s="91">
        <v>46063</v>
      </c>
      <c r="C265" s="63">
        <v>1</v>
      </c>
      <c r="D265" s="63" t="s">
        <v>199</v>
      </c>
      <c r="E265" s="65" t="s">
        <v>180</v>
      </c>
      <c r="F265" s="63" t="s">
        <v>166</v>
      </c>
      <c r="G265" s="63" t="s">
        <v>111</v>
      </c>
      <c r="H265" s="63">
        <v>79</v>
      </c>
      <c r="I265" s="65" t="s">
        <v>169</v>
      </c>
      <c r="J265" s="63">
        <v>269</v>
      </c>
      <c r="K265" s="64">
        <v>786.29</v>
      </c>
      <c r="L265" s="63" t="s">
        <v>576</v>
      </c>
      <c r="M265" s="65" t="str">
        <f t="shared" si="4"/>
        <v>GRANORTEBEIRA RIOPULMÃOZINHO</v>
      </c>
      <c r="N265" s="85" t="s">
        <v>111</v>
      </c>
    </row>
    <row r="266" spans="2:14" x14ac:dyDescent="0.25">
      <c r="B266" s="91">
        <v>46063</v>
      </c>
      <c r="C266" s="63">
        <v>1</v>
      </c>
      <c r="D266" s="63" t="s">
        <v>283</v>
      </c>
      <c r="E266" s="65" t="s">
        <v>215</v>
      </c>
      <c r="F266" s="63" t="s">
        <v>166</v>
      </c>
      <c r="G266" s="63" t="s">
        <v>111</v>
      </c>
      <c r="H266" s="63">
        <v>79</v>
      </c>
      <c r="I266" s="65" t="s">
        <v>169</v>
      </c>
      <c r="J266" s="63">
        <v>2596</v>
      </c>
      <c r="K266" s="64">
        <v>758.81</v>
      </c>
      <c r="L266" s="63" t="s">
        <v>577</v>
      </c>
      <c r="M266" s="65" t="str">
        <f t="shared" si="4"/>
        <v>GRANORTEBEIRA RIOPULMÃOZINHO</v>
      </c>
      <c r="N266" s="85" t="s">
        <v>111</v>
      </c>
    </row>
    <row r="267" spans="2:14" x14ac:dyDescent="0.25">
      <c r="B267" s="91">
        <v>46063</v>
      </c>
      <c r="C267" s="63">
        <v>1</v>
      </c>
      <c r="D267" s="63" t="s">
        <v>283</v>
      </c>
      <c r="E267" s="65" t="s">
        <v>215</v>
      </c>
      <c r="F267" s="63" t="s">
        <v>166</v>
      </c>
      <c r="G267" s="63" t="s">
        <v>164</v>
      </c>
      <c r="H267" s="63">
        <v>58</v>
      </c>
      <c r="I267" s="65" t="s">
        <v>172</v>
      </c>
      <c r="J267" s="63">
        <v>261</v>
      </c>
      <c r="K267" s="64">
        <v>560.11</v>
      </c>
      <c r="L267" s="63" t="s">
        <v>578</v>
      </c>
      <c r="M267" s="65" t="str">
        <f t="shared" si="4"/>
        <v>GRANORTEUA SAO LUISBICA CORRIDA</v>
      </c>
      <c r="N267" s="85" t="s">
        <v>1063</v>
      </c>
    </row>
    <row r="268" spans="2:14" x14ac:dyDescent="0.25">
      <c r="B268" s="91">
        <v>46063</v>
      </c>
      <c r="C268" s="63">
        <v>1</v>
      </c>
      <c r="D268" s="63" t="s">
        <v>283</v>
      </c>
      <c r="E268" s="65" t="s">
        <v>215</v>
      </c>
      <c r="F268" s="63" t="s">
        <v>166</v>
      </c>
      <c r="G268" s="63" t="s">
        <v>164</v>
      </c>
      <c r="H268" s="63">
        <v>58</v>
      </c>
      <c r="I268" s="65" t="s">
        <v>172</v>
      </c>
      <c r="J268" s="63">
        <v>2764</v>
      </c>
      <c r="K268" s="64">
        <v>593.15</v>
      </c>
      <c r="L268" s="63" t="s">
        <v>579</v>
      </c>
      <c r="M268" s="65" t="str">
        <f t="shared" si="4"/>
        <v>GRANORTEUA SAO LUISBICA CORRIDA</v>
      </c>
      <c r="N268" s="85" t="s">
        <v>1063</v>
      </c>
    </row>
    <row r="269" spans="2:14" x14ac:dyDescent="0.25">
      <c r="B269" s="91">
        <v>46063</v>
      </c>
      <c r="C269" s="63">
        <v>1</v>
      </c>
      <c r="D269" s="63" t="s">
        <v>496</v>
      </c>
      <c r="E269" s="65" t="s">
        <v>497</v>
      </c>
      <c r="F269" s="63" t="s">
        <v>166</v>
      </c>
      <c r="G269" s="63" t="s">
        <v>164</v>
      </c>
      <c r="H269" s="63">
        <v>58</v>
      </c>
      <c r="I269" s="65" t="s">
        <v>165</v>
      </c>
      <c r="J269" s="63">
        <v>2568</v>
      </c>
      <c r="K269" s="64">
        <v>551.09</v>
      </c>
      <c r="L269" s="63" t="s">
        <v>580</v>
      </c>
      <c r="M269" s="65" t="str">
        <f t="shared" si="4"/>
        <v>GRANORTEUA SAO LUISPÓ DE BRITA</v>
      </c>
      <c r="N269" s="85" t="s">
        <v>1063</v>
      </c>
    </row>
    <row r="270" spans="2:14" x14ac:dyDescent="0.25">
      <c r="B270" s="91">
        <v>46063</v>
      </c>
      <c r="C270" s="63">
        <v>1</v>
      </c>
      <c r="D270" s="63" t="s">
        <v>496</v>
      </c>
      <c r="E270" s="65" t="s">
        <v>497</v>
      </c>
      <c r="F270" s="63" t="s">
        <v>163</v>
      </c>
      <c r="G270" s="63" t="s">
        <v>164</v>
      </c>
      <c r="H270" s="63">
        <v>52</v>
      </c>
      <c r="I270" s="65" t="s">
        <v>195</v>
      </c>
      <c r="J270" s="63">
        <v>258</v>
      </c>
      <c r="K270" s="64">
        <v>496.39</v>
      </c>
      <c r="L270" s="63" t="s">
        <v>581</v>
      </c>
      <c r="M270" s="65" t="str">
        <f t="shared" si="4"/>
        <v>BRASIL MINERACAOUA SAO LUISBRITA 1</v>
      </c>
      <c r="N270" s="85" t="s">
        <v>1063</v>
      </c>
    </row>
    <row r="271" spans="2:14" x14ac:dyDescent="0.25">
      <c r="B271" s="91">
        <v>46063</v>
      </c>
      <c r="C271" s="63">
        <v>1</v>
      </c>
      <c r="D271" s="63" t="s">
        <v>496</v>
      </c>
      <c r="E271" s="65" t="s">
        <v>497</v>
      </c>
      <c r="F271" s="63" t="s">
        <v>163</v>
      </c>
      <c r="G271" s="63" t="s">
        <v>164</v>
      </c>
      <c r="H271" s="63">
        <v>52</v>
      </c>
      <c r="I271" s="65" t="s">
        <v>195</v>
      </c>
      <c r="J271" s="63">
        <v>2528</v>
      </c>
      <c r="K271" s="64">
        <v>486.39</v>
      </c>
      <c r="L271" s="63" t="s">
        <v>582</v>
      </c>
      <c r="M271" s="65" t="str">
        <f t="shared" si="4"/>
        <v>BRASIL MINERACAOUA SAO LUISBRITA 1</v>
      </c>
      <c r="N271" s="85" t="s">
        <v>1063</v>
      </c>
    </row>
    <row r="272" spans="2:14" x14ac:dyDescent="0.25">
      <c r="B272" s="91">
        <v>46063</v>
      </c>
      <c r="C272" s="63">
        <v>1</v>
      </c>
      <c r="D272" s="63" t="s">
        <v>496</v>
      </c>
      <c r="E272" s="65" t="s">
        <v>497</v>
      </c>
      <c r="F272" s="63" t="s">
        <v>163</v>
      </c>
      <c r="G272" s="63" t="s">
        <v>164</v>
      </c>
      <c r="H272" s="63">
        <v>52</v>
      </c>
      <c r="I272" s="65" t="s">
        <v>165</v>
      </c>
      <c r="J272" s="63">
        <v>2556</v>
      </c>
      <c r="K272" s="64">
        <v>491.77</v>
      </c>
      <c r="L272" s="63" t="s">
        <v>583</v>
      </c>
      <c r="M272" s="65" t="str">
        <f t="shared" si="4"/>
        <v>BRASIL MINERACAOUA SAO LUISPÓ DE BRITA</v>
      </c>
      <c r="N272" s="85" t="s">
        <v>1063</v>
      </c>
    </row>
    <row r="273" spans="2:14" x14ac:dyDescent="0.25">
      <c r="B273" s="91">
        <v>46063</v>
      </c>
      <c r="C273" s="63">
        <v>1</v>
      </c>
      <c r="D273" s="63" t="s">
        <v>186</v>
      </c>
      <c r="E273" s="65" t="s">
        <v>187</v>
      </c>
      <c r="F273" s="63" t="s">
        <v>166</v>
      </c>
      <c r="G273" s="63" t="s">
        <v>164</v>
      </c>
      <c r="H273" s="63">
        <v>58</v>
      </c>
      <c r="I273" s="65" t="s">
        <v>172</v>
      </c>
      <c r="J273" s="63">
        <v>5216</v>
      </c>
      <c r="K273" s="64">
        <v>1119.3499999999999</v>
      </c>
      <c r="L273" s="63" t="s">
        <v>584</v>
      </c>
      <c r="M273" s="65" t="str">
        <f t="shared" si="4"/>
        <v>GRANORTEUA SAO LUISBICA CORRIDA</v>
      </c>
      <c r="N273" s="85" t="s">
        <v>1063</v>
      </c>
    </row>
    <row r="274" spans="2:14" x14ac:dyDescent="0.25">
      <c r="B274" s="91">
        <v>46063</v>
      </c>
      <c r="C274" s="63">
        <v>1</v>
      </c>
      <c r="D274" s="63" t="s">
        <v>186</v>
      </c>
      <c r="E274" s="65" t="s">
        <v>187</v>
      </c>
      <c r="F274" s="63" t="s">
        <v>166</v>
      </c>
      <c r="G274" s="63" t="s">
        <v>164</v>
      </c>
      <c r="H274" s="63">
        <v>58</v>
      </c>
      <c r="I274" s="65" t="s">
        <v>172</v>
      </c>
      <c r="J274" s="63">
        <v>50139</v>
      </c>
      <c r="K274" s="64">
        <v>1075.98</v>
      </c>
      <c r="L274" s="63" t="s">
        <v>585</v>
      </c>
      <c r="M274" s="65" t="str">
        <f t="shared" si="4"/>
        <v>GRANORTEUA SAO LUISBICA CORRIDA</v>
      </c>
      <c r="N274" s="85" t="s">
        <v>1063</v>
      </c>
    </row>
    <row r="275" spans="2:14" x14ac:dyDescent="0.25">
      <c r="B275" s="91">
        <v>46063</v>
      </c>
      <c r="C275" s="63">
        <v>1</v>
      </c>
      <c r="D275" s="63" t="s">
        <v>213</v>
      </c>
      <c r="E275" s="65" t="s">
        <v>178</v>
      </c>
      <c r="F275" s="63" t="s">
        <v>166</v>
      </c>
      <c r="G275" s="63" t="s">
        <v>111</v>
      </c>
      <c r="H275" s="63">
        <v>79</v>
      </c>
      <c r="I275" s="65" t="s">
        <v>169</v>
      </c>
      <c r="J275" s="63">
        <v>2508</v>
      </c>
      <c r="K275" s="64">
        <v>733.09</v>
      </c>
      <c r="L275" s="63" t="s">
        <v>586</v>
      </c>
      <c r="M275" s="65" t="str">
        <f t="shared" si="4"/>
        <v>GRANORTEBEIRA RIOPULMÃOZINHO</v>
      </c>
      <c r="N275" s="85" t="s">
        <v>111</v>
      </c>
    </row>
    <row r="276" spans="2:14" x14ac:dyDescent="0.25">
      <c r="B276" s="91">
        <v>46063</v>
      </c>
      <c r="C276" s="63">
        <v>1</v>
      </c>
      <c r="D276" s="63" t="s">
        <v>213</v>
      </c>
      <c r="E276" s="65" t="s">
        <v>178</v>
      </c>
      <c r="F276" s="63" t="s">
        <v>166</v>
      </c>
      <c r="G276" s="63" t="s">
        <v>111</v>
      </c>
      <c r="H276" s="63">
        <v>79</v>
      </c>
      <c r="I276" s="65" t="s">
        <v>169</v>
      </c>
      <c r="J276" s="63">
        <v>2434</v>
      </c>
      <c r="K276" s="64">
        <v>711.46</v>
      </c>
      <c r="L276" s="63" t="s">
        <v>587</v>
      </c>
      <c r="M276" s="65" t="str">
        <f t="shared" si="4"/>
        <v>GRANORTEBEIRA RIOPULMÃOZINHO</v>
      </c>
      <c r="N276" s="85" t="s">
        <v>111</v>
      </c>
    </row>
    <row r="277" spans="2:14" x14ac:dyDescent="0.25">
      <c r="B277" s="91">
        <v>46063</v>
      </c>
      <c r="C277" s="63">
        <v>1</v>
      </c>
      <c r="D277" s="63" t="s">
        <v>270</v>
      </c>
      <c r="E277" s="65" t="s">
        <v>288</v>
      </c>
      <c r="F277" s="63" t="s">
        <v>166</v>
      </c>
      <c r="G277" s="63" t="s">
        <v>164</v>
      </c>
      <c r="H277" s="63">
        <v>58</v>
      </c>
      <c r="I277" s="65" t="s">
        <v>172</v>
      </c>
      <c r="J277" s="63">
        <v>4744</v>
      </c>
      <c r="K277" s="64">
        <v>1018.06</v>
      </c>
      <c r="L277" s="63" t="s">
        <v>588</v>
      </c>
      <c r="M277" s="65" t="str">
        <f t="shared" si="4"/>
        <v>GRANORTEUA SAO LUISBICA CORRIDA</v>
      </c>
      <c r="N277" s="85" t="s">
        <v>1063</v>
      </c>
    </row>
    <row r="278" spans="2:14" x14ac:dyDescent="0.25">
      <c r="B278" s="91">
        <v>46063</v>
      </c>
      <c r="C278" s="63">
        <v>1</v>
      </c>
      <c r="D278" s="63" t="s">
        <v>270</v>
      </c>
      <c r="E278" s="65" t="s">
        <v>288</v>
      </c>
      <c r="F278" s="63" t="s">
        <v>166</v>
      </c>
      <c r="G278" s="63" t="s">
        <v>164</v>
      </c>
      <c r="H278" s="63">
        <v>58</v>
      </c>
      <c r="I278" s="65" t="s">
        <v>172</v>
      </c>
      <c r="J278" s="63">
        <v>4432</v>
      </c>
      <c r="K278" s="64">
        <v>951.11</v>
      </c>
      <c r="L278" s="63" t="s">
        <v>589</v>
      </c>
      <c r="M278" s="65" t="str">
        <f t="shared" si="4"/>
        <v>GRANORTEUA SAO LUISBICA CORRIDA</v>
      </c>
      <c r="N278" s="85" t="s">
        <v>1063</v>
      </c>
    </row>
    <row r="279" spans="2:14" x14ac:dyDescent="0.25">
      <c r="B279" s="91">
        <v>46063</v>
      </c>
      <c r="C279" s="63">
        <v>1</v>
      </c>
      <c r="D279" s="63" t="s">
        <v>192</v>
      </c>
      <c r="E279" s="65" t="s">
        <v>287</v>
      </c>
      <c r="F279" s="63" t="s">
        <v>166</v>
      </c>
      <c r="G279" s="63" t="s">
        <v>164</v>
      </c>
      <c r="H279" s="63">
        <v>58</v>
      </c>
      <c r="I279" s="65" t="s">
        <v>172</v>
      </c>
      <c r="J279" s="63">
        <v>4854</v>
      </c>
      <c r="K279" s="64">
        <v>1041.67</v>
      </c>
      <c r="L279" s="63" t="s">
        <v>590</v>
      </c>
      <c r="M279" s="65" t="str">
        <f t="shared" si="4"/>
        <v>GRANORTEUA SAO LUISBICA CORRIDA</v>
      </c>
      <c r="N279" s="85" t="s">
        <v>1063</v>
      </c>
    </row>
    <row r="280" spans="2:14" x14ac:dyDescent="0.25">
      <c r="B280" s="91">
        <v>46063</v>
      </c>
      <c r="C280" s="63">
        <v>1</v>
      </c>
      <c r="D280" s="63" t="s">
        <v>192</v>
      </c>
      <c r="E280" s="65" t="s">
        <v>287</v>
      </c>
      <c r="F280" s="63" t="s">
        <v>163</v>
      </c>
      <c r="G280" s="63" t="s">
        <v>164</v>
      </c>
      <c r="H280" s="63">
        <v>52</v>
      </c>
      <c r="I280" s="65" t="s">
        <v>195</v>
      </c>
      <c r="J280" s="63">
        <v>4802</v>
      </c>
      <c r="K280" s="64">
        <v>923.9</v>
      </c>
      <c r="L280" s="63" t="s">
        <v>591</v>
      </c>
      <c r="M280" s="65" t="str">
        <f t="shared" si="4"/>
        <v>BRASIL MINERACAOUA SAO LUISBRITA 1</v>
      </c>
      <c r="N280" s="85" t="s">
        <v>1063</v>
      </c>
    </row>
    <row r="281" spans="2:14" x14ac:dyDescent="0.25">
      <c r="B281" s="91">
        <v>46063</v>
      </c>
      <c r="C281" s="63">
        <v>1</v>
      </c>
      <c r="D281" s="63" t="s">
        <v>200</v>
      </c>
      <c r="E281" s="65" t="s">
        <v>201</v>
      </c>
      <c r="F281" s="63" t="s">
        <v>166</v>
      </c>
      <c r="G281" s="63" t="s">
        <v>164</v>
      </c>
      <c r="H281" s="63">
        <v>58</v>
      </c>
      <c r="I281" s="65" t="s">
        <v>172</v>
      </c>
      <c r="J281" s="63">
        <v>4758</v>
      </c>
      <c r="K281" s="64">
        <v>1021.07</v>
      </c>
      <c r="L281" s="63" t="s">
        <v>592</v>
      </c>
      <c r="M281" s="65" t="str">
        <f t="shared" si="4"/>
        <v>GRANORTEUA SAO LUISBICA CORRIDA</v>
      </c>
      <c r="N281" s="85" t="s">
        <v>1063</v>
      </c>
    </row>
    <row r="282" spans="2:14" x14ac:dyDescent="0.25">
      <c r="B282" s="91">
        <v>46063</v>
      </c>
      <c r="C282" s="63">
        <v>1</v>
      </c>
      <c r="D282" s="63" t="s">
        <v>200</v>
      </c>
      <c r="E282" s="65" t="s">
        <v>201</v>
      </c>
      <c r="F282" s="63" t="s">
        <v>166</v>
      </c>
      <c r="G282" s="63" t="s">
        <v>164</v>
      </c>
      <c r="H282" s="63">
        <v>58</v>
      </c>
      <c r="I282" s="65" t="s">
        <v>172</v>
      </c>
      <c r="J282" s="63">
        <v>4536</v>
      </c>
      <c r="K282" s="64">
        <v>973.43</v>
      </c>
      <c r="L282" s="63" t="s">
        <v>593</v>
      </c>
      <c r="M282" s="65" t="str">
        <f t="shared" si="4"/>
        <v>GRANORTEUA SAO LUISBICA CORRIDA</v>
      </c>
      <c r="N282" s="85" t="s">
        <v>1063</v>
      </c>
    </row>
    <row r="283" spans="2:14" x14ac:dyDescent="0.25">
      <c r="B283" s="91">
        <v>46063</v>
      </c>
      <c r="C283" s="63">
        <v>1</v>
      </c>
      <c r="D283" s="63" t="s">
        <v>193</v>
      </c>
      <c r="E283" s="65" t="s">
        <v>285</v>
      </c>
      <c r="F283" s="63" t="s">
        <v>166</v>
      </c>
      <c r="G283" s="63" t="s">
        <v>111</v>
      </c>
      <c r="H283" s="63">
        <v>79</v>
      </c>
      <c r="I283" s="65" t="s">
        <v>185</v>
      </c>
      <c r="J283" s="63">
        <v>254</v>
      </c>
      <c r="K283" s="64">
        <v>742.44</v>
      </c>
      <c r="L283" s="63" t="s">
        <v>594</v>
      </c>
      <c r="M283" s="65" t="str">
        <f t="shared" si="4"/>
        <v>GRANORTEBEIRA RIORACHÃOZINHO</v>
      </c>
      <c r="N283" s="85" t="s">
        <v>111</v>
      </c>
    </row>
    <row r="284" spans="2:14" x14ac:dyDescent="0.25">
      <c r="B284" s="91">
        <v>46063</v>
      </c>
      <c r="C284" s="63">
        <v>1</v>
      </c>
      <c r="D284" s="63" t="s">
        <v>193</v>
      </c>
      <c r="E284" s="65" t="s">
        <v>285</v>
      </c>
      <c r="F284" s="63" t="s">
        <v>166</v>
      </c>
      <c r="G284" s="63" t="s">
        <v>111</v>
      </c>
      <c r="H284" s="63">
        <v>79</v>
      </c>
      <c r="I284" s="65" t="s">
        <v>185</v>
      </c>
      <c r="J284" s="63">
        <v>2644</v>
      </c>
      <c r="K284" s="64">
        <v>772.84</v>
      </c>
      <c r="L284" s="63" t="s">
        <v>595</v>
      </c>
      <c r="M284" s="65" t="str">
        <f t="shared" si="4"/>
        <v>GRANORTEBEIRA RIORACHÃOZINHO</v>
      </c>
      <c r="N284" s="85" t="s">
        <v>111</v>
      </c>
    </row>
    <row r="285" spans="2:14" x14ac:dyDescent="0.25">
      <c r="B285" s="91">
        <v>46063</v>
      </c>
      <c r="C285" s="63">
        <v>2</v>
      </c>
      <c r="D285" s="63" t="s">
        <v>294</v>
      </c>
      <c r="E285" s="65" t="s">
        <v>295</v>
      </c>
      <c r="F285" s="63" t="s">
        <v>276</v>
      </c>
      <c r="G285" s="63" t="s">
        <v>277</v>
      </c>
      <c r="H285" s="63">
        <v>118</v>
      </c>
      <c r="I285" s="65" t="s">
        <v>165</v>
      </c>
      <c r="J285" s="63">
        <v>3674</v>
      </c>
      <c r="K285" s="64">
        <v>1387.3</v>
      </c>
      <c r="L285" s="63" t="s">
        <v>995</v>
      </c>
      <c r="M285" s="65" t="str">
        <f t="shared" si="4"/>
        <v>MINERADORA PORTO FRANCOCONCRENORTEPÓ DE BRITA</v>
      </c>
      <c r="N285" s="85" t="s">
        <v>1065</v>
      </c>
    </row>
    <row r="286" spans="2:14" x14ac:dyDescent="0.25">
      <c r="B286" s="91">
        <v>46063</v>
      </c>
      <c r="C286" s="63">
        <v>2</v>
      </c>
      <c r="D286" s="63" t="s">
        <v>302</v>
      </c>
      <c r="E286" s="65" t="s">
        <v>303</v>
      </c>
      <c r="F286" s="63" t="s">
        <v>996</v>
      </c>
      <c r="G286" s="63" t="s">
        <v>997</v>
      </c>
      <c r="H286" s="63">
        <v>292</v>
      </c>
      <c r="I286" s="65" t="s">
        <v>195</v>
      </c>
      <c r="J286" s="63">
        <v>3603</v>
      </c>
      <c r="K286" s="64">
        <v>3892.68</v>
      </c>
      <c r="L286" s="63" t="s">
        <v>998</v>
      </c>
      <c r="M286" s="65" t="str">
        <f t="shared" si="4"/>
        <v>MINERADORA CBM GURUPI -TOTAIPAS - TOBRITA 1</v>
      </c>
      <c r="N286" s="85" t="s">
        <v>83</v>
      </c>
    </row>
    <row r="287" spans="2:14" x14ac:dyDescent="0.25">
      <c r="B287" s="67">
        <v>46063</v>
      </c>
      <c r="C287" s="63">
        <v>1</v>
      </c>
      <c r="D287" s="63" t="s">
        <v>219</v>
      </c>
      <c r="E287" s="68" t="s">
        <v>1072</v>
      </c>
      <c r="F287" s="63" t="s">
        <v>1069</v>
      </c>
      <c r="G287" s="63" t="s">
        <v>1070</v>
      </c>
      <c r="H287" s="63">
        <v>52</v>
      </c>
      <c r="I287" s="68" t="s">
        <v>165</v>
      </c>
      <c r="J287" s="63">
        <v>25.74</v>
      </c>
      <c r="K287" s="64">
        <v>495.23759999999993</v>
      </c>
      <c r="L287" s="63" t="s">
        <v>1094</v>
      </c>
      <c r="M287" s="65" t="str">
        <f t="shared" si="4"/>
        <v>BRASIL MINERAÇÃOUA-11 DistritoPÓ DE BRITA</v>
      </c>
      <c r="N287" s="78" t="s">
        <v>1063</v>
      </c>
    </row>
    <row r="288" spans="2:14" x14ac:dyDescent="0.25">
      <c r="B288" s="91">
        <v>46064</v>
      </c>
      <c r="C288" s="63">
        <v>1</v>
      </c>
      <c r="D288" s="63" t="s">
        <v>219</v>
      </c>
      <c r="E288" s="65" t="s">
        <v>220</v>
      </c>
      <c r="F288" s="63" t="s">
        <v>190</v>
      </c>
      <c r="G288" s="63" t="s">
        <v>198</v>
      </c>
      <c r="H288" s="63">
        <v>70</v>
      </c>
      <c r="I288" s="65" t="s">
        <v>165</v>
      </c>
      <c r="J288" s="63">
        <v>569</v>
      </c>
      <c r="K288" s="64">
        <v>1473.71</v>
      </c>
      <c r="L288" s="63" t="s">
        <v>596</v>
      </c>
      <c r="M288" s="65" t="str">
        <f t="shared" si="4"/>
        <v>SERVENGUSINA SAO LUISPÓ DE BRITA</v>
      </c>
      <c r="N288" s="85" t="s">
        <v>1063</v>
      </c>
    </row>
    <row r="289" spans="2:14" x14ac:dyDescent="0.25">
      <c r="B289" s="91">
        <v>46064</v>
      </c>
      <c r="C289" s="63">
        <v>1</v>
      </c>
      <c r="D289" s="63" t="s">
        <v>219</v>
      </c>
      <c r="E289" s="65" t="s">
        <v>220</v>
      </c>
      <c r="F289" s="63" t="s">
        <v>190</v>
      </c>
      <c r="G289" s="63" t="s">
        <v>198</v>
      </c>
      <c r="H289" s="63">
        <v>70</v>
      </c>
      <c r="I289" s="65" t="s">
        <v>165</v>
      </c>
      <c r="J289" s="63">
        <v>449</v>
      </c>
      <c r="K289" s="64">
        <v>1162.9100000000001</v>
      </c>
      <c r="L289" s="63" t="s">
        <v>597</v>
      </c>
      <c r="M289" s="65" t="str">
        <f t="shared" si="4"/>
        <v>SERVENGUSINA SAO LUISPÓ DE BRITA</v>
      </c>
      <c r="N289" s="85" t="s">
        <v>1063</v>
      </c>
    </row>
    <row r="290" spans="2:14" x14ac:dyDescent="0.25">
      <c r="B290" s="91">
        <v>46064</v>
      </c>
      <c r="C290" s="63">
        <v>1</v>
      </c>
      <c r="D290" s="63" t="s">
        <v>188</v>
      </c>
      <c r="E290" s="65" t="s">
        <v>189</v>
      </c>
      <c r="F290" s="63" t="s">
        <v>166</v>
      </c>
      <c r="G290" s="63" t="s">
        <v>164</v>
      </c>
      <c r="H290" s="63">
        <v>58</v>
      </c>
      <c r="I290" s="65" t="s">
        <v>172</v>
      </c>
      <c r="J290" s="63">
        <v>7652</v>
      </c>
      <c r="K290" s="64">
        <v>1642.12</v>
      </c>
      <c r="L290" s="63" t="s">
        <v>598</v>
      </c>
      <c r="M290" s="65" t="str">
        <f t="shared" si="4"/>
        <v>GRANORTEUA SAO LUISBICA CORRIDA</v>
      </c>
      <c r="N290" s="85" t="s">
        <v>1063</v>
      </c>
    </row>
    <row r="291" spans="2:14" x14ac:dyDescent="0.25">
      <c r="B291" s="91">
        <v>46064</v>
      </c>
      <c r="C291" s="63">
        <v>1</v>
      </c>
      <c r="D291" s="63" t="s">
        <v>196</v>
      </c>
      <c r="E291" s="65" t="s">
        <v>197</v>
      </c>
      <c r="F291" s="63" t="s">
        <v>166</v>
      </c>
      <c r="G291" s="63" t="s">
        <v>164</v>
      </c>
      <c r="H291" s="63">
        <v>58</v>
      </c>
      <c r="I291" s="65" t="s">
        <v>172</v>
      </c>
      <c r="J291" s="63">
        <v>493</v>
      </c>
      <c r="K291" s="64">
        <v>1057.98</v>
      </c>
      <c r="L291" s="63" t="s">
        <v>599</v>
      </c>
      <c r="M291" s="65" t="str">
        <f t="shared" si="4"/>
        <v>GRANORTEUA SAO LUISBICA CORRIDA</v>
      </c>
      <c r="N291" s="85" t="s">
        <v>1063</v>
      </c>
    </row>
    <row r="292" spans="2:14" x14ac:dyDescent="0.25">
      <c r="B292" s="91">
        <v>46064</v>
      </c>
      <c r="C292" s="63">
        <v>1</v>
      </c>
      <c r="D292" s="63" t="s">
        <v>176</v>
      </c>
      <c r="E292" s="65" t="s">
        <v>177</v>
      </c>
      <c r="F292" s="63" t="s">
        <v>166</v>
      </c>
      <c r="G292" s="63" t="s">
        <v>164</v>
      </c>
      <c r="H292" s="63">
        <v>58</v>
      </c>
      <c r="I292" s="65" t="s">
        <v>172</v>
      </c>
      <c r="J292" s="63">
        <v>4648</v>
      </c>
      <c r="K292" s="64">
        <v>997.46</v>
      </c>
      <c r="L292" s="63" t="s">
        <v>600</v>
      </c>
      <c r="M292" s="65" t="str">
        <f t="shared" si="4"/>
        <v>GRANORTEUA SAO LUISBICA CORRIDA</v>
      </c>
      <c r="N292" s="85" t="s">
        <v>1063</v>
      </c>
    </row>
    <row r="293" spans="2:14" x14ac:dyDescent="0.25">
      <c r="B293" s="91">
        <v>46064</v>
      </c>
      <c r="C293" s="63">
        <v>1</v>
      </c>
      <c r="D293" s="63" t="s">
        <v>202</v>
      </c>
      <c r="E293" s="65" t="s">
        <v>214</v>
      </c>
      <c r="F293" s="63" t="s">
        <v>166</v>
      </c>
      <c r="G293" s="63" t="s">
        <v>164</v>
      </c>
      <c r="H293" s="63">
        <v>58</v>
      </c>
      <c r="I293" s="65" t="s">
        <v>172</v>
      </c>
      <c r="J293" s="63">
        <v>491</v>
      </c>
      <c r="K293" s="64">
        <v>1053.69</v>
      </c>
      <c r="L293" s="63" t="s">
        <v>601</v>
      </c>
      <c r="M293" s="65" t="str">
        <f t="shared" si="4"/>
        <v>GRANORTEUA SAO LUISBICA CORRIDA</v>
      </c>
      <c r="N293" s="85" t="s">
        <v>1063</v>
      </c>
    </row>
    <row r="294" spans="2:14" x14ac:dyDescent="0.25">
      <c r="B294" s="91">
        <v>46064</v>
      </c>
      <c r="C294" s="63">
        <v>1</v>
      </c>
      <c r="D294" s="63" t="s">
        <v>170</v>
      </c>
      <c r="E294" s="65" t="s">
        <v>171</v>
      </c>
      <c r="F294" s="63" t="s">
        <v>166</v>
      </c>
      <c r="G294" s="63" t="s">
        <v>111</v>
      </c>
      <c r="H294" s="63">
        <v>79</v>
      </c>
      <c r="I294" s="65" t="s">
        <v>169</v>
      </c>
      <c r="J294" s="63">
        <v>249</v>
      </c>
      <c r="K294" s="64">
        <v>727.83</v>
      </c>
      <c r="L294" s="63" t="s">
        <v>602</v>
      </c>
      <c r="M294" s="65" t="str">
        <f t="shared" si="4"/>
        <v>GRANORTEBEIRA RIOPULMÃOZINHO</v>
      </c>
      <c r="N294" s="85" t="s">
        <v>111</v>
      </c>
    </row>
    <row r="295" spans="2:14" x14ac:dyDescent="0.25">
      <c r="B295" s="91">
        <v>46064</v>
      </c>
      <c r="C295" s="63">
        <v>1</v>
      </c>
      <c r="D295" s="63" t="s">
        <v>203</v>
      </c>
      <c r="E295" s="65" t="s">
        <v>204</v>
      </c>
      <c r="F295" s="63" t="s">
        <v>166</v>
      </c>
      <c r="G295" s="63" t="s">
        <v>164</v>
      </c>
      <c r="H295" s="63">
        <v>58</v>
      </c>
      <c r="I295" s="65" t="s">
        <v>172</v>
      </c>
      <c r="J295" s="63">
        <v>4656</v>
      </c>
      <c r="K295" s="64">
        <v>999.18</v>
      </c>
      <c r="L295" s="63" t="s">
        <v>603</v>
      </c>
      <c r="M295" s="65" t="str">
        <f t="shared" si="4"/>
        <v>GRANORTEUA SAO LUISBICA CORRIDA</v>
      </c>
      <c r="N295" s="85" t="s">
        <v>1063</v>
      </c>
    </row>
    <row r="296" spans="2:14" x14ac:dyDescent="0.25">
      <c r="B296" s="91">
        <v>46064</v>
      </c>
      <c r="C296" s="63">
        <v>1</v>
      </c>
      <c r="D296" s="63" t="s">
        <v>210</v>
      </c>
      <c r="E296" s="65" t="s">
        <v>211</v>
      </c>
      <c r="F296" s="63" t="s">
        <v>166</v>
      </c>
      <c r="G296" s="63" t="s">
        <v>164</v>
      </c>
      <c r="H296" s="63">
        <v>58</v>
      </c>
      <c r="I296" s="65" t="s">
        <v>172</v>
      </c>
      <c r="J296" s="63">
        <v>269</v>
      </c>
      <c r="K296" s="64">
        <v>577.27</v>
      </c>
      <c r="L296" s="63" t="s">
        <v>604</v>
      </c>
      <c r="M296" s="65" t="str">
        <f t="shared" si="4"/>
        <v>GRANORTEUA SAO LUISBICA CORRIDA</v>
      </c>
      <c r="N296" s="85" t="s">
        <v>1063</v>
      </c>
    </row>
    <row r="297" spans="2:14" x14ac:dyDescent="0.25">
      <c r="B297" s="91">
        <v>46064</v>
      </c>
      <c r="C297" s="63">
        <v>1</v>
      </c>
      <c r="D297" s="63" t="s">
        <v>196</v>
      </c>
      <c r="E297" s="65" t="s">
        <v>197</v>
      </c>
      <c r="F297" s="63" t="s">
        <v>166</v>
      </c>
      <c r="G297" s="63" t="s">
        <v>164</v>
      </c>
      <c r="H297" s="63">
        <v>58</v>
      </c>
      <c r="I297" s="65" t="s">
        <v>172</v>
      </c>
      <c r="J297" s="63">
        <v>4596</v>
      </c>
      <c r="K297" s="64">
        <v>986.3</v>
      </c>
      <c r="L297" s="63" t="s">
        <v>605</v>
      </c>
      <c r="M297" s="65" t="str">
        <f t="shared" si="4"/>
        <v>GRANORTEUA SAO LUISBICA CORRIDA</v>
      </c>
      <c r="N297" s="85" t="s">
        <v>1063</v>
      </c>
    </row>
    <row r="298" spans="2:14" x14ac:dyDescent="0.25">
      <c r="B298" s="91">
        <v>46064</v>
      </c>
      <c r="C298" s="63">
        <v>1</v>
      </c>
      <c r="D298" s="63" t="s">
        <v>188</v>
      </c>
      <c r="E298" s="65" t="s">
        <v>189</v>
      </c>
      <c r="F298" s="63" t="s">
        <v>166</v>
      </c>
      <c r="G298" s="63" t="s">
        <v>164</v>
      </c>
      <c r="H298" s="63">
        <v>58</v>
      </c>
      <c r="I298" s="65" t="s">
        <v>195</v>
      </c>
      <c r="J298" s="63">
        <v>4802</v>
      </c>
      <c r="K298" s="64">
        <v>1030.51</v>
      </c>
      <c r="L298" s="63" t="s">
        <v>606</v>
      </c>
      <c r="M298" s="65" t="str">
        <f t="shared" si="4"/>
        <v>GRANORTEUA SAO LUISBRITA 1</v>
      </c>
      <c r="N298" s="85" t="s">
        <v>1063</v>
      </c>
    </row>
    <row r="299" spans="2:14" x14ac:dyDescent="0.25">
      <c r="B299" s="91">
        <v>46064</v>
      </c>
      <c r="C299" s="63">
        <v>1</v>
      </c>
      <c r="D299" s="63" t="s">
        <v>199</v>
      </c>
      <c r="E299" s="65" t="s">
        <v>180</v>
      </c>
      <c r="F299" s="63" t="s">
        <v>166</v>
      </c>
      <c r="G299" s="63" t="s">
        <v>111</v>
      </c>
      <c r="H299" s="63">
        <v>79</v>
      </c>
      <c r="I299" s="65" t="s">
        <v>169</v>
      </c>
      <c r="J299" s="63">
        <v>264</v>
      </c>
      <c r="K299" s="64">
        <v>771.67</v>
      </c>
      <c r="L299" s="63" t="s">
        <v>607</v>
      </c>
      <c r="M299" s="65" t="str">
        <f t="shared" si="4"/>
        <v>GRANORTEBEIRA RIOPULMÃOZINHO</v>
      </c>
      <c r="N299" s="85" t="s">
        <v>111</v>
      </c>
    </row>
    <row r="300" spans="2:14" x14ac:dyDescent="0.25">
      <c r="B300" s="91">
        <v>46064</v>
      </c>
      <c r="C300" s="63">
        <v>1</v>
      </c>
      <c r="D300" s="63" t="s">
        <v>173</v>
      </c>
      <c r="E300" s="65" t="s">
        <v>174</v>
      </c>
      <c r="F300" s="63" t="s">
        <v>166</v>
      </c>
      <c r="G300" s="63" t="s">
        <v>111</v>
      </c>
      <c r="H300" s="63">
        <v>79</v>
      </c>
      <c r="I300" s="65" t="s">
        <v>169</v>
      </c>
      <c r="J300" s="63">
        <v>256</v>
      </c>
      <c r="K300" s="64">
        <v>748.29</v>
      </c>
      <c r="L300" s="63" t="s">
        <v>608</v>
      </c>
      <c r="M300" s="65" t="str">
        <f t="shared" si="4"/>
        <v>GRANORTEBEIRA RIOPULMÃOZINHO</v>
      </c>
      <c r="N300" s="85" t="s">
        <v>111</v>
      </c>
    </row>
    <row r="301" spans="2:14" x14ac:dyDescent="0.25">
      <c r="B301" s="91">
        <v>46064</v>
      </c>
      <c r="C301" s="63">
        <v>1</v>
      </c>
      <c r="D301" s="63" t="s">
        <v>170</v>
      </c>
      <c r="E301" s="65" t="s">
        <v>171</v>
      </c>
      <c r="F301" s="63" t="s">
        <v>166</v>
      </c>
      <c r="G301" s="63" t="s">
        <v>164</v>
      </c>
      <c r="H301" s="63">
        <v>58</v>
      </c>
      <c r="I301" s="65" t="s">
        <v>172</v>
      </c>
      <c r="J301" s="63">
        <v>2532</v>
      </c>
      <c r="K301" s="64">
        <v>543.37</v>
      </c>
      <c r="L301" s="63" t="s">
        <v>609</v>
      </c>
      <c r="M301" s="65" t="str">
        <f t="shared" si="4"/>
        <v>GRANORTEUA SAO LUISBICA CORRIDA</v>
      </c>
      <c r="N301" s="85" t="s">
        <v>1063</v>
      </c>
    </row>
    <row r="302" spans="2:14" x14ac:dyDescent="0.25">
      <c r="B302" s="91">
        <v>46064</v>
      </c>
      <c r="C302" s="63">
        <v>1</v>
      </c>
      <c r="D302" s="63" t="s">
        <v>176</v>
      </c>
      <c r="E302" s="65" t="s">
        <v>177</v>
      </c>
      <c r="F302" s="63" t="s">
        <v>166</v>
      </c>
      <c r="G302" s="63" t="s">
        <v>164</v>
      </c>
      <c r="H302" s="63">
        <v>58</v>
      </c>
      <c r="I302" s="65" t="s">
        <v>172</v>
      </c>
      <c r="J302" s="63">
        <v>4536</v>
      </c>
      <c r="K302" s="64">
        <v>973.43</v>
      </c>
      <c r="L302" s="63" t="s">
        <v>610</v>
      </c>
      <c r="M302" s="65" t="str">
        <f t="shared" si="4"/>
        <v>GRANORTEUA SAO LUISBICA CORRIDA</v>
      </c>
      <c r="N302" s="85" t="s">
        <v>1063</v>
      </c>
    </row>
    <row r="303" spans="2:14" x14ac:dyDescent="0.25">
      <c r="B303" s="91">
        <v>46064</v>
      </c>
      <c r="C303" s="63">
        <v>1</v>
      </c>
      <c r="D303" s="63" t="s">
        <v>208</v>
      </c>
      <c r="E303" s="65" t="s">
        <v>209</v>
      </c>
      <c r="F303" s="63" t="s">
        <v>166</v>
      </c>
      <c r="G303" s="63" t="s">
        <v>164</v>
      </c>
      <c r="H303" s="63">
        <v>58</v>
      </c>
      <c r="I303" s="65" t="s">
        <v>172</v>
      </c>
      <c r="J303" s="63">
        <v>580</v>
      </c>
      <c r="K303" s="64">
        <v>1244.68</v>
      </c>
      <c r="L303" s="63" t="s">
        <v>611</v>
      </c>
      <c r="M303" s="65" t="str">
        <f t="shared" si="4"/>
        <v>GRANORTEUA SAO LUISBICA CORRIDA</v>
      </c>
      <c r="N303" s="85" t="s">
        <v>1063</v>
      </c>
    </row>
    <row r="304" spans="2:14" x14ac:dyDescent="0.25">
      <c r="B304" s="91">
        <v>46064</v>
      </c>
      <c r="C304" s="63">
        <v>1</v>
      </c>
      <c r="D304" s="63" t="s">
        <v>208</v>
      </c>
      <c r="E304" s="65" t="s">
        <v>209</v>
      </c>
      <c r="F304" s="63" t="s">
        <v>166</v>
      </c>
      <c r="G304" s="63" t="s">
        <v>164</v>
      </c>
      <c r="H304" s="63">
        <v>58</v>
      </c>
      <c r="I304" s="65" t="s">
        <v>172</v>
      </c>
      <c r="J304" s="63">
        <v>550</v>
      </c>
      <c r="K304" s="64">
        <v>1180.3</v>
      </c>
      <c r="L304" s="63" t="s">
        <v>612</v>
      </c>
      <c r="M304" s="65" t="str">
        <f t="shared" si="4"/>
        <v>GRANORTEUA SAO LUISBICA CORRIDA</v>
      </c>
      <c r="N304" s="85" t="s">
        <v>1063</v>
      </c>
    </row>
    <row r="305" spans="2:14" x14ac:dyDescent="0.25">
      <c r="B305" s="91">
        <v>46064</v>
      </c>
      <c r="C305" s="63">
        <v>1</v>
      </c>
      <c r="D305" s="63" t="s">
        <v>202</v>
      </c>
      <c r="E305" s="65" t="s">
        <v>214</v>
      </c>
      <c r="F305" s="63" t="s">
        <v>166</v>
      </c>
      <c r="G305" s="63" t="s">
        <v>164</v>
      </c>
      <c r="H305" s="63">
        <v>58</v>
      </c>
      <c r="I305" s="65" t="s">
        <v>172</v>
      </c>
      <c r="J305" s="63">
        <v>4708</v>
      </c>
      <c r="K305" s="64">
        <v>1010.34</v>
      </c>
      <c r="L305" s="63" t="s">
        <v>613</v>
      </c>
      <c r="M305" s="65" t="str">
        <f t="shared" si="4"/>
        <v>GRANORTEUA SAO LUISBICA CORRIDA</v>
      </c>
      <c r="N305" s="85" t="s">
        <v>1063</v>
      </c>
    </row>
    <row r="306" spans="2:14" x14ac:dyDescent="0.25">
      <c r="B306" s="91">
        <v>46064</v>
      </c>
      <c r="C306" s="63">
        <v>1</v>
      </c>
      <c r="D306" s="63" t="s">
        <v>496</v>
      </c>
      <c r="E306" s="65" t="s">
        <v>497</v>
      </c>
      <c r="F306" s="63" t="s">
        <v>166</v>
      </c>
      <c r="G306" s="63" t="s">
        <v>164</v>
      </c>
      <c r="H306" s="63">
        <v>58</v>
      </c>
      <c r="I306" s="65" t="s">
        <v>165</v>
      </c>
      <c r="J306" s="63">
        <v>2558</v>
      </c>
      <c r="K306" s="64">
        <v>548.95000000000005</v>
      </c>
      <c r="L306" s="63" t="s">
        <v>614</v>
      </c>
      <c r="M306" s="65" t="str">
        <f t="shared" si="4"/>
        <v>GRANORTEUA SAO LUISPÓ DE BRITA</v>
      </c>
      <c r="N306" s="85" t="s">
        <v>1063</v>
      </c>
    </row>
    <row r="307" spans="2:14" x14ac:dyDescent="0.25">
      <c r="B307" s="91">
        <v>46064</v>
      </c>
      <c r="C307" s="63">
        <v>1</v>
      </c>
      <c r="D307" s="63" t="s">
        <v>186</v>
      </c>
      <c r="E307" s="65" t="s">
        <v>187</v>
      </c>
      <c r="F307" s="63" t="s">
        <v>166</v>
      </c>
      <c r="G307" s="63" t="s">
        <v>164</v>
      </c>
      <c r="H307" s="63">
        <v>58</v>
      </c>
      <c r="I307" s="65" t="s">
        <v>172</v>
      </c>
      <c r="J307" s="63">
        <v>5088</v>
      </c>
      <c r="K307" s="64">
        <v>1091.8800000000001</v>
      </c>
      <c r="L307" s="63" t="s">
        <v>615</v>
      </c>
      <c r="M307" s="65" t="str">
        <f t="shared" si="4"/>
        <v>GRANORTEUA SAO LUISBICA CORRIDA</v>
      </c>
      <c r="N307" s="85" t="s">
        <v>1063</v>
      </c>
    </row>
    <row r="308" spans="2:14" x14ac:dyDescent="0.25">
      <c r="B308" s="91">
        <v>46064</v>
      </c>
      <c r="C308" s="63">
        <v>1</v>
      </c>
      <c r="D308" s="63" t="s">
        <v>186</v>
      </c>
      <c r="E308" s="65" t="s">
        <v>187</v>
      </c>
      <c r="F308" s="63" t="s">
        <v>166</v>
      </c>
      <c r="G308" s="63" t="s">
        <v>164</v>
      </c>
      <c r="H308" s="63">
        <v>58</v>
      </c>
      <c r="I308" s="65" t="s">
        <v>172</v>
      </c>
      <c r="J308" s="63">
        <v>4636</v>
      </c>
      <c r="K308" s="64">
        <v>994.89</v>
      </c>
      <c r="L308" s="63" t="s">
        <v>616</v>
      </c>
      <c r="M308" s="65" t="str">
        <f t="shared" si="4"/>
        <v>GRANORTEUA SAO LUISBICA CORRIDA</v>
      </c>
      <c r="N308" s="85" t="s">
        <v>1063</v>
      </c>
    </row>
    <row r="309" spans="2:14" x14ac:dyDescent="0.25">
      <c r="B309" s="91">
        <v>46064</v>
      </c>
      <c r="C309" s="63">
        <v>1</v>
      </c>
      <c r="D309" s="63" t="s">
        <v>196</v>
      </c>
      <c r="E309" s="65" t="s">
        <v>197</v>
      </c>
      <c r="F309" s="63" t="s">
        <v>166</v>
      </c>
      <c r="G309" s="63" t="s">
        <v>164</v>
      </c>
      <c r="H309" s="63">
        <v>58</v>
      </c>
      <c r="I309" s="65" t="s">
        <v>172</v>
      </c>
      <c r="J309" s="63">
        <v>4542</v>
      </c>
      <c r="K309" s="64">
        <v>974.71</v>
      </c>
      <c r="L309" s="63" t="s">
        <v>617</v>
      </c>
      <c r="M309" s="65" t="str">
        <f t="shared" si="4"/>
        <v>GRANORTEUA SAO LUISBICA CORRIDA</v>
      </c>
      <c r="N309" s="85" t="s">
        <v>1063</v>
      </c>
    </row>
    <row r="310" spans="2:14" x14ac:dyDescent="0.25">
      <c r="B310" s="91">
        <v>46064</v>
      </c>
      <c r="C310" s="63">
        <v>1</v>
      </c>
      <c r="D310" s="63" t="s">
        <v>162</v>
      </c>
      <c r="E310" s="65" t="s">
        <v>281</v>
      </c>
      <c r="F310" s="63" t="s">
        <v>166</v>
      </c>
      <c r="G310" s="63" t="s">
        <v>164</v>
      </c>
      <c r="H310" s="63">
        <v>58</v>
      </c>
      <c r="I310" s="65" t="s">
        <v>169</v>
      </c>
      <c r="J310" s="63">
        <v>2458</v>
      </c>
      <c r="K310" s="64">
        <v>527.49</v>
      </c>
      <c r="L310" s="63" t="s">
        <v>618</v>
      </c>
      <c r="M310" s="65" t="str">
        <f t="shared" si="4"/>
        <v>GRANORTEUA SAO LUISPULMÃOZINHO</v>
      </c>
      <c r="N310" s="85" t="s">
        <v>1063</v>
      </c>
    </row>
    <row r="311" spans="2:14" x14ac:dyDescent="0.25">
      <c r="B311" s="91">
        <v>46064</v>
      </c>
      <c r="C311" s="63">
        <v>1</v>
      </c>
      <c r="D311" s="63" t="s">
        <v>203</v>
      </c>
      <c r="E311" s="65" t="s">
        <v>204</v>
      </c>
      <c r="F311" s="63" t="s">
        <v>166</v>
      </c>
      <c r="G311" s="63" t="s">
        <v>164</v>
      </c>
      <c r="H311" s="63">
        <v>58</v>
      </c>
      <c r="I311" s="65" t="s">
        <v>172</v>
      </c>
      <c r="J311" s="63">
        <v>4616</v>
      </c>
      <c r="K311" s="64">
        <v>990.59</v>
      </c>
      <c r="L311" s="63" t="s">
        <v>619</v>
      </c>
      <c r="M311" s="65" t="str">
        <f t="shared" si="4"/>
        <v>GRANORTEUA SAO LUISBICA CORRIDA</v>
      </c>
      <c r="N311" s="85" t="s">
        <v>1063</v>
      </c>
    </row>
    <row r="312" spans="2:14" x14ac:dyDescent="0.25">
      <c r="B312" s="91">
        <v>46064</v>
      </c>
      <c r="C312" s="63">
        <v>1</v>
      </c>
      <c r="D312" s="63" t="s">
        <v>283</v>
      </c>
      <c r="E312" s="65" t="s">
        <v>215</v>
      </c>
      <c r="F312" s="63" t="s">
        <v>166</v>
      </c>
      <c r="G312" s="63" t="s">
        <v>111</v>
      </c>
      <c r="H312" s="63">
        <v>79</v>
      </c>
      <c r="I312" s="65" t="s">
        <v>169</v>
      </c>
      <c r="J312" s="63">
        <v>2638</v>
      </c>
      <c r="K312" s="64">
        <v>771.09</v>
      </c>
      <c r="L312" s="63" t="s">
        <v>620</v>
      </c>
      <c r="M312" s="65" t="str">
        <f t="shared" si="4"/>
        <v>GRANORTEBEIRA RIOPULMÃOZINHO</v>
      </c>
      <c r="N312" s="85" t="s">
        <v>111</v>
      </c>
    </row>
    <row r="313" spans="2:14" x14ac:dyDescent="0.25">
      <c r="B313" s="91">
        <v>46064</v>
      </c>
      <c r="C313" s="63">
        <v>1</v>
      </c>
      <c r="D313" s="63" t="s">
        <v>283</v>
      </c>
      <c r="E313" s="65" t="s">
        <v>215</v>
      </c>
      <c r="F313" s="63" t="s">
        <v>166</v>
      </c>
      <c r="G313" s="63" t="s">
        <v>111</v>
      </c>
      <c r="H313" s="63">
        <v>79</v>
      </c>
      <c r="I313" s="65" t="s">
        <v>169</v>
      </c>
      <c r="J313" s="63">
        <v>2622</v>
      </c>
      <c r="K313" s="64">
        <v>766.41</v>
      </c>
      <c r="L313" s="63" t="s">
        <v>621</v>
      </c>
      <c r="M313" s="65" t="str">
        <f t="shared" si="4"/>
        <v>GRANORTEBEIRA RIOPULMÃOZINHO</v>
      </c>
      <c r="N313" s="85" t="s">
        <v>111</v>
      </c>
    </row>
    <row r="314" spans="2:14" x14ac:dyDescent="0.25">
      <c r="B314" s="91">
        <v>46064</v>
      </c>
      <c r="C314" s="63">
        <v>1</v>
      </c>
      <c r="D314" s="63" t="s">
        <v>179</v>
      </c>
      <c r="E314" s="65" t="s">
        <v>282</v>
      </c>
      <c r="F314" s="63" t="s">
        <v>166</v>
      </c>
      <c r="G314" s="63" t="s">
        <v>111</v>
      </c>
      <c r="H314" s="63">
        <v>79</v>
      </c>
      <c r="I314" s="65" t="s">
        <v>169</v>
      </c>
      <c r="J314" s="63">
        <v>2484</v>
      </c>
      <c r="K314" s="64">
        <v>726.07</v>
      </c>
      <c r="L314" s="63" t="s">
        <v>622</v>
      </c>
      <c r="M314" s="65" t="str">
        <f t="shared" si="4"/>
        <v>GRANORTEBEIRA RIOPULMÃOZINHO</v>
      </c>
      <c r="N314" s="85" t="s">
        <v>111</v>
      </c>
    </row>
    <row r="315" spans="2:14" x14ac:dyDescent="0.25">
      <c r="B315" s="91">
        <v>46064</v>
      </c>
      <c r="C315" s="63">
        <v>1</v>
      </c>
      <c r="D315" s="63" t="s">
        <v>179</v>
      </c>
      <c r="E315" s="65" t="s">
        <v>282</v>
      </c>
      <c r="F315" s="63" t="s">
        <v>166</v>
      </c>
      <c r="G315" s="63" t="s">
        <v>111</v>
      </c>
      <c r="H315" s="63">
        <v>79</v>
      </c>
      <c r="I315" s="65" t="s">
        <v>169</v>
      </c>
      <c r="J315" s="63">
        <v>2534</v>
      </c>
      <c r="K315" s="64">
        <v>740.69</v>
      </c>
      <c r="L315" s="63" t="s">
        <v>623</v>
      </c>
      <c r="M315" s="65" t="str">
        <f t="shared" si="4"/>
        <v>GRANORTEBEIRA RIOPULMÃOZINHO</v>
      </c>
      <c r="N315" s="85" t="s">
        <v>111</v>
      </c>
    </row>
    <row r="316" spans="2:14" x14ac:dyDescent="0.25">
      <c r="B316" s="91">
        <v>46064</v>
      </c>
      <c r="C316" s="63">
        <v>1</v>
      </c>
      <c r="D316" s="63" t="s">
        <v>496</v>
      </c>
      <c r="E316" s="65" t="s">
        <v>497</v>
      </c>
      <c r="F316" s="63" t="s">
        <v>163</v>
      </c>
      <c r="G316" s="63" t="s">
        <v>164</v>
      </c>
      <c r="H316" s="63">
        <v>52</v>
      </c>
      <c r="I316" s="65" t="s">
        <v>195</v>
      </c>
      <c r="J316" s="63">
        <v>2622</v>
      </c>
      <c r="K316" s="64">
        <v>504.47</v>
      </c>
      <c r="L316" s="63" t="s">
        <v>624</v>
      </c>
      <c r="M316" s="65" t="str">
        <f t="shared" si="4"/>
        <v>BRASIL MINERACAOUA SAO LUISBRITA 1</v>
      </c>
      <c r="N316" s="85" t="s">
        <v>1063</v>
      </c>
    </row>
    <row r="317" spans="2:14" x14ac:dyDescent="0.25">
      <c r="B317" s="91">
        <v>46064</v>
      </c>
      <c r="C317" s="63">
        <v>1</v>
      </c>
      <c r="D317" s="63" t="s">
        <v>181</v>
      </c>
      <c r="E317" s="65" t="s">
        <v>182</v>
      </c>
      <c r="F317" s="63" t="s">
        <v>166</v>
      </c>
      <c r="G317" s="63" t="s">
        <v>111</v>
      </c>
      <c r="H317" s="63">
        <v>79</v>
      </c>
      <c r="I317" s="65" t="s">
        <v>169</v>
      </c>
      <c r="J317" s="63">
        <v>2582</v>
      </c>
      <c r="K317" s="64">
        <v>754.72</v>
      </c>
      <c r="L317" s="63" t="s">
        <v>625</v>
      </c>
      <c r="M317" s="65" t="str">
        <f t="shared" si="4"/>
        <v>GRANORTEBEIRA RIOPULMÃOZINHO</v>
      </c>
      <c r="N317" s="85" t="s">
        <v>111</v>
      </c>
    </row>
    <row r="318" spans="2:14" x14ac:dyDescent="0.25">
      <c r="B318" s="91">
        <v>46064</v>
      </c>
      <c r="C318" s="63">
        <v>1</v>
      </c>
      <c r="D318" s="63" t="s">
        <v>213</v>
      </c>
      <c r="E318" s="65" t="s">
        <v>178</v>
      </c>
      <c r="F318" s="63" t="s">
        <v>166</v>
      </c>
      <c r="G318" s="63" t="s">
        <v>111</v>
      </c>
      <c r="H318" s="63">
        <v>79</v>
      </c>
      <c r="I318" s="65" t="s">
        <v>169</v>
      </c>
      <c r="J318" s="63">
        <v>250</v>
      </c>
      <c r="K318" s="64">
        <v>730.75</v>
      </c>
      <c r="L318" s="63" t="s">
        <v>626</v>
      </c>
      <c r="M318" s="65" t="str">
        <f t="shared" si="4"/>
        <v>GRANORTEBEIRA RIOPULMÃOZINHO</v>
      </c>
      <c r="N318" s="85" t="s">
        <v>111</v>
      </c>
    </row>
    <row r="319" spans="2:14" x14ac:dyDescent="0.25">
      <c r="B319" s="91">
        <v>46064</v>
      </c>
      <c r="C319" s="63">
        <v>1</v>
      </c>
      <c r="D319" s="63" t="s">
        <v>213</v>
      </c>
      <c r="E319" s="65" t="s">
        <v>178</v>
      </c>
      <c r="F319" s="63" t="s">
        <v>166</v>
      </c>
      <c r="G319" s="63" t="s">
        <v>111</v>
      </c>
      <c r="H319" s="63">
        <v>79</v>
      </c>
      <c r="I319" s="65" t="s">
        <v>169</v>
      </c>
      <c r="J319" s="63">
        <v>2564</v>
      </c>
      <c r="K319" s="64">
        <v>749.46</v>
      </c>
      <c r="L319" s="63" t="s">
        <v>627</v>
      </c>
      <c r="M319" s="65" t="str">
        <f t="shared" si="4"/>
        <v>GRANORTEBEIRA RIOPULMÃOZINHO</v>
      </c>
      <c r="N319" s="85" t="s">
        <v>111</v>
      </c>
    </row>
    <row r="320" spans="2:14" x14ac:dyDescent="0.25">
      <c r="B320" s="91">
        <v>46064</v>
      </c>
      <c r="C320" s="63">
        <v>1</v>
      </c>
      <c r="D320" s="63" t="s">
        <v>270</v>
      </c>
      <c r="E320" s="65" t="s">
        <v>288</v>
      </c>
      <c r="F320" s="63" t="s">
        <v>166</v>
      </c>
      <c r="G320" s="63" t="s">
        <v>164</v>
      </c>
      <c r="H320" s="63">
        <v>58</v>
      </c>
      <c r="I320" s="65" t="s">
        <v>172</v>
      </c>
      <c r="J320" s="63">
        <v>466</v>
      </c>
      <c r="K320" s="64">
        <v>1000.04</v>
      </c>
      <c r="L320" s="63" t="s">
        <v>628</v>
      </c>
      <c r="M320" s="65" t="str">
        <f t="shared" si="4"/>
        <v>GRANORTEUA SAO LUISBICA CORRIDA</v>
      </c>
      <c r="N320" s="85" t="s">
        <v>1063</v>
      </c>
    </row>
    <row r="321" spans="2:14" x14ac:dyDescent="0.25">
      <c r="B321" s="91">
        <v>46064</v>
      </c>
      <c r="C321" s="63">
        <v>1</v>
      </c>
      <c r="D321" s="63" t="s">
        <v>270</v>
      </c>
      <c r="E321" s="65" t="s">
        <v>288</v>
      </c>
      <c r="F321" s="63" t="s">
        <v>166</v>
      </c>
      <c r="G321" s="63" t="s">
        <v>164</v>
      </c>
      <c r="H321" s="63">
        <v>58</v>
      </c>
      <c r="I321" s="65" t="s">
        <v>172</v>
      </c>
      <c r="J321" s="63">
        <v>4626</v>
      </c>
      <c r="K321" s="64">
        <v>992.74</v>
      </c>
      <c r="L321" s="63" t="s">
        <v>629</v>
      </c>
      <c r="M321" s="65" t="str">
        <f t="shared" si="4"/>
        <v>GRANORTEUA SAO LUISBICA CORRIDA</v>
      </c>
      <c r="N321" s="85" t="s">
        <v>1063</v>
      </c>
    </row>
    <row r="322" spans="2:14" x14ac:dyDescent="0.25">
      <c r="B322" s="91">
        <v>46064</v>
      </c>
      <c r="C322" s="63">
        <v>1</v>
      </c>
      <c r="D322" s="63" t="s">
        <v>192</v>
      </c>
      <c r="E322" s="65" t="s">
        <v>287</v>
      </c>
      <c r="F322" s="63" t="s">
        <v>166</v>
      </c>
      <c r="G322" s="63" t="s">
        <v>164</v>
      </c>
      <c r="H322" s="63">
        <v>58</v>
      </c>
      <c r="I322" s="65" t="s">
        <v>172</v>
      </c>
      <c r="J322" s="63">
        <v>4662</v>
      </c>
      <c r="K322" s="64">
        <v>1000.47</v>
      </c>
      <c r="L322" s="63" t="s">
        <v>630</v>
      </c>
      <c r="M322" s="65" t="str">
        <f t="shared" si="4"/>
        <v>GRANORTEUA SAO LUISBICA CORRIDA</v>
      </c>
      <c r="N322" s="85" t="s">
        <v>1063</v>
      </c>
    </row>
    <row r="323" spans="2:14" x14ac:dyDescent="0.25">
      <c r="B323" s="91">
        <v>46064</v>
      </c>
      <c r="C323" s="63">
        <v>1</v>
      </c>
      <c r="D323" s="63" t="s">
        <v>192</v>
      </c>
      <c r="E323" s="65" t="s">
        <v>287</v>
      </c>
      <c r="F323" s="63" t="s">
        <v>163</v>
      </c>
      <c r="G323" s="63" t="s">
        <v>164</v>
      </c>
      <c r="H323" s="63">
        <v>52</v>
      </c>
      <c r="I323" s="65" t="s">
        <v>195</v>
      </c>
      <c r="J323" s="63">
        <v>48662</v>
      </c>
      <c r="K323" s="64">
        <v>936.26</v>
      </c>
      <c r="L323" s="63" t="s">
        <v>631</v>
      </c>
      <c r="M323" s="65" t="str">
        <f t="shared" si="4"/>
        <v>BRASIL MINERACAOUA SAO LUISBRITA 1</v>
      </c>
      <c r="N323" s="85" t="s">
        <v>1063</v>
      </c>
    </row>
    <row r="324" spans="2:14" x14ac:dyDescent="0.25">
      <c r="B324" s="91">
        <v>46064</v>
      </c>
      <c r="C324" s="63">
        <v>1</v>
      </c>
      <c r="D324" s="63" t="s">
        <v>200</v>
      </c>
      <c r="E324" s="65" t="s">
        <v>201</v>
      </c>
      <c r="F324" s="63" t="s">
        <v>166</v>
      </c>
      <c r="G324" s="63" t="s">
        <v>164</v>
      </c>
      <c r="H324" s="63">
        <v>58</v>
      </c>
      <c r="I324" s="65" t="s">
        <v>172</v>
      </c>
      <c r="J324" s="63">
        <v>4708</v>
      </c>
      <c r="K324" s="64">
        <v>1010.34</v>
      </c>
      <c r="L324" s="63" t="s">
        <v>632</v>
      </c>
      <c r="M324" s="65" t="str">
        <f t="shared" si="4"/>
        <v>GRANORTEUA SAO LUISBICA CORRIDA</v>
      </c>
      <c r="N324" s="85" t="s">
        <v>1063</v>
      </c>
    </row>
    <row r="325" spans="2:14" x14ac:dyDescent="0.25">
      <c r="B325" s="91">
        <v>46064</v>
      </c>
      <c r="C325" s="63">
        <v>1</v>
      </c>
      <c r="D325" s="63" t="s">
        <v>193</v>
      </c>
      <c r="E325" s="65" t="s">
        <v>285</v>
      </c>
      <c r="F325" s="63" t="s">
        <v>166</v>
      </c>
      <c r="G325" s="63" t="s">
        <v>111</v>
      </c>
      <c r="H325" s="63">
        <v>79</v>
      </c>
      <c r="I325" s="65" t="s">
        <v>185</v>
      </c>
      <c r="J325" s="63">
        <v>2476</v>
      </c>
      <c r="K325" s="64">
        <v>723.73</v>
      </c>
      <c r="L325" s="63" t="s">
        <v>633</v>
      </c>
      <c r="M325" s="65" t="str">
        <f t="shared" ref="M325:M388" si="5">F325&amp;G325&amp;I325</f>
        <v>GRANORTEBEIRA RIORACHÃOZINHO</v>
      </c>
      <c r="N325" s="85" t="s">
        <v>111</v>
      </c>
    </row>
    <row r="326" spans="2:14" x14ac:dyDescent="0.25">
      <c r="B326" s="91">
        <v>46065</v>
      </c>
      <c r="C326" s="63">
        <v>1</v>
      </c>
      <c r="D326" s="63" t="s">
        <v>219</v>
      </c>
      <c r="E326" s="65" t="s">
        <v>220</v>
      </c>
      <c r="F326" s="63" t="s">
        <v>166</v>
      </c>
      <c r="G326" s="63" t="s">
        <v>164</v>
      </c>
      <c r="H326" s="63">
        <v>58</v>
      </c>
      <c r="I326" s="65" t="s">
        <v>165</v>
      </c>
      <c r="J326" s="63">
        <v>353</v>
      </c>
      <c r="K326" s="64">
        <v>757.54</v>
      </c>
      <c r="L326" s="63" t="s">
        <v>634</v>
      </c>
      <c r="M326" s="65" t="str">
        <f t="shared" si="5"/>
        <v>GRANORTEUA SAO LUISPÓ DE BRITA</v>
      </c>
      <c r="N326" s="85" t="s">
        <v>1063</v>
      </c>
    </row>
    <row r="327" spans="2:14" x14ac:dyDescent="0.25">
      <c r="B327" s="91">
        <v>46065</v>
      </c>
      <c r="C327" s="63">
        <v>1</v>
      </c>
      <c r="D327" s="63" t="s">
        <v>219</v>
      </c>
      <c r="E327" s="65" t="s">
        <v>220</v>
      </c>
      <c r="F327" s="63" t="s">
        <v>163</v>
      </c>
      <c r="G327" s="63" t="s">
        <v>164</v>
      </c>
      <c r="H327" s="63">
        <v>52</v>
      </c>
      <c r="I327" s="65" t="s">
        <v>175</v>
      </c>
      <c r="J327" s="63">
        <v>580</v>
      </c>
      <c r="K327" s="64">
        <v>1115.92</v>
      </c>
      <c r="L327" s="63" t="s">
        <v>635</v>
      </c>
      <c r="M327" s="65" t="str">
        <f t="shared" si="5"/>
        <v>BRASIL MINERACAOUA SAO LUISBRITA 0</v>
      </c>
      <c r="N327" s="85" t="s">
        <v>1063</v>
      </c>
    </row>
    <row r="328" spans="2:14" x14ac:dyDescent="0.25">
      <c r="B328" s="91">
        <v>46065</v>
      </c>
      <c r="C328" s="63">
        <v>1</v>
      </c>
      <c r="D328" s="63" t="s">
        <v>219</v>
      </c>
      <c r="E328" s="65" t="s">
        <v>220</v>
      </c>
      <c r="F328" s="63" t="s">
        <v>163</v>
      </c>
      <c r="G328" s="63" t="s">
        <v>164</v>
      </c>
      <c r="H328" s="63">
        <v>52</v>
      </c>
      <c r="I328" s="65" t="s">
        <v>195</v>
      </c>
      <c r="J328" s="63">
        <v>434</v>
      </c>
      <c r="K328" s="64">
        <v>835.02</v>
      </c>
      <c r="L328" s="63" t="s">
        <v>636</v>
      </c>
      <c r="M328" s="65" t="str">
        <f t="shared" si="5"/>
        <v>BRASIL MINERACAOUA SAO LUISBRITA 1</v>
      </c>
      <c r="N328" s="85" t="s">
        <v>1063</v>
      </c>
    </row>
    <row r="329" spans="2:14" x14ac:dyDescent="0.25">
      <c r="B329" s="91">
        <v>46065</v>
      </c>
      <c r="C329" s="63">
        <v>1</v>
      </c>
      <c r="D329" s="63" t="s">
        <v>219</v>
      </c>
      <c r="E329" s="65" t="s">
        <v>220</v>
      </c>
      <c r="F329" s="63" t="s">
        <v>163</v>
      </c>
      <c r="G329" s="63" t="s">
        <v>164</v>
      </c>
      <c r="H329" s="63">
        <v>52</v>
      </c>
      <c r="I329" s="65" t="s">
        <v>172</v>
      </c>
      <c r="J329" s="63">
        <v>247</v>
      </c>
      <c r="K329" s="64">
        <v>475.23</v>
      </c>
      <c r="L329" s="63" t="s">
        <v>637</v>
      </c>
      <c r="M329" s="65" t="str">
        <f t="shared" si="5"/>
        <v>BRASIL MINERACAOUA SAO LUISBICA CORRIDA</v>
      </c>
      <c r="N329" s="85" t="s">
        <v>1063</v>
      </c>
    </row>
    <row r="330" spans="2:14" x14ac:dyDescent="0.25">
      <c r="B330" s="91">
        <v>46065</v>
      </c>
      <c r="C330" s="63">
        <v>1</v>
      </c>
      <c r="D330" s="63" t="s">
        <v>173</v>
      </c>
      <c r="E330" s="65" t="s">
        <v>174</v>
      </c>
      <c r="F330" s="63" t="s">
        <v>166</v>
      </c>
      <c r="G330" s="63" t="s">
        <v>111</v>
      </c>
      <c r="H330" s="63">
        <v>79</v>
      </c>
      <c r="I330" s="65" t="s">
        <v>169</v>
      </c>
      <c r="J330" s="63">
        <v>2562</v>
      </c>
      <c r="K330" s="64">
        <v>748.87</v>
      </c>
      <c r="L330" s="63" t="s">
        <v>638</v>
      </c>
      <c r="M330" s="65" t="str">
        <f t="shared" si="5"/>
        <v>GRANORTEBEIRA RIOPULMÃOZINHO</v>
      </c>
      <c r="N330" s="85" t="s">
        <v>111</v>
      </c>
    </row>
    <row r="331" spans="2:14" x14ac:dyDescent="0.25">
      <c r="B331" s="91">
        <v>46065</v>
      </c>
      <c r="C331" s="63">
        <v>1</v>
      </c>
      <c r="D331" s="63" t="s">
        <v>202</v>
      </c>
      <c r="E331" s="65" t="s">
        <v>214</v>
      </c>
      <c r="F331" s="63" t="s">
        <v>163</v>
      </c>
      <c r="G331" s="63" t="s">
        <v>164</v>
      </c>
      <c r="H331" s="63">
        <v>52</v>
      </c>
      <c r="I331" s="65" t="s">
        <v>175</v>
      </c>
      <c r="J331" s="63">
        <v>6898</v>
      </c>
      <c r="K331" s="64">
        <v>1327.18</v>
      </c>
      <c r="L331" s="63" t="s">
        <v>639</v>
      </c>
      <c r="M331" s="65" t="str">
        <f t="shared" si="5"/>
        <v>BRASIL MINERACAOUA SAO LUISBRITA 0</v>
      </c>
      <c r="N331" s="85" t="s">
        <v>1063</v>
      </c>
    </row>
    <row r="332" spans="2:14" x14ac:dyDescent="0.25">
      <c r="B332" s="91">
        <v>46065</v>
      </c>
      <c r="C332" s="63">
        <v>1</v>
      </c>
      <c r="D332" s="63" t="s">
        <v>181</v>
      </c>
      <c r="E332" s="65" t="s">
        <v>182</v>
      </c>
      <c r="F332" s="63" t="s">
        <v>166</v>
      </c>
      <c r="G332" s="63" t="s">
        <v>111</v>
      </c>
      <c r="H332" s="63">
        <v>79</v>
      </c>
      <c r="I332" s="65" t="s">
        <v>169</v>
      </c>
      <c r="J332" s="63">
        <v>2474</v>
      </c>
      <c r="K332" s="64">
        <v>723.15</v>
      </c>
      <c r="L332" s="63" t="s">
        <v>640</v>
      </c>
      <c r="M332" s="65" t="str">
        <f t="shared" si="5"/>
        <v>GRANORTEBEIRA RIOPULMÃOZINHO</v>
      </c>
      <c r="N332" s="85" t="s">
        <v>111</v>
      </c>
    </row>
    <row r="333" spans="2:14" x14ac:dyDescent="0.25">
      <c r="B333" s="91">
        <v>46065</v>
      </c>
      <c r="C333" s="63">
        <v>1</v>
      </c>
      <c r="D333" s="63" t="s">
        <v>162</v>
      </c>
      <c r="E333" s="65" t="s">
        <v>281</v>
      </c>
      <c r="F333" s="63" t="s">
        <v>166</v>
      </c>
      <c r="G333" s="63" t="s">
        <v>164</v>
      </c>
      <c r="H333" s="63">
        <v>58</v>
      </c>
      <c r="I333" s="65" t="s">
        <v>169</v>
      </c>
      <c r="J333" s="63">
        <v>2532</v>
      </c>
      <c r="K333" s="64">
        <v>543.37</v>
      </c>
      <c r="L333" s="63" t="s">
        <v>641</v>
      </c>
      <c r="M333" s="65" t="str">
        <f t="shared" si="5"/>
        <v>GRANORTEUA SAO LUISPULMÃOZINHO</v>
      </c>
      <c r="N333" s="85" t="s">
        <v>1063</v>
      </c>
    </row>
    <row r="334" spans="2:14" x14ac:dyDescent="0.25">
      <c r="B334" s="91">
        <v>46065</v>
      </c>
      <c r="C334" s="63">
        <v>1</v>
      </c>
      <c r="D334" s="63" t="s">
        <v>219</v>
      </c>
      <c r="E334" s="65" t="s">
        <v>220</v>
      </c>
      <c r="F334" s="63" t="s">
        <v>166</v>
      </c>
      <c r="G334" s="63" t="s">
        <v>164</v>
      </c>
      <c r="H334" s="63">
        <v>58</v>
      </c>
      <c r="I334" s="65" t="s">
        <v>172</v>
      </c>
      <c r="J334" s="63">
        <v>260</v>
      </c>
      <c r="K334" s="64">
        <v>557.96</v>
      </c>
      <c r="L334" s="63" t="s">
        <v>642</v>
      </c>
      <c r="M334" s="65" t="str">
        <f t="shared" si="5"/>
        <v>GRANORTEUA SAO LUISBICA CORRIDA</v>
      </c>
      <c r="N334" s="85" t="s">
        <v>1063</v>
      </c>
    </row>
    <row r="335" spans="2:14" x14ac:dyDescent="0.25">
      <c r="B335" s="91">
        <v>46065</v>
      </c>
      <c r="C335" s="63">
        <v>1</v>
      </c>
      <c r="D335" s="63" t="s">
        <v>188</v>
      </c>
      <c r="E335" s="65" t="s">
        <v>189</v>
      </c>
      <c r="F335" s="63" t="s">
        <v>163</v>
      </c>
      <c r="G335" s="63" t="s">
        <v>164</v>
      </c>
      <c r="H335" s="63">
        <v>52</v>
      </c>
      <c r="I335" s="65" t="s">
        <v>175</v>
      </c>
      <c r="J335" s="63">
        <v>7214</v>
      </c>
      <c r="K335" s="64">
        <v>1387.97</v>
      </c>
      <c r="L335" s="63" t="s">
        <v>643</v>
      </c>
      <c r="M335" s="65" t="str">
        <f t="shared" si="5"/>
        <v>BRASIL MINERACAOUA SAO LUISBRITA 0</v>
      </c>
      <c r="N335" s="85" t="s">
        <v>1063</v>
      </c>
    </row>
    <row r="336" spans="2:14" x14ac:dyDescent="0.25">
      <c r="B336" s="91">
        <v>46065</v>
      </c>
      <c r="C336" s="63">
        <v>1</v>
      </c>
      <c r="D336" s="63" t="s">
        <v>170</v>
      </c>
      <c r="E336" s="65" t="s">
        <v>171</v>
      </c>
      <c r="F336" s="63" t="s">
        <v>166</v>
      </c>
      <c r="G336" s="63" t="s">
        <v>111</v>
      </c>
      <c r="H336" s="63">
        <v>79</v>
      </c>
      <c r="I336" s="65" t="s">
        <v>169</v>
      </c>
      <c r="J336" s="63">
        <v>2448</v>
      </c>
      <c r="K336" s="64">
        <v>715.55</v>
      </c>
      <c r="L336" s="63" t="s">
        <v>644</v>
      </c>
      <c r="M336" s="65" t="str">
        <f t="shared" si="5"/>
        <v>GRANORTEBEIRA RIOPULMÃOZINHO</v>
      </c>
      <c r="N336" s="85" t="s">
        <v>111</v>
      </c>
    </row>
    <row r="337" spans="2:14" x14ac:dyDescent="0.25">
      <c r="B337" s="91">
        <v>46065</v>
      </c>
      <c r="C337" s="63">
        <v>1</v>
      </c>
      <c r="D337" s="63" t="s">
        <v>199</v>
      </c>
      <c r="E337" s="65" t="s">
        <v>180</v>
      </c>
      <c r="F337" s="63" t="s">
        <v>166</v>
      </c>
      <c r="G337" s="63" t="s">
        <v>111</v>
      </c>
      <c r="H337" s="63">
        <v>79</v>
      </c>
      <c r="I337" s="65" t="s">
        <v>169</v>
      </c>
      <c r="J337" s="63">
        <v>2572</v>
      </c>
      <c r="K337" s="64">
        <v>751.8</v>
      </c>
      <c r="L337" s="63" t="s">
        <v>645</v>
      </c>
      <c r="M337" s="65" t="str">
        <f t="shared" si="5"/>
        <v>GRANORTEBEIRA RIOPULMÃOZINHO</v>
      </c>
      <c r="N337" s="85" t="s">
        <v>111</v>
      </c>
    </row>
    <row r="338" spans="2:14" x14ac:dyDescent="0.25">
      <c r="B338" s="91">
        <v>46065</v>
      </c>
      <c r="C338" s="63">
        <v>1</v>
      </c>
      <c r="D338" s="63" t="s">
        <v>213</v>
      </c>
      <c r="E338" s="65" t="s">
        <v>178</v>
      </c>
      <c r="F338" s="63" t="s">
        <v>166</v>
      </c>
      <c r="G338" s="63" t="s">
        <v>111</v>
      </c>
      <c r="H338" s="63">
        <v>79</v>
      </c>
      <c r="I338" s="65" t="s">
        <v>169</v>
      </c>
      <c r="J338" s="63">
        <v>2536</v>
      </c>
      <c r="K338" s="64">
        <v>741.27</v>
      </c>
      <c r="L338" s="63" t="s">
        <v>646</v>
      </c>
      <c r="M338" s="65" t="str">
        <f t="shared" si="5"/>
        <v>GRANORTEBEIRA RIOPULMÃOZINHO</v>
      </c>
      <c r="N338" s="85" t="s">
        <v>111</v>
      </c>
    </row>
    <row r="339" spans="2:14" x14ac:dyDescent="0.25">
      <c r="B339" s="91">
        <v>46065</v>
      </c>
      <c r="C339" s="63">
        <v>1</v>
      </c>
      <c r="D339" s="63" t="s">
        <v>496</v>
      </c>
      <c r="E339" s="65" t="s">
        <v>497</v>
      </c>
      <c r="F339" s="63" t="s">
        <v>163</v>
      </c>
      <c r="G339" s="63" t="s">
        <v>164</v>
      </c>
      <c r="H339" s="63">
        <v>52</v>
      </c>
      <c r="I339" s="65" t="s">
        <v>195</v>
      </c>
      <c r="J339" s="63">
        <v>2684</v>
      </c>
      <c r="K339" s="64">
        <v>516.4</v>
      </c>
      <c r="L339" s="63" t="s">
        <v>647</v>
      </c>
      <c r="M339" s="65" t="str">
        <f t="shared" si="5"/>
        <v>BRASIL MINERACAOUA SAO LUISBRITA 1</v>
      </c>
      <c r="N339" s="85" t="s">
        <v>1063</v>
      </c>
    </row>
    <row r="340" spans="2:14" x14ac:dyDescent="0.25">
      <c r="B340" s="91">
        <v>46065</v>
      </c>
      <c r="C340" s="63">
        <v>1</v>
      </c>
      <c r="D340" s="63" t="s">
        <v>196</v>
      </c>
      <c r="E340" s="65" t="s">
        <v>197</v>
      </c>
      <c r="F340" s="63" t="s">
        <v>163</v>
      </c>
      <c r="G340" s="63" t="s">
        <v>164</v>
      </c>
      <c r="H340" s="63">
        <v>52</v>
      </c>
      <c r="I340" s="65" t="s">
        <v>195</v>
      </c>
      <c r="J340" s="63">
        <v>4786</v>
      </c>
      <c r="K340" s="64">
        <v>920.83</v>
      </c>
      <c r="L340" s="63" t="s">
        <v>648</v>
      </c>
      <c r="M340" s="65" t="str">
        <f t="shared" si="5"/>
        <v>BRASIL MINERACAOUA SAO LUISBRITA 1</v>
      </c>
      <c r="N340" s="85" t="s">
        <v>1063</v>
      </c>
    </row>
    <row r="341" spans="2:14" x14ac:dyDescent="0.25">
      <c r="B341" s="91">
        <v>46065</v>
      </c>
      <c r="C341" s="63">
        <v>1</v>
      </c>
      <c r="D341" s="63" t="s">
        <v>173</v>
      </c>
      <c r="E341" s="65" t="s">
        <v>174</v>
      </c>
      <c r="F341" s="63" t="s">
        <v>166</v>
      </c>
      <c r="G341" s="63" t="s">
        <v>111</v>
      </c>
      <c r="H341" s="63">
        <v>79</v>
      </c>
      <c r="I341" s="65" t="s">
        <v>169</v>
      </c>
      <c r="J341" s="63">
        <v>2474</v>
      </c>
      <c r="K341" s="64">
        <v>723.15</v>
      </c>
      <c r="L341" s="63" t="s">
        <v>649</v>
      </c>
      <c r="M341" s="65" t="str">
        <f t="shared" si="5"/>
        <v>GRANORTEBEIRA RIOPULMÃOZINHO</v>
      </c>
      <c r="N341" s="85" t="s">
        <v>111</v>
      </c>
    </row>
    <row r="342" spans="2:14" x14ac:dyDescent="0.25">
      <c r="B342" s="91">
        <v>46065</v>
      </c>
      <c r="C342" s="63">
        <v>1</v>
      </c>
      <c r="D342" s="63" t="s">
        <v>186</v>
      </c>
      <c r="E342" s="65" t="s">
        <v>187</v>
      </c>
      <c r="F342" s="63" t="s">
        <v>166</v>
      </c>
      <c r="G342" s="63" t="s">
        <v>164</v>
      </c>
      <c r="H342" s="63">
        <v>58</v>
      </c>
      <c r="I342" s="65" t="s">
        <v>165</v>
      </c>
      <c r="J342" s="63">
        <v>508</v>
      </c>
      <c r="K342" s="64">
        <v>1090.17</v>
      </c>
      <c r="L342" s="63" t="s">
        <v>650</v>
      </c>
      <c r="M342" s="65" t="str">
        <f t="shared" si="5"/>
        <v>GRANORTEUA SAO LUISPÓ DE BRITA</v>
      </c>
      <c r="N342" s="85" t="s">
        <v>1063</v>
      </c>
    </row>
    <row r="343" spans="2:14" x14ac:dyDescent="0.25">
      <c r="B343" s="91">
        <v>46065</v>
      </c>
      <c r="C343" s="63">
        <v>1</v>
      </c>
      <c r="D343" s="63" t="s">
        <v>188</v>
      </c>
      <c r="E343" s="65" t="s">
        <v>189</v>
      </c>
      <c r="F343" s="63" t="s">
        <v>163</v>
      </c>
      <c r="G343" s="63" t="s">
        <v>164</v>
      </c>
      <c r="H343" s="63">
        <v>52</v>
      </c>
      <c r="I343" s="65" t="s">
        <v>175</v>
      </c>
      <c r="J343" s="63">
        <v>4668</v>
      </c>
      <c r="K343" s="64">
        <v>898.12</v>
      </c>
      <c r="L343" s="63" t="s">
        <v>651</v>
      </c>
      <c r="M343" s="65" t="str">
        <f t="shared" si="5"/>
        <v>BRASIL MINERACAOUA SAO LUISBRITA 0</v>
      </c>
      <c r="N343" s="85" t="s">
        <v>1063</v>
      </c>
    </row>
    <row r="344" spans="2:14" x14ac:dyDescent="0.25">
      <c r="B344" s="91">
        <v>46065</v>
      </c>
      <c r="C344" s="63">
        <v>1</v>
      </c>
      <c r="D344" s="63" t="s">
        <v>203</v>
      </c>
      <c r="E344" s="65" t="s">
        <v>204</v>
      </c>
      <c r="F344" s="63" t="s">
        <v>166</v>
      </c>
      <c r="G344" s="63" t="s">
        <v>164</v>
      </c>
      <c r="H344" s="63">
        <v>58</v>
      </c>
      <c r="I344" s="65" t="s">
        <v>165</v>
      </c>
      <c r="J344" s="63">
        <v>5036</v>
      </c>
      <c r="K344" s="64">
        <v>1080.73</v>
      </c>
      <c r="L344" s="63" t="s">
        <v>652</v>
      </c>
      <c r="M344" s="65" t="str">
        <f t="shared" si="5"/>
        <v>GRANORTEUA SAO LUISPÓ DE BRITA</v>
      </c>
      <c r="N344" s="85" t="s">
        <v>1063</v>
      </c>
    </row>
    <row r="345" spans="2:14" x14ac:dyDescent="0.25">
      <c r="B345" s="91">
        <v>46065</v>
      </c>
      <c r="C345" s="63">
        <v>1</v>
      </c>
      <c r="D345" s="63" t="s">
        <v>170</v>
      </c>
      <c r="E345" s="65" t="s">
        <v>171</v>
      </c>
      <c r="F345" s="63" t="s">
        <v>166</v>
      </c>
      <c r="G345" s="63" t="s">
        <v>111</v>
      </c>
      <c r="H345" s="63">
        <v>79</v>
      </c>
      <c r="I345" s="65" t="s">
        <v>169</v>
      </c>
      <c r="J345" s="63">
        <v>2504</v>
      </c>
      <c r="K345" s="64">
        <v>731.92</v>
      </c>
      <c r="L345" s="63" t="s">
        <v>653</v>
      </c>
      <c r="M345" s="65" t="str">
        <f t="shared" si="5"/>
        <v>GRANORTEBEIRA RIOPULMÃOZINHO</v>
      </c>
      <c r="N345" s="85" t="s">
        <v>111</v>
      </c>
    </row>
    <row r="346" spans="2:14" x14ac:dyDescent="0.25">
      <c r="B346" s="91">
        <v>46065</v>
      </c>
      <c r="C346" s="63">
        <v>1</v>
      </c>
      <c r="D346" s="63" t="s">
        <v>173</v>
      </c>
      <c r="E346" s="65" t="s">
        <v>174</v>
      </c>
      <c r="F346" s="63" t="s">
        <v>166</v>
      </c>
      <c r="G346" s="63" t="s">
        <v>111</v>
      </c>
      <c r="H346" s="63">
        <v>79</v>
      </c>
      <c r="I346" s="65" t="s">
        <v>169</v>
      </c>
      <c r="J346" s="63">
        <v>2592</v>
      </c>
      <c r="K346" s="64">
        <v>757.64</v>
      </c>
      <c r="L346" s="63" t="s">
        <v>654</v>
      </c>
      <c r="M346" s="65" t="str">
        <f t="shared" si="5"/>
        <v>GRANORTEBEIRA RIOPULMÃOZINHO</v>
      </c>
      <c r="N346" s="85" t="s">
        <v>111</v>
      </c>
    </row>
    <row r="347" spans="2:14" x14ac:dyDescent="0.25">
      <c r="B347" s="91">
        <v>46065</v>
      </c>
      <c r="C347" s="63">
        <v>1</v>
      </c>
      <c r="D347" s="63" t="s">
        <v>199</v>
      </c>
      <c r="E347" s="65" t="s">
        <v>180</v>
      </c>
      <c r="F347" s="63" t="s">
        <v>166</v>
      </c>
      <c r="G347" s="63" t="s">
        <v>111</v>
      </c>
      <c r="H347" s="63">
        <v>79</v>
      </c>
      <c r="I347" s="65" t="s">
        <v>169</v>
      </c>
      <c r="J347" s="63">
        <v>2706</v>
      </c>
      <c r="K347" s="64">
        <v>790.96</v>
      </c>
      <c r="L347" s="63" t="s">
        <v>655</v>
      </c>
      <c r="M347" s="65" t="str">
        <f t="shared" si="5"/>
        <v>GRANORTEBEIRA RIOPULMÃOZINHO</v>
      </c>
      <c r="N347" s="85" t="s">
        <v>111</v>
      </c>
    </row>
    <row r="348" spans="2:14" x14ac:dyDescent="0.25">
      <c r="B348" s="91">
        <v>46065</v>
      </c>
      <c r="C348" s="63">
        <v>1</v>
      </c>
      <c r="D348" s="63" t="s">
        <v>179</v>
      </c>
      <c r="E348" s="65" t="s">
        <v>282</v>
      </c>
      <c r="F348" s="63" t="s">
        <v>166</v>
      </c>
      <c r="G348" s="63" t="s">
        <v>111</v>
      </c>
      <c r="H348" s="63">
        <v>79</v>
      </c>
      <c r="I348" s="65" t="s">
        <v>169</v>
      </c>
      <c r="J348" s="63">
        <v>2504</v>
      </c>
      <c r="K348" s="64">
        <v>731.92</v>
      </c>
      <c r="L348" s="63" t="s">
        <v>656</v>
      </c>
      <c r="M348" s="65" t="str">
        <f t="shared" si="5"/>
        <v>GRANORTEBEIRA RIOPULMÃOZINHO</v>
      </c>
      <c r="N348" s="85" t="s">
        <v>111</v>
      </c>
    </row>
    <row r="349" spans="2:14" x14ac:dyDescent="0.25">
      <c r="B349" s="91">
        <v>46065</v>
      </c>
      <c r="C349" s="63">
        <v>1</v>
      </c>
      <c r="D349" s="63" t="s">
        <v>179</v>
      </c>
      <c r="E349" s="65" t="s">
        <v>282</v>
      </c>
      <c r="F349" s="63" t="s">
        <v>166</v>
      </c>
      <c r="G349" s="63" t="s">
        <v>111</v>
      </c>
      <c r="H349" s="63">
        <v>79</v>
      </c>
      <c r="I349" s="65" t="s">
        <v>169</v>
      </c>
      <c r="J349" s="63">
        <v>2568</v>
      </c>
      <c r="K349" s="64">
        <v>750.63</v>
      </c>
      <c r="L349" s="63" t="s">
        <v>657</v>
      </c>
      <c r="M349" s="65" t="str">
        <f t="shared" si="5"/>
        <v>GRANORTEBEIRA RIOPULMÃOZINHO</v>
      </c>
      <c r="N349" s="85" t="s">
        <v>111</v>
      </c>
    </row>
    <row r="350" spans="2:14" x14ac:dyDescent="0.25">
      <c r="B350" s="91">
        <v>46065</v>
      </c>
      <c r="C350" s="63">
        <v>1</v>
      </c>
      <c r="D350" s="63" t="s">
        <v>202</v>
      </c>
      <c r="E350" s="65" t="s">
        <v>214</v>
      </c>
      <c r="F350" s="63" t="s">
        <v>163</v>
      </c>
      <c r="G350" s="63" t="s">
        <v>164</v>
      </c>
      <c r="H350" s="63">
        <v>52</v>
      </c>
      <c r="I350" s="65" t="s">
        <v>175</v>
      </c>
      <c r="J350" s="63">
        <v>4696</v>
      </c>
      <c r="K350" s="64">
        <v>903.51</v>
      </c>
      <c r="L350" s="63" t="s">
        <v>658</v>
      </c>
      <c r="M350" s="65" t="str">
        <f t="shared" si="5"/>
        <v>BRASIL MINERACAOUA SAO LUISBRITA 0</v>
      </c>
      <c r="N350" s="85" t="s">
        <v>1063</v>
      </c>
    </row>
    <row r="351" spans="2:14" x14ac:dyDescent="0.25">
      <c r="B351" s="91">
        <v>46065</v>
      </c>
      <c r="C351" s="63">
        <v>1</v>
      </c>
      <c r="D351" s="63" t="s">
        <v>208</v>
      </c>
      <c r="E351" s="65" t="s">
        <v>209</v>
      </c>
      <c r="F351" s="63" t="s">
        <v>163</v>
      </c>
      <c r="G351" s="63" t="s">
        <v>164</v>
      </c>
      <c r="H351" s="63">
        <v>52</v>
      </c>
      <c r="I351" s="65" t="s">
        <v>175</v>
      </c>
      <c r="J351" s="63">
        <v>450</v>
      </c>
      <c r="K351" s="64">
        <v>865.8</v>
      </c>
      <c r="L351" s="63" t="s">
        <v>659</v>
      </c>
      <c r="M351" s="65" t="str">
        <f t="shared" si="5"/>
        <v>BRASIL MINERACAOUA SAO LUISBRITA 0</v>
      </c>
      <c r="N351" s="85" t="s">
        <v>1063</v>
      </c>
    </row>
    <row r="352" spans="2:14" x14ac:dyDescent="0.25">
      <c r="B352" s="91">
        <v>46065</v>
      </c>
      <c r="C352" s="63">
        <v>1</v>
      </c>
      <c r="D352" s="63" t="s">
        <v>162</v>
      </c>
      <c r="E352" s="65" t="s">
        <v>281</v>
      </c>
      <c r="F352" s="63" t="s">
        <v>166</v>
      </c>
      <c r="G352" s="63" t="s">
        <v>164</v>
      </c>
      <c r="H352" s="63">
        <v>58</v>
      </c>
      <c r="I352" s="65" t="s">
        <v>169</v>
      </c>
      <c r="J352" s="63">
        <v>2482</v>
      </c>
      <c r="K352" s="64">
        <v>532.64</v>
      </c>
      <c r="L352" s="63" t="s">
        <v>660</v>
      </c>
      <c r="M352" s="65" t="str">
        <f t="shared" si="5"/>
        <v>GRANORTEUA SAO LUISPULMÃOZINHO</v>
      </c>
      <c r="N352" s="85" t="s">
        <v>1063</v>
      </c>
    </row>
    <row r="353" spans="2:14" x14ac:dyDescent="0.25">
      <c r="B353" s="91">
        <v>46065</v>
      </c>
      <c r="C353" s="63">
        <v>1</v>
      </c>
      <c r="D353" s="63" t="s">
        <v>496</v>
      </c>
      <c r="E353" s="65" t="s">
        <v>497</v>
      </c>
      <c r="F353" s="63" t="s">
        <v>163</v>
      </c>
      <c r="G353" s="63" t="s">
        <v>164</v>
      </c>
      <c r="H353" s="63">
        <v>52</v>
      </c>
      <c r="I353" s="65" t="s">
        <v>165</v>
      </c>
      <c r="J353" s="63">
        <v>256</v>
      </c>
      <c r="K353" s="64">
        <v>492.54</v>
      </c>
      <c r="L353" s="63" t="s">
        <v>661</v>
      </c>
      <c r="M353" s="65" t="str">
        <f t="shared" si="5"/>
        <v>BRASIL MINERACAOUA SAO LUISPÓ DE BRITA</v>
      </c>
      <c r="N353" s="85" t="s">
        <v>1063</v>
      </c>
    </row>
    <row r="354" spans="2:14" x14ac:dyDescent="0.25">
      <c r="B354" s="91">
        <v>46065</v>
      </c>
      <c r="C354" s="63">
        <v>1</v>
      </c>
      <c r="D354" s="63" t="s">
        <v>196</v>
      </c>
      <c r="E354" s="65" t="s">
        <v>197</v>
      </c>
      <c r="F354" s="63" t="s">
        <v>163</v>
      </c>
      <c r="G354" s="63" t="s">
        <v>164</v>
      </c>
      <c r="H354" s="63">
        <v>52</v>
      </c>
      <c r="I354" s="65" t="s">
        <v>195</v>
      </c>
      <c r="J354" s="63">
        <v>4664</v>
      </c>
      <c r="K354" s="64">
        <v>897.35</v>
      </c>
      <c r="L354" s="63" t="s">
        <v>662</v>
      </c>
      <c r="M354" s="65" t="str">
        <f t="shared" si="5"/>
        <v>BRASIL MINERACAOUA SAO LUISBRITA 1</v>
      </c>
      <c r="N354" s="85" t="s">
        <v>1063</v>
      </c>
    </row>
    <row r="355" spans="2:14" x14ac:dyDescent="0.25">
      <c r="B355" s="91">
        <v>46065</v>
      </c>
      <c r="C355" s="63">
        <v>1</v>
      </c>
      <c r="D355" s="63" t="s">
        <v>176</v>
      </c>
      <c r="E355" s="65" t="s">
        <v>177</v>
      </c>
      <c r="F355" s="63" t="s">
        <v>166</v>
      </c>
      <c r="G355" s="63" t="s">
        <v>164</v>
      </c>
      <c r="H355" s="63">
        <v>58</v>
      </c>
      <c r="I355" s="65" t="s">
        <v>172</v>
      </c>
      <c r="J355" s="63">
        <v>4796</v>
      </c>
      <c r="K355" s="64">
        <v>1029.22</v>
      </c>
      <c r="L355" s="63" t="s">
        <v>663</v>
      </c>
      <c r="M355" s="65" t="str">
        <f t="shared" si="5"/>
        <v>GRANORTEUA SAO LUISBICA CORRIDA</v>
      </c>
      <c r="N355" s="85" t="s">
        <v>1063</v>
      </c>
    </row>
    <row r="356" spans="2:14" x14ac:dyDescent="0.25">
      <c r="B356" s="91">
        <v>46065</v>
      </c>
      <c r="C356" s="63">
        <v>1</v>
      </c>
      <c r="D356" s="63" t="s">
        <v>181</v>
      </c>
      <c r="E356" s="65" t="s">
        <v>182</v>
      </c>
      <c r="F356" s="63" t="s">
        <v>166</v>
      </c>
      <c r="G356" s="63" t="s">
        <v>111</v>
      </c>
      <c r="H356" s="63">
        <v>79</v>
      </c>
      <c r="I356" s="65" t="s">
        <v>169</v>
      </c>
      <c r="J356" s="63">
        <v>249</v>
      </c>
      <c r="K356" s="64">
        <v>727.83</v>
      </c>
      <c r="L356" s="63" t="s">
        <v>664</v>
      </c>
      <c r="M356" s="65" t="str">
        <f t="shared" si="5"/>
        <v>GRANORTEBEIRA RIOPULMÃOZINHO</v>
      </c>
      <c r="N356" s="85" t="s">
        <v>111</v>
      </c>
    </row>
    <row r="357" spans="2:14" x14ac:dyDescent="0.25">
      <c r="B357" s="91">
        <v>46065</v>
      </c>
      <c r="C357" s="63">
        <v>1</v>
      </c>
      <c r="D357" s="63" t="s">
        <v>210</v>
      </c>
      <c r="E357" s="65" t="s">
        <v>211</v>
      </c>
      <c r="F357" s="63" t="s">
        <v>166</v>
      </c>
      <c r="G357" s="63" t="s">
        <v>164</v>
      </c>
      <c r="H357" s="63">
        <v>58</v>
      </c>
      <c r="I357" s="65" t="s">
        <v>172</v>
      </c>
      <c r="J357" s="63">
        <v>4612</v>
      </c>
      <c r="K357" s="64">
        <v>989.74</v>
      </c>
      <c r="L357" s="63" t="s">
        <v>665</v>
      </c>
      <c r="M357" s="65" t="str">
        <f t="shared" si="5"/>
        <v>GRANORTEUA SAO LUISBICA CORRIDA</v>
      </c>
      <c r="N357" s="85" t="s">
        <v>1063</v>
      </c>
    </row>
    <row r="358" spans="2:14" x14ac:dyDescent="0.25">
      <c r="B358" s="91">
        <v>46065</v>
      </c>
      <c r="C358" s="63">
        <v>1</v>
      </c>
      <c r="D358" s="63" t="s">
        <v>188</v>
      </c>
      <c r="E358" s="65" t="s">
        <v>189</v>
      </c>
      <c r="F358" s="63" t="s">
        <v>163</v>
      </c>
      <c r="G358" s="63" t="s">
        <v>164</v>
      </c>
      <c r="H358" s="63">
        <v>52</v>
      </c>
      <c r="I358" s="65" t="s">
        <v>175</v>
      </c>
      <c r="J358" s="63">
        <v>479</v>
      </c>
      <c r="K358" s="64">
        <v>921.6</v>
      </c>
      <c r="L358" s="63" t="s">
        <v>666</v>
      </c>
      <c r="M358" s="65" t="str">
        <f t="shared" si="5"/>
        <v>BRASIL MINERACAOUA SAO LUISBRITA 0</v>
      </c>
      <c r="N358" s="85" t="s">
        <v>1063</v>
      </c>
    </row>
    <row r="359" spans="2:14" x14ac:dyDescent="0.25">
      <c r="B359" s="91">
        <v>46065</v>
      </c>
      <c r="C359" s="63">
        <v>1</v>
      </c>
      <c r="D359" s="63" t="s">
        <v>205</v>
      </c>
      <c r="E359" s="65" t="s">
        <v>206</v>
      </c>
      <c r="F359" s="63" t="s">
        <v>291</v>
      </c>
      <c r="G359" s="63" t="s">
        <v>667</v>
      </c>
      <c r="H359" s="63">
        <v>302</v>
      </c>
      <c r="I359" s="65" t="s">
        <v>207</v>
      </c>
      <c r="J359" s="63">
        <v>5024</v>
      </c>
      <c r="K359" s="64">
        <v>5613.82</v>
      </c>
      <c r="L359" s="63" t="s">
        <v>668</v>
      </c>
      <c r="M359" s="65" t="str">
        <f t="shared" si="5"/>
        <v>MINERADORA PORTO FRANCO - MAVF CONSTRUTORA KM52RACHÃO</v>
      </c>
      <c r="N359" s="85" t="s">
        <v>1065</v>
      </c>
    </row>
    <row r="360" spans="2:14" x14ac:dyDescent="0.25">
      <c r="B360" s="91">
        <v>46065</v>
      </c>
      <c r="C360" s="63">
        <v>1</v>
      </c>
      <c r="D360" s="63" t="s">
        <v>199</v>
      </c>
      <c r="E360" s="65" t="s">
        <v>180</v>
      </c>
      <c r="F360" s="63" t="s">
        <v>166</v>
      </c>
      <c r="G360" s="63" t="s">
        <v>111</v>
      </c>
      <c r="H360" s="63">
        <v>79</v>
      </c>
      <c r="I360" s="65" t="s">
        <v>169</v>
      </c>
      <c r="J360" s="63">
        <v>254</v>
      </c>
      <c r="K360" s="64">
        <v>742.44</v>
      </c>
      <c r="L360" s="63" t="s">
        <v>669</v>
      </c>
      <c r="M360" s="65" t="str">
        <f t="shared" si="5"/>
        <v>GRANORTEBEIRA RIOPULMÃOZINHO</v>
      </c>
      <c r="N360" s="85" t="s">
        <v>111</v>
      </c>
    </row>
    <row r="361" spans="2:14" x14ac:dyDescent="0.25">
      <c r="B361" s="91">
        <v>46065</v>
      </c>
      <c r="C361" s="63">
        <v>1</v>
      </c>
      <c r="D361" s="63" t="s">
        <v>283</v>
      </c>
      <c r="E361" s="65" t="s">
        <v>215</v>
      </c>
      <c r="F361" s="63" t="s">
        <v>166</v>
      </c>
      <c r="G361" s="63" t="s">
        <v>111</v>
      </c>
      <c r="H361" s="63">
        <v>79</v>
      </c>
      <c r="I361" s="65" t="s">
        <v>169</v>
      </c>
      <c r="J361" s="63">
        <v>2566</v>
      </c>
      <c r="K361" s="64">
        <v>750.04</v>
      </c>
      <c r="L361" s="63" t="s">
        <v>670</v>
      </c>
      <c r="M361" s="65" t="str">
        <f t="shared" si="5"/>
        <v>GRANORTEBEIRA RIOPULMÃOZINHO</v>
      </c>
      <c r="N361" s="85" t="s">
        <v>111</v>
      </c>
    </row>
    <row r="362" spans="2:14" x14ac:dyDescent="0.25">
      <c r="B362" s="91">
        <v>46065</v>
      </c>
      <c r="C362" s="63">
        <v>1</v>
      </c>
      <c r="D362" s="63" t="s">
        <v>210</v>
      </c>
      <c r="E362" s="65" t="s">
        <v>211</v>
      </c>
      <c r="F362" s="63" t="s">
        <v>163</v>
      </c>
      <c r="G362" s="63" t="s">
        <v>164</v>
      </c>
      <c r="H362" s="63">
        <v>52</v>
      </c>
      <c r="I362" s="65" t="s">
        <v>175</v>
      </c>
      <c r="J362" s="63">
        <v>4572</v>
      </c>
      <c r="K362" s="64">
        <v>879.65</v>
      </c>
      <c r="L362" s="63" t="s">
        <v>671</v>
      </c>
      <c r="M362" s="65" t="str">
        <f t="shared" si="5"/>
        <v>BRASIL MINERACAOUA SAO LUISBRITA 0</v>
      </c>
      <c r="N362" s="85" t="s">
        <v>1063</v>
      </c>
    </row>
    <row r="363" spans="2:14" x14ac:dyDescent="0.25">
      <c r="B363" s="91">
        <v>46065</v>
      </c>
      <c r="C363" s="63">
        <v>1</v>
      </c>
      <c r="D363" s="63" t="s">
        <v>176</v>
      </c>
      <c r="E363" s="65" t="s">
        <v>177</v>
      </c>
      <c r="F363" s="63" t="s">
        <v>166</v>
      </c>
      <c r="G363" s="63" t="s">
        <v>164</v>
      </c>
      <c r="H363" s="63">
        <v>58</v>
      </c>
      <c r="I363" s="65" t="s">
        <v>172</v>
      </c>
      <c r="J363" s="63">
        <v>4596</v>
      </c>
      <c r="K363" s="64">
        <v>986.3</v>
      </c>
      <c r="L363" s="63" t="s">
        <v>672</v>
      </c>
      <c r="M363" s="65" t="str">
        <f t="shared" si="5"/>
        <v>GRANORTEUA SAO LUISBICA CORRIDA</v>
      </c>
      <c r="N363" s="85" t="s">
        <v>1063</v>
      </c>
    </row>
    <row r="364" spans="2:14" x14ac:dyDescent="0.25">
      <c r="B364" s="91">
        <v>46065</v>
      </c>
      <c r="C364" s="63">
        <v>1</v>
      </c>
      <c r="D364" s="63" t="s">
        <v>289</v>
      </c>
      <c r="E364" s="65" t="s">
        <v>290</v>
      </c>
      <c r="F364" s="63" t="s">
        <v>291</v>
      </c>
      <c r="G364" s="63" t="s">
        <v>667</v>
      </c>
      <c r="H364" s="63">
        <v>302</v>
      </c>
      <c r="I364" s="65" t="s">
        <v>185</v>
      </c>
      <c r="J364" s="63">
        <v>3228</v>
      </c>
      <c r="K364" s="64">
        <v>3606.97</v>
      </c>
      <c r="L364" s="63" t="s">
        <v>673</v>
      </c>
      <c r="M364" s="65" t="str">
        <f t="shared" si="5"/>
        <v>MINERADORA PORTO FRANCO - MAVF CONSTRUTORA KM52RACHÃOZINHO</v>
      </c>
      <c r="N364" s="85" t="s">
        <v>1065</v>
      </c>
    </row>
    <row r="365" spans="2:14" x14ac:dyDescent="0.25">
      <c r="B365" s="91">
        <v>46065</v>
      </c>
      <c r="C365" s="63">
        <v>1</v>
      </c>
      <c r="D365" s="63" t="s">
        <v>192</v>
      </c>
      <c r="E365" s="65" t="s">
        <v>287</v>
      </c>
      <c r="F365" s="63" t="s">
        <v>166</v>
      </c>
      <c r="G365" s="63" t="s">
        <v>164</v>
      </c>
      <c r="H365" s="63">
        <v>58</v>
      </c>
      <c r="I365" s="65" t="s">
        <v>165</v>
      </c>
      <c r="J365" s="63">
        <v>4876</v>
      </c>
      <c r="K365" s="64">
        <v>1046.3900000000001</v>
      </c>
      <c r="L365" s="63" t="s">
        <v>674</v>
      </c>
      <c r="M365" s="65" t="str">
        <f t="shared" si="5"/>
        <v>GRANORTEUA SAO LUISPÓ DE BRITA</v>
      </c>
      <c r="N365" s="85" t="s">
        <v>1063</v>
      </c>
    </row>
    <row r="366" spans="2:14" x14ac:dyDescent="0.25">
      <c r="B366" s="91">
        <v>46065</v>
      </c>
      <c r="C366" s="63">
        <v>1</v>
      </c>
      <c r="D366" s="63" t="s">
        <v>192</v>
      </c>
      <c r="E366" s="65" t="s">
        <v>287</v>
      </c>
      <c r="F366" s="63" t="s">
        <v>163</v>
      </c>
      <c r="G366" s="63" t="s">
        <v>164</v>
      </c>
      <c r="H366" s="63">
        <v>52</v>
      </c>
      <c r="I366" s="65" t="s">
        <v>165</v>
      </c>
      <c r="J366" s="63">
        <v>478</v>
      </c>
      <c r="K366" s="64">
        <v>919.67</v>
      </c>
      <c r="L366" s="63" t="s">
        <v>675</v>
      </c>
      <c r="M366" s="65" t="str">
        <f t="shared" si="5"/>
        <v>BRASIL MINERACAOUA SAO LUISPÓ DE BRITA</v>
      </c>
      <c r="N366" s="85" t="s">
        <v>1063</v>
      </c>
    </row>
    <row r="367" spans="2:14" x14ac:dyDescent="0.25">
      <c r="B367" s="91">
        <v>46065</v>
      </c>
      <c r="C367" s="63">
        <v>1</v>
      </c>
      <c r="D367" s="63" t="s">
        <v>200</v>
      </c>
      <c r="E367" s="65" t="s">
        <v>201</v>
      </c>
      <c r="F367" s="63" t="s">
        <v>163</v>
      </c>
      <c r="G367" s="63" t="s">
        <v>164</v>
      </c>
      <c r="H367" s="63">
        <v>52</v>
      </c>
      <c r="I367" s="65" t="s">
        <v>165</v>
      </c>
      <c r="J367" s="63">
        <v>483</v>
      </c>
      <c r="K367" s="64">
        <v>929.29</v>
      </c>
      <c r="L367" s="63" t="s">
        <v>676</v>
      </c>
      <c r="M367" s="65" t="str">
        <f t="shared" si="5"/>
        <v>BRASIL MINERACAOUA SAO LUISPÓ DE BRITA</v>
      </c>
      <c r="N367" s="85" t="s">
        <v>1063</v>
      </c>
    </row>
    <row r="368" spans="2:14" x14ac:dyDescent="0.25">
      <c r="B368" s="91">
        <v>46065</v>
      </c>
      <c r="C368" s="63">
        <v>1</v>
      </c>
      <c r="D368" s="63" t="s">
        <v>270</v>
      </c>
      <c r="E368" s="65" t="s">
        <v>288</v>
      </c>
      <c r="F368" s="63" t="s">
        <v>166</v>
      </c>
      <c r="G368" s="63" t="s">
        <v>164</v>
      </c>
      <c r="H368" s="63">
        <v>58</v>
      </c>
      <c r="I368" s="65" t="s">
        <v>165</v>
      </c>
      <c r="J368" s="63">
        <v>4516</v>
      </c>
      <c r="K368" s="64">
        <v>969.13</v>
      </c>
      <c r="L368" s="63" t="s">
        <v>677</v>
      </c>
      <c r="M368" s="65" t="str">
        <f t="shared" si="5"/>
        <v>GRANORTEUA SAO LUISPÓ DE BRITA</v>
      </c>
      <c r="N368" s="85" t="s">
        <v>1063</v>
      </c>
    </row>
    <row r="369" spans="2:14" x14ac:dyDescent="0.25">
      <c r="B369" s="91">
        <v>46065</v>
      </c>
      <c r="C369" s="63">
        <v>1</v>
      </c>
      <c r="D369" s="63" t="s">
        <v>286</v>
      </c>
      <c r="E369" s="65" t="s">
        <v>343</v>
      </c>
      <c r="F369" s="63" t="s">
        <v>166</v>
      </c>
      <c r="G369" s="63" t="s">
        <v>164</v>
      </c>
      <c r="H369" s="63">
        <v>58</v>
      </c>
      <c r="I369" s="65" t="s">
        <v>172</v>
      </c>
      <c r="J369" s="63">
        <v>500</v>
      </c>
      <c r="K369" s="64">
        <v>1073</v>
      </c>
      <c r="L369" s="63" t="s">
        <v>678</v>
      </c>
      <c r="M369" s="65" t="str">
        <f t="shared" si="5"/>
        <v>GRANORTEUA SAO LUISBICA CORRIDA</v>
      </c>
      <c r="N369" s="85" t="s">
        <v>1063</v>
      </c>
    </row>
    <row r="370" spans="2:14" x14ac:dyDescent="0.25">
      <c r="B370" s="91">
        <v>46065</v>
      </c>
      <c r="C370" s="63">
        <v>2</v>
      </c>
      <c r="D370" s="63" t="s">
        <v>298</v>
      </c>
      <c r="E370" s="65" t="s">
        <v>299</v>
      </c>
      <c r="F370" s="63" t="s">
        <v>291</v>
      </c>
      <c r="G370" s="63" t="s">
        <v>667</v>
      </c>
      <c r="H370" s="63">
        <v>302</v>
      </c>
      <c r="I370" s="65" t="s">
        <v>185</v>
      </c>
      <c r="J370" s="63">
        <v>5002</v>
      </c>
      <c r="K370" s="64">
        <v>5589.23</v>
      </c>
      <c r="L370" s="63" t="s">
        <v>999</v>
      </c>
      <c r="M370" s="65" t="str">
        <f t="shared" si="5"/>
        <v>MINERADORA PORTO FRANCO - MAVF CONSTRUTORA KM52RACHÃOZINHO</v>
      </c>
      <c r="N370" s="85" t="s">
        <v>1065</v>
      </c>
    </row>
    <row r="371" spans="2:14" x14ac:dyDescent="0.25">
      <c r="B371" s="91">
        <v>46065</v>
      </c>
      <c r="C371" s="63">
        <v>2</v>
      </c>
      <c r="D371" s="63" t="s">
        <v>300</v>
      </c>
      <c r="E371" s="65" t="s">
        <v>301</v>
      </c>
      <c r="F371" s="63" t="s">
        <v>291</v>
      </c>
      <c r="G371" s="63" t="s">
        <v>667</v>
      </c>
      <c r="H371" s="63">
        <v>302</v>
      </c>
      <c r="I371" s="65" t="s">
        <v>185</v>
      </c>
      <c r="J371" s="63">
        <v>5032</v>
      </c>
      <c r="K371" s="64">
        <v>5622.76</v>
      </c>
      <c r="L371" s="63" t="s">
        <v>1000</v>
      </c>
      <c r="M371" s="65" t="str">
        <f t="shared" si="5"/>
        <v>MINERADORA PORTO FRANCO - MAVF CONSTRUTORA KM52RACHÃOZINHO</v>
      </c>
      <c r="N371" s="85" t="s">
        <v>1065</v>
      </c>
    </row>
    <row r="372" spans="2:14" x14ac:dyDescent="0.25">
      <c r="B372" s="91">
        <v>46065</v>
      </c>
      <c r="C372" s="63">
        <v>2</v>
      </c>
      <c r="D372" s="63" t="s">
        <v>302</v>
      </c>
      <c r="E372" s="65" t="s">
        <v>303</v>
      </c>
      <c r="F372" s="63" t="s">
        <v>997</v>
      </c>
      <c r="G372" s="63" t="s">
        <v>1001</v>
      </c>
      <c r="H372" s="63">
        <v>255</v>
      </c>
      <c r="I372" s="65" t="s">
        <v>195</v>
      </c>
      <c r="J372" s="63">
        <v>529</v>
      </c>
      <c r="K372" s="64">
        <v>4991.12</v>
      </c>
      <c r="L372" s="63" t="s">
        <v>1002</v>
      </c>
      <c r="M372" s="65" t="str">
        <f t="shared" si="5"/>
        <v>TAIPAS - TONOVO JARDIM - TOBRITA 1</v>
      </c>
      <c r="N372" s="85" t="s">
        <v>83</v>
      </c>
    </row>
    <row r="373" spans="2:14" x14ac:dyDescent="0.25">
      <c r="B373" s="91">
        <v>46065</v>
      </c>
      <c r="C373" s="63">
        <v>2</v>
      </c>
      <c r="D373" s="63" t="s">
        <v>312</v>
      </c>
      <c r="E373" s="65" t="s">
        <v>313</v>
      </c>
      <c r="F373" s="63" t="s">
        <v>291</v>
      </c>
      <c r="G373" s="63" t="s">
        <v>667</v>
      </c>
      <c r="H373" s="63">
        <v>302</v>
      </c>
      <c r="I373" s="65" t="s">
        <v>207</v>
      </c>
      <c r="J373" s="63">
        <v>3246</v>
      </c>
      <c r="K373" s="64">
        <v>3627.08</v>
      </c>
      <c r="L373" s="63" t="s">
        <v>1003</v>
      </c>
      <c r="M373" s="65" t="str">
        <f t="shared" si="5"/>
        <v>MINERADORA PORTO FRANCO - MAVF CONSTRUTORA KM52RACHÃO</v>
      </c>
      <c r="N373" s="85" t="s">
        <v>1065</v>
      </c>
    </row>
    <row r="374" spans="2:14" x14ac:dyDescent="0.25">
      <c r="B374" s="91">
        <v>46066</v>
      </c>
      <c r="C374" s="63">
        <v>1</v>
      </c>
      <c r="D374" s="63" t="s">
        <v>176</v>
      </c>
      <c r="E374" s="65" t="s">
        <v>177</v>
      </c>
      <c r="F374" s="63" t="s">
        <v>163</v>
      </c>
      <c r="G374" s="63" t="s">
        <v>164</v>
      </c>
      <c r="H374" s="63">
        <v>52</v>
      </c>
      <c r="I374" s="65" t="s">
        <v>175</v>
      </c>
      <c r="J374" s="63">
        <v>4552</v>
      </c>
      <c r="K374" s="64">
        <v>875.8</v>
      </c>
      <c r="L374" s="63" t="s">
        <v>679</v>
      </c>
      <c r="M374" s="65" t="str">
        <f t="shared" si="5"/>
        <v>BRASIL MINERACAOUA SAO LUISBRITA 0</v>
      </c>
      <c r="N374" s="85" t="s">
        <v>1063</v>
      </c>
    </row>
    <row r="375" spans="2:14" x14ac:dyDescent="0.25">
      <c r="B375" s="91">
        <v>46066</v>
      </c>
      <c r="C375" s="63">
        <v>1</v>
      </c>
      <c r="D375" s="63" t="s">
        <v>219</v>
      </c>
      <c r="E375" s="65" t="s">
        <v>220</v>
      </c>
      <c r="F375" s="63" t="s">
        <v>163</v>
      </c>
      <c r="G375" s="63" t="s">
        <v>164</v>
      </c>
      <c r="H375" s="63">
        <v>52</v>
      </c>
      <c r="I375" s="65" t="s">
        <v>175</v>
      </c>
      <c r="J375" s="63">
        <v>437</v>
      </c>
      <c r="K375" s="64">
        <v>840.79</v>
      </c>
      <c r="L375" s="63" t="s">
        <v>680</v>
      </c>
      <c r="M375" s="65" t="str">
        <f t="shared" si="5"/>
        <v>BRASIL MINERACAOUA SAO LUISBRITA 0</v>
      </c>
      <c r="N375" s="85" t="s">
        <v>1063</v>
      </c>
    </row>
    <row r="376" spans="2:14" x14ac:dyDescent="0.25">
      <c r="B376" s="91">
        <v>46066</v>
      </c>
      <c r="C376" s="63">
        <v>1</v>
      </c>
      <c r="D376" s="63" t="s">
        <v>219</v>
      </c>
      <c r="E376" s="65" t="s">
        <v>220</v>
      </c>
      <c r="F376" s="63" t="s">
        <v>163</v>
      </c>
      <c r="G376" s="63" t="s">
        <v>164</v>
      </c>
      <c r="H376" s="63">
        <v>52</v>
      </c>
      <c r="I376" s="65" t="s">
        <v>175</v>
      </c>
      <c r="J376" s="63">
        <v>593</v>
      </c>
      <c r="K376" s="64">
        <v>1140.93</v>
      </c>
      <c r="L376" s="63" t="s">
        <v>681</v>
      </c>
      <c r="M376" s="65" t="str">
        <f t="shared" si="5"/>
        <v>BRASIL MINERACAOUA SAO LUISBRITA 0</v>
      </c>
      <c r="N376" s="85" t="s">
        <v>1063</v>
      </c>
    </row>
    <row r="377" spans="2:14" x14ac:dyDescent="0.25">
      <c r="B377" s="91">
        <v>46066</v>
      </c>
      <c r="C377" s="63">
        <v>1</v>
      </c>
      <c r="D377" s="63" t="s">
        <v>170</v>
      </c>
      <c r="E377" s="65" t="s">
        <v>171</v>
      </c>
      <c r="F377" s="63" t="s">
        <v>163</v>
      </c>
      <c r="G377" s="63" t="s">
        <v>164</v>
      </c>
      <c r="H377" s="63">
        <v>52</v>
      </c>
      <c r="I377" s="65" t="s">
        <v>175</v>
      </c>
      <c r="J377" s="63">
        <v>261</v>
      </c>
      <c r="K377" s="64">
        <v>502.16</v>
      </c>
      <c r="L377" s="63" t="s">
        <v>682</v>
      </c>
      <c r="M377" s="65" t="str">
        <f t="shared" si="5"/>
        <v>BRASIL MINERACAOUA SAO LUISBRITA 0</v>
      </c>
      <c r="N377" s="85" t="s">
        <v>1063</v>
      </c>
    </row>
    <row r="378" spans="2:14" x14ac:dyDescent="0.25">
      <c r="B378" s="91">
        <v>46066</v>
      </c>
      <c r="C378" s="63">
        <v>1</v>
      </c>
      <c r="D378" s="63" t="s">
        <v>188</v>
      </c>
      <c r="E378" s="65" t="s">
        <v>189</v>
      </c>
      <c r="F378" s="63" t="s">
        <v>163</v>
      </c>
      <c r="G378" s="63" t="s">
        <v>164</v>
      </c>
      <c r="H378" s="63">
        <v>52</v>
      </c>
      <c r="I378" s="65" t="s">
        <v>175</v>
      </c>
      <c r="J378" s="63">
        <v>4896</v>
      </c>
      <c r="K378" s="64">
        <v>941.99</v>
      </c>
      <c r="L378" s="63" t="s">
        <v>683</v>
      </c>
      <c r="M378" s="65" t="str">
        <f t="shared" si="5"/>
        <v>BRASIL MINERACAOUA SAO LUISBRITA 0</v>
      </c>
      <c r="N378" s="85" t="s">
        <v>1063</v>
      </c>
    </row>
    <row r="379" spans="2:14" x14ac:dyDescent="0.25">
      <c r="B379" s="91">
        <v>46066</v>
      </c>
      <c r="C379" s="63">
        <v>1</v>
      </c>
      <c r="D379" s="63" t="s">
        <v>496</v>
      </c>
      <c r="E379" s="65" t="s">
        <v>497</v>
      </c>
      <c r="F379" s="63" t="s">
        <v>163</v>
      </c>
      <c r="G379" s="63" t="s">
        <v>164</v>
      </c>
      <c r="H379" s="63">
        <v>52</v>
      </c>
      <c r="I379" s="65" t="s">
        <v>175</v>
      </c>
      <c r="J379" s="63">
        <v>2584</v>
      </c>
      <c r="K379" s="64">
        <v>497.16</v>
      </c>
      <c r="L379" s="63" t="s">
        <v>684</v>
      </c>
      <c r="M379" s="65" t="str">
        <f t="shared" si="5"/>
        <v>BRASIL MINERACAOUA SAO LUISBRITA 0</v>
      </c>
      <c r="N379" s="85" t="s">
        <v>1063</v>
      </c>
    </row>
    <row r="380" spans="2:14" x14ac:dyDescent="0.25">
      <c r="B380" s="91">
        <v>46066</v>
      </c>
      <c r="C380" s="63">
        <v>1</v>
      </c>
      <c r="D380" s="63" t="s">
        <v>162</v>
      </c>
      <c r="E380" s="65" t="s">
        <v>281</v>
      </c>
      <c r="F380" s="63" t="s">
        <v>166</v>
      </c>
      <c r="G380" s="63" t="s">
        <v>164</v>
      </c>
      <c r="H380" s="63">
        <v>58</v>
      </c>
      <c r="I380" s="65" t="s">
        <v>175</v>
      </c>
      <c r="J380" s="63">
        <v>2632</v>
      </c>
      <c r="K380" s="64">
        <v>564.83000000000004</v>
      </c>
      <c r="L380" s="63" t="s">
        <v>685</v>
      </c>
      <c r="M380" s="65" t="str">
        <f t="shared" si="5"/>
        <v>GRANORTEUA SAO LUISBRITA 0</v>
      </c>
      <c r="N380" s="85" t="s">
        <v>1063</v>
      </c>
    </row>
    <row r="381" spans="2:14" x14ac:dyDescent="0.25">
      <c r="B381" s="91">
        <v>46066</v>
      </c>
      <c r="C381" s="63">
        <v>1</v>
      </c>
      <c r="D381" s="63" t="s">
        <v>202</v>
      </c>
      <c r="E381" s="65" t="s">
        <v>214</v>
      </c>
      <c r="F381" s="63" t="s">
        <v>163</v>
      </c>
      <c r="G381" s="63" t="s">
        <v>164</v>
      </c>
      <c r="H381" s="63">
        <v>52</v>
      </c>
      <c r="I381" s="65" t="s">
        <v>175</v>
      </c>
      <c r="J381" s="63">
        <v>4876</v>
      </c>
      <c r="K381" s="64">
        <v>938.14</v>
      </c>
      <c r="L381" s="63" t="s">
        <v>686</v>
      </c>
      <c r="M381" s="65" t="str">
        <f t="shared" si="5"/>
        <v>BRASIL MINERACAOUA SAO LUISBRITA 0</v>
      </c>
      <c r="N381" s="85" t="s">
        <v>1063</v>
      </c>
    </row>
    <row r="382" spans="2:14" x14ac:dyDescent="0.25">
      <c r="B382" s="91">
        <v>46066</v>
      </c>
      <c r="C382" s="63">
        <v>1</v>
      </c>
      <c r="D382" s="63" t="s">
        <v>203</v>
      </c>
      <c r="E382" s="65" t="s">
        <v>204</v>
      </c>
      <c r="F382" s="63" t="s">
        <v>163</v>
      </c>
      <c r="G382" s="63" t="s">
        <v>164</v>
      </c>
      <c r="H382" s="63">
        <v>52</v>
      </c>
      <c r="I382" s="65" t="s">
        <v>175</v>
      </c>
      <c r="J382" s="63">
        <v>4674</v>
      </c>
      <c r="K382" s="64">
        <v>899.28</v>
      </c>
      <c r="L382" s="63" t="s">
        <v>687</v>
      </c>
      <c r="M382" s="65" t="str">
        <f t="shared" si="5"/>
        <v>BRASIL MINERACAOUA SAO LUISBRITA 0</v>
      </c>
      <c r="N382" s="85" t="s">
        <v>1063</v>
      </c>
    </row>
    <row r="383" spans="2:14" x14ac:dyDescent="0.25">
      <c r="B383" s="91">
        <v>46066</v>
      </c>
      <c r="C383" s="63">
        <v>1</v>
      </c>
      <c r="D383" s="63" t="s">
        <v>196</v>
      </c>
      <c r="E383" s="65" t="s">
        <v>197</v>
      </c>
      <c r="F383" s="63" t="s">
        <v>163</v>
      </c>
      <c r="G383" s="63" t="s">
        <v>164</v>
      </c>
      <c r="H383" s="63">
        <v>52</v>
      </c>
      <c r="I383" s="65" t="s">
        <v>175</v>
      </c>
      <c r="J383" s="63">
        <v>4806</v>
      </c>
      <c r="K383" s="64">
        <v>924.67</v>
      </c>
      <c r="L383" s="63" t="s">
        <v>688</v>
      </c>
      <c r="M383" s="65" t="str">
        <f t="shared" si="5"/>
        <v>BRASIL MINERACAOUA SAO LUISBRITA 0</v>
      </c>
      <c r="N383" s="85" t="s">
        <v>1063</v>
      </c>
    </row>
    <row r="384" spans="2:14" x14ac:dyDescent="0.25">
      <c r="B384" s="91">
        <v>46066</v>
      </c>
      <c r="C384" s="63">
        <v>1</v>
      </c>
      <c r="D384" s="63" t="s">
        <v>170</v>
      </c>
      <c r="E384" s="65" t="s">
        <v>171</v>
      </c>
      <c r="F384" s="63" t="s">
        <v>163</v>
      </c>
      <c r="G384" s="63" t="s">
        <v>164</v>
      </c>
      <c r="H384" s="63">
        <v>52</v>
      </c>
      <c r="I384" s="65" t="s">
        <v>175</v>
      </c>
      <c r="J384" s="63">
        <v>2504</v>
      </c>
      <c r="K384" s="64">
        <v>481.77</v>
      </c>
      <c r="L384" s="63" t="s">
        <v>689</v>
      </c>
      <c r="M384" s="65" t="str">
        <f t="shared" si="5"/>
        <v>BRASIL MINERACAOUA SAO LUISBRITA 0</v>
      </c>
      <c r="N384" s="85" t="s">
        <v>1063</v>
      </c>
    </row>
    <row r="385" spans="2:14" x14ac:dyDescent="0.25">
      <c r="B385" s="91">
        <v>46066</v>
      </c>
      <c r="C385" s="63">
        <v>1</v>
      </c>
      <c r="D385" s="63" t="s">
        <v>199</v>
      </c>
      <c r="E385" s="65" t="s">
        <v>180</v>
      </c>
      <c r="F385" s="63" t="s">
        <v>166</v>
      </c>
      <c r="G385" s="63" t="s">
        <v>111</v>
      </c>
      <c r="H385" s="63">
        <v>79</v>
      </c>
      <c r="I385" s="65" t="s">
        <v>169</v>
      </c>
      <c r="J385" s="63">
        <v>256</v>
      </c>
      <c r="K385" s="64">
        <v>748.29</v>
      </c>
      <c r="L385" s="63" t="s">
        <v>690</v>
      </c>
      <c r="M385" s="65" t="str">
        <f t="shared" si="5"/>
        <v>GRANORTEBEIRA RIOPULMÃOZINHO</v>
      </c>
      <c r="N385" s="85" t="s">
        <v>111</v>
      </c>
    </row>
    <row r="386" spans="2:14" x14ac:dyDescent="0.25">
      <c r="B386" s="91">
        <v>46066</v>
      </c>
      <c r="C386" s="63">
        <v>1</v>
      </c>
      <c r="D386" s="63" t="s">
        <v>496</v>
      </c>
      <c r="E386" s="65" t="s">
        <v>497</v>
      </c>
      <c r="F386" s="63" t="s">
        <v>163</v>
      </c>
      <c r="G386" s="63" t="s">
        <v>164</v>
      </c>
      <c r="H386" s="63">
        <v>52</v>
      </c>
      <c r="I386" s="65" t="s">
        <v>175</v>
      </c>
      <c r="J386" s="63">
        <v>2482</v>
      </c>
      <c r="K386" s="64">
        <v>477.54</v>
      </c>
      <c r="L386" s="63" t="s">
        <v>691</v>
      </c>
      <c r="M386" s="65" t="str">
        <f t="shared" si="5"/>
        <v>BRASIL MINERACAOUA SAO LUISBRITA 0</v>
      </c>
      <c r="N386" s="85" t="s">
        <v>1063</v>
      </c>
    </row>
    <row r="387" spans="2:14" x14ac:dyDescent="0.25">
      <c r="B387" s="91">
        <v>46066</v>
      </c>
      <c r="C387" s="63">
        <v>1</v>
      </c>
      <c r="D387" s="63" t="s">
        <v>162</v>
      </c>
      <c r="E387" s="65" t="s">
        <v>281</v>
      </c>
      <c r="F387" s="63" t="s">
        <v>166</v>
      </c>
      <c r="G387" s="63" t="s">
        <v>164</v>
      </c>
      <c r="H387" s="63">
        <v>58</v>
      </c>
      <c r="I387" s="65" t="s">
        <v>169</v>
      </c>
      <c r="J387" s="63">
        <v>2406</v>
      </c>
      <c r="K387" s="64">
        <v>516.33000000000004</v>
      </c>
      <c r="L387" s="63" t="s">
        <v>692</v>
      </c>
      <c r="M387" s="65" t="str">
        <f t="shared" si="5"/>
        <v>GRANORTEUA SAO LUISPULMÃOZINHO</v>
      </c>
      <c r="N387" s="85" t="s">
        <v>1063</v>
      </c>
    </row>
    <row r="388" spans="2:14" x14ac:dyDescent="0.25">
      <c r="B388" s="91">
        <v>46066</v>
      </c>
      <c r="C388" s="63">
        <v>1</v>
      </c>
      <c r="D388" s="63" t="s">
        <v>173</v>
      </c>
      <c r="E388" s="65" t="s">
        <v>174</v>
      </c>
      <c r="F388" s="63" t="s">
        <v>166</v>
      </c>
      <c r="G388" s="63" t="s">
        <v>111</v>
      </c>
      <c r="H388" s="63">
        <v>79</v>
      </c>
      <c r="I388" s="65" t="s">
        <v>169</v>
      </c>
      <c r="J388" s="63">
        <v>255</v>
      </c>
      <c r="K388" s="64">
        <v>745.37</v>
      </c>
      <c r="L388" s="63" t="s">
        <v>693</v>
      </c>
      <c r="M388" s="65" t="str">
        <f t="shared" si="5"/>
        <v>GRANORTEBEIRA RIOPULMÃOZINHO</v>
      </c>
      <c r="N388" s="85" t="s">
        <v>111</v>
      </c>
    </row>
    <row r="389" spans="2:14" x14ac:dyDescent="0.25">
      <c r="B389" s="91">
        <v>46066</v>
      </c>
      <c r="C389" s="63">
        <v>1</v>
      </c>
      <c r="D389" s="63" t="s">
        <v>203</v>
      </c>
      <c r="E389" s="65" t="s">
        <v>204</v>
      </c>
      <c r="F389" s="63" t="s">
        <v>166</v>
      </c>
      <c r="G389" s="63" t="s">
        <v>164</v>
      </c>
      <c r="H389" s="63">
        <v>58</v>
      </c>
      <c r="I389" s="65" t="s">
        <v>165</v>
      </c>
      <c r="J389" s="63">
        <v>4672</v>
      </c>
      <c r="K389" s="64">
        <v>1002.61</v>
      </c>
      <c r="L389" s="63" t="s">
        <v>694</v>
      </c>
      <c r="M389" s="65" t="str">
        <f t="shared" ref="M389:M452" si="6">F389&amp;G389&amp;I389</f>
        <v>GRANORTEUA SAO LUISPÓ DE BRITA</v>
      </c>
      <c r="N389" s="85" t="s">
        <v>1063</v>
      </c>
    </row>
    <row r="390" spans="2:14" x14ac:dyDescent="0.25">
      <c r="B390" s="91">
        <v>46066</v>
      </c>
      <c r="C390" s="63">
        <v>1</v>
      </c>
      <c r="D390" s="63" t="s">
        <v>181</v>
      </c>
      <c r="E390" s="65" t="s">
        <v>182</v>
      </c>
      <c r="F390" s="63" t="s">
        <v>166</v>
      </c>
      <c r="G390" s="63" t="s">
        <v>164</v>
      </c>
      <c r="H390" s="63">
        <v>58</v>
      </c>
      <c r="I390" s="65" t="s">
        <v>175</v>
      </c>
      <c r="J390" s="63">
        <v>261</v>
      </c>
      <c r="K390" s="64">
        <v>560.11</v>
      </c>
      <c r="L390" s="63" t="s">
        <v>695</v>
      </c>
      <c r="M390" s="65" t="str">
        <f t="shared" si="6"/>
        <v>GRANORTEUA SAO LUISBRITA 0</v>
      </c>
      <c r="N390" s="85" t="s">
        <v>1063</v>
      </c>
    </row>
    <row r="391" spans="2:14" x14ac:dyDescent="0.25">
      <c r="B391" s="91">
        <v>46066</v>
      </c>
      <c r="C391" s="63">
        <v>1</v>
      </c>
      <c r="D391" s="63" t="s">
        <v>181</v>
      </c>
      <c r="E391" s="65" t="s">
        <v>182</v>
      </c>
      <c r="F391" s="63" t="s">
        <v>163</v>
      </c>
      <c r="G391" s="63" t="s">
        <v>164</v>
      </c>
      <c r="H391" s="63">
        <v>52</v>
      </c>
      <c r="I391" s="65" t="s">
        <v>172</v>
      </c>
      <c r="J391" s="63">
        <v>2446</v>
      </c>
      <c r="K391" s="64">
        <v>470.61</v>
      </c>
      <c r="L391" s="63" t="s">
        <v>696</v>
      </c>
      <c r="M391" s="65" t="str">
        <f t="shared" si="6"/>
        <v>BRASIL MINERACAOUA SAO LUISBICA CORRIDA</v>
      </c>
      <c r="N391" s="85" t="s">
        <v>1063</v>
      </c>
    </row>
    <row r="392" spans="2:14" x14ac:dyDescent="0.25">
      <c r="B392" s="91">
        <v>46066</v>
      </c>
      <c r="C392" s="63">
        <v>1</v>
      </c>
      <c r="D392" s="63" t="s">
        <v>283</v>
      </c>
      <c r="E392" s="65" t="s">
        <v>215</v>
      </c>
      <c r="F392" s="63" t="s">
        <v>166</v>
      </c>
      <c r="G392" s="63" t="s">
        <v>111</v>
      </c>
      <c r="H392" s="63">
        <v>79</v>
      </c>
      <c r="I392" s="65" t="s">
        <v>169</v>
      </c>
      <c r="J392" s="63">
        <v>2662</v>
      </c>
      <c r="K392" s="64">
        <v>778.1</v>
      </c>
      <c r="L392" s="63" t="s">
        <v>697</v>
      </c>
      <c r="M392" s="65" t="str">
        <f t="shared" si="6"/>
        <v>GRANORTEBEIRA RIOPULMÃOZINHO</v>
      </c>
      <c r="N392" s="85" t="s">
        <v>111</v>
      </c>
    </row>
    <row r="393" spans="2:14" x14ac:dyDescent="0.25">
      <c r="B393" s="91">
        <v>46066</v>
      </c>
      <c r="C393" s="63">
        <v>1</v>
      </c>
      <c r="D393" s="63" t="s">
        <v>283</v>
      </c>
      <c r="E393" s="65" t="s">
        <v>215</v>
      </c>
      <c r="F393" s="63" t="s">
        <v>163</v>
      </c>
      <c r="G393" s="63" t="s">
        <v>164</v>
      </c>
      <c r="H393" s="63">
        <v>52</v>
      </c>
      <c r="I393" s="65" t="s">
        <v>175</v>
      </c>
      <c r="J393" s="63">
        <v>2756</v>
      </c>
      <c r="K393" s="64">
        <v>530.25</v>
      </c>
      <c r="L393" s="63" t="s">
        <v>698</v>
      </c>
      <c r="M393" s="65" t="str">
        <f t="shared" si="6"/>
        <v>BRASIL MINERACAOUA SAO LUISBRITA 0</v>
      </c>
      <c r="N393" s="85" t="s">
        <v>1063</v>
      </c>
    </row>
    <row r="394" spans="2:14" x14ac:dyDescent="0.25">
      <c r="B394" s="91">
        <v>46066</v>
      </c>
      <c r="C394" s="63">
        <v>1</v>
      </c>
      <c r="D394" s="63" t="s">
        <v>283</v>
      </c>
      <c r="E394" s="65" t="s">
        <v>215</v>
      </c>
      <c r="F394" s="63" t="s">
        <v>163</v>
      </c>
      <c r="G394" s="63" t="s">
        <v>164</v>
      </c>
      <c r="H394" s="63">
        <v>52</v>
      </c>
      <c r="I394" s="65" t="s">
        <v>165</v>
      </c>
      <c r="J394" s="63">
        <v>2676</v>
      </c>
      <c r="K394" s="64">
        <v>514.86</v>
      </c>
      <c r="L394" s="63" t="s">
        <v>699</v>
      </c>
      <c r="M394" s="65" t="str">
        <f t="shared" si="6"/>
        <v>BRASIL MINERACAOUA SAO LUISPÓ DE BRITA</v>
      </c>
      <c r="N394" s="85" t="s">
        <v>1063</v>
      </c>
    </row>
    <row r="395" spans="2:14" x14ac:dyDescent="0.25">
      <c r="B395" s="91">
        <v>46066</v>
      </c>
      <c r="C395" s="63">
        <v>1</v>
      </c>
      <c r="D395" s="63" t="s">
        <v>192</v>
      </c>
      <c r="E395" s="65" t="s">
        <v>287</v>
      </c>
      <c r="F395" s="63" t="s">
        <v>163</v>
      </c>
      <c r="G395" s="63" t="s">
        <v>164</v>
      </c>
      <c r="H395" s="63">
        <v>52</v>
      </c>
      <c r="I395" s="65" t="s">
        <v>165</v>
      </c>
      <c r="J395" s="63">
        <v>472</v>
      </c>
      <c r="K395" s="64">
        <v>908.13</v>
      </c>
      <c r="L395" s="63" t="s">
        <v>700</v>
      </c>
      <c r="M395" s="65" t="str">
        <f t="shared" si="6"/>
        <v>BRASIL MINERACAOUA SAO LUISPÓ DE BRITA</v>
      </c>
      <c r="N395" s="85" t="s">
        <v>1063</v>
      </c>
    </row>
    <row r="396" spans="2:14" x14ac:dyDescent="0.25">
      <c r="B396" s="91">
        <v>46066</v>
      </c>
      <c r="C396" s="63">
        <v>1</v>
      </c>
      <c r="D396" s="63" t="s">
        <v>192</v>
      </c>
      <c r="E396" s="65" t="s">
        <v>287</v>
      </c>
      <c r="F396" s="63" t="s">
        <v>163</v>
      </c>
      <c r="G396" s="63" t="s">
        <v>164</v>
      </c>
      <c r="H396" s="63">
        <v>52</v>
      </c>
      <c r="I396" s="65" t="s">
        <v>165</v>
      </c>
      <c r="J396" s="63">
        <v>4734</v>
      </c>
      <c r="K396" s="64">
        <v>910.82</v>
      </c>
      <c r="L396" s="63" t="s">
        <v>701</v>
      </c>
      <c r="M396" s="65" t="str">
        <f t="shared" si="6"/>
        <v>BRASIL MINERACAOUA SAO LUISPÓ DE BRITA</v>
      </c>
      <c r="N396" s="85" t="s">
        <v>1063</v>
      </c>
    </row>
    <row r="397" spans="2:14" x14ac:dyDescent="0.25">
      <c r="B397" s="91">
        <v>46066</v>
      </c>
      <c r="C397" s="63">
        <v>1</v>
      </c>
      <c r="D397" s="63" t="s">
        <v>200</v>
      </c>
      <c r="E397" s="65" t="s">
        <v>201</v>
      </c>
      <c r="F397" s="63" t="s">
        <v>163</v>
      </c>
      <c r="G397" s="63" t="s">
        <v>164</v>
      </c>
      <c r="H397" s="63">
        <v>52</v>
      </c>
      <c r="I397" s="65" t="s">
        <v>165</v>
      </c>
      <c r="J397" s="63">
        <v>4756</v>
      </c>
      <c r="K397" s="64">
        <v>915.05</v>
      </c>
      <c r="L397" s="63" t="s">
        <v>702</v>
      </c>
      <c r="M397" s="65" t="str">
        <f t="shared" si="6"/>
        <v>BRASIL MINERACAOUA SAO LUISPÓ DE BRITA</v>
      </c>
      <c r="N397" s="85" t="s">
        <v>1063</v>
      </c>
    </row>
    <row r="398" spans="2:14" x14ac:dyDescent="0.25">
      <c r="B398" s="91">
        <v>46066</v>
      </c>
      <c r="C398" s="63">
        <v>1</v>
      </c>
      <c r="D398" s="63" t="s">
        <v>200</v>
      </c>
      <c r="E398" s="65" t="s">
        <v>201</v>
      </c>
      <c r="F398" s="63" t="s">
        <v>163</v>
      </c>
      <c r="G398" s="63" t="s">
        <v>164</v>
      </c>
      <c r="H398" s="63">
        <v>52</v>
      </c>
      <c r="I398" s="65" t="s">
        <v>165</v>
      </c>
      <c r="J398" s="63">
        <v>4576</v>
      </c>
      <c r="K398" s="64">
        <v>880.42</v>
      </c>
      <c r="L398" s="63" t="s">
        <v>703</v>
      </c>
      <c r="M398" s="65" t="str">
        <f t="shared" si="6"/>
        <v>BRASIL MINERACAOUA SAO LUISPÓ DE BRITA</v>
      </c>
      <c r="N398" s="85" t="s">
        <v>1063</v>
      </c>
    </row>
    <row r="399" spans="2:14" x14ac:dyDescent="0.25">
      <c r="B399" s="91">
        <v>46066</v>
      </c>
      <c r="C399" s="63">
        <v>1</v>
      </c>
      <c r="D399" s="63" t="s">
        <v>208</v>
      </c>
      <c r="E399" s="65" t="s">
        <v>209</v>
      </c>
      <c r="F399" s="63" t="s">
        <v>163</v>
      </c>
      <c r="G399" s="63" t="s">
        <v>164</v>
      </c>
      <c r="H399" s="63">
        <v>52</v>
      </c>
      <c r="I399" s="65" t="s">
        <v>165</v>
      </c>
      <c r="J399" s="63">
        <v>500</v>
      </c>
      <c r="K399" s="64">
        <v>962</v>
      </c>
      <c r="L399" s="63" t="s">
        <v>704</v>
      </c>
      <c r="M399" s="65" t="str">
        <f t="shared" si="6"/>
        <v>BRASIL MINERACAOUA SAO LUISPÓ DE BRITA</v>
      </c>
      <c r="N399" s="85" t="s">
        <v>1063</v>
      </c>
    </row>
    <row r="400" spans="2:14" x14ac:dyDescent="0.25">
      <c r="B400" s="91">
        <v>46066</v>
      </c>
      <c r="C400" s="63">
        <v>1</v>
      </c>
      <c r="D400" s="63" t="s">
        <v>270</v>
      </c>
      <c r="E400" s="65" t="s">
        <v>288</v>
      </c>
      <c r="F400" s="63" t="s">
        <v>166</v>
      </c>
      <c r="G400" s="63" t="s">
        <v>164</v>
      </c>
      <c r="H400" s="63">
        <v>58</v>
      </c>
      <c r="I400" s="65" t="s">
        <v>175</v>
      </c>
      <c r="J400" s="63">
        <v>4632</v>
      </c>
      <c r="K400" s="64">
        <v>994.03</v>
      </c>
      <c r="L400" s="63" t="s">
        <v>705</v>
      </c>
      <c r="M400" s="65" t="str">
        <f t="shared" si="6"/>
        <v>GRANORTEUA SAO LUISBRITA 0</v>
      </c>
      <c r="N400" s="85" t="s">
        <v>1063</v>
      </c>
    </row>
    <row r="401" spans="2:14" x14ac:dyDescent="0.25">
      <c r="B401" s="91">
        <v>46066</v>
      </c>
      <c r="C401" s="63">
        <v>1</v>
      </c>
      <c r="D401" s="63" t="s">
        <v>193</v>
      </c>
      <c r="E401" s="65" t="s">
        <v>285</v>
      </c>
      <c r="F401" s="63" t="s">
        <v>166</v>
      </c>
      <c r="G401" s="63" t="s">
        <v>111</v>
      </c>
      <c r="H401" s="63">
        <v>79</v>
      </c>
      <c r="I401" s="65" t="s">
        <v>169</v>
      </c>
      <c r="J401" s="63">
        <v>2592</v>
      </c>
      <c r="K401" s="64">
        <v>757.64</v>
      </c>
      <c r="L401" s="63" t="s">
        <v>706</v>
      </c>
      <c r="M401" s="65" t="str">
        <f t="shared" si="6"/>
        <v>GRANORTEBEIRA RIOPULMÃOZINHO</v>
      </c>
      <c r="N401" s="85" t="s">
        <v>111</v>
      </c>
    </row>
    <row r="402" spans="2:14" x14ac:dyDescent="0.25">
      <c r="B402" s="91">
        <v>46066</v>
      </c>
      <c r="C402" s="63">
        <v>1</v>
      </c>
      <c r="D402" s="63" t="s">
        <v>286</v>
      </c>
      <c r="E402" s="65" t="s">
        <v>343</v>
      </c>
      <c r="F402" s="63" t="s">
        <v>163</v>
      </c>
      <c r="G402" s="63" t="s">
        <v>164</v>
      </c>
      <c r="H402" s="63">
        <v>52</v>
      </c>
      <c r="I402" s="65" t="s">
        <v>175</v>
      </c>
      <c r="J402" s="63">
        <v>480</v>
      </c>
      <c r="K402" s="64">
        <v>923.52</v>
      </c>
      <c r="L402" s="63" t="s">
        <v>707</v>
      </c>
      <c r="M402" s="65" t="str">
        <f t="shared" si="6"/>
        <v>BRASIL MINERACAOUA SAO LUISBRITA 0</v>
      </c>
      <c r="N402" s="85" t="s">
        <v>1063</v>
      </c>
    </row>
    <row r="403" spans="2:14" x14ac:dyDescent="0.25">
      <c r="B403" s="91">
        <v>46066</v>
      </c>
      <c r="C403" s="63">
        <v>1</v>
      </c>
      <c r="D403" s="63" t="s">
        <v>286</v>
      </c>
      <c r="E403" s="65" t="s">
        <v>343</v>
      </c>
      <c r="F403" s="63" t="s">
        <v>163</v>
      </c>
      <c r="G403" s="63" t="s">
        <v>164</v>
      </c>
      <c r="H403" s="63">
        <v>52</v>
      </c>
      <c r="I403" s="65" t="s">
        <v>175</v>
      </c>
      <c r="J403" s="63">
        <v>495</v>
      </c>
      <c r="K403" s="64">
        <v>952.38</v>
      </c>
      <c r="L403" s="63" t="s">
        <v>708</v>
      </c>
      <c r="M403" s="65" t="str">
        <f t="shared" si="6"/>
        <v>BRASIL MINERACAOUA SAO LUISBRITA 0</v>
      </c>
      <c r="N403" s="85" t="s">
        <v>1063</v>
      </c>
    </row>
    <row r="404" spans="2:14" x14ac:dyDescent="0.25">
      <c r="B404" s="91">
        <v>46066</v>
      </c>
      <c r="C404" s="63">
        <v>2</v>
      </c>
      <c r="D404" s="63" t="s">
        <v>302</v>
      </c>
      <c r="E404" s="65" t="s">
        <v>303</v>
      </c>
      <c r="F404" s="63" t="s">
        <v>997</v>
      </c>
      <c r="G404" s="63" t="s">
        <v>1001</v>
      </c>
      <c r="H404" s="63">
        <v>255</v>
      </c>
      <c r="I404" s="65" t="s">
        <v>195</v>
      </c>
      <c r="J404" s="63">
        <v>5626</v>
      </c>
      <c r="K404" s="64">
        <v>5308.13</v>
      </c>
      <c r="L404" s="63" t="s">
        <v>1004</v>
      </c>
      <c r="M404" s="65" t="str">
        <f t="shared" si="6"/>
        <v>TAIPAS - TONOVO JARDIM - TOBRITA 1</v>
      </c>
      <c r="N404" s="85" t="s">
        <v>83</v>
      </c>
    </row>
    <row r="405" spans="2:14" x14ac:dyDescent="0.25">
      <c r="B405" s="67">
        <v>46066</v>
      </c>
      <c r="C405" s="63">
        <v>1</v>
      </c>
      <c r="D405" s="63" t="s">
        <v>286</v>
      </c>
      <c r="E405" s="68" t="s">
        <v>1073</v>
      </c>
      <c r="F405" s="63" t="s">
        <v>1069</v>
      </c>
      <c r="G405" s="63" t="s">
        <v>1070</v>
      </c>
      <c r="H405" s="63">
        <v>52</v>
      </c>
      <c r="I405" s="68" t="s">
        <v>175</v>
      </c>
      <c r="J405" s="63">
        <v>49.54</v>
      </c>
      <c r="K405" s="64">
        <v>953.14959999999985</v>
      </c>
      <c r="L405" s="63" t="s">
        <v>1095</v>
      </c>
      <c r="M405" s="65" t="str">
        <f t="shared" si="6"/>
        <v>BRASIL MINERAÇÃOUA-11 DistritoBRITA 0</v>
      </c>
      <c r="N405" s="78" t="s">
        <v>1063</v>
      </c>
    </row>
    <row r="406" spans="2:14" x14ac:dyDescent="0.25">
      <c r="B406" s="67">
        <v>46066</v>
      </c>
      <c r="C406" s="63">
        <v>1</v>
      </c>
      <c r="D406" s="63" t="s">
        <v>1074</v>
      </c>
      <c r="E406" s="68" t="s">
        <v>1075</v>
      </c>
      <c r="F406" s="63" t="s">
        <v>1069</v>
      </c>
      <c r="G406" s="63" t="s">
        <v>1070</v>
      </c>
      <c r="H406" s="63">
        <v>52</v>
      </c>
      <c r="I406" s="68" t="s">
        <v>175</v>
      </c>
      <c r="J406" s="63">
        <v>42.42</v>
      </c>
      <c r="K406" s="64">
        <v>816.16079999999999</v>
      </c>
      <c r="L406" s="63" t="s">
        <v>1096</v>
      </c>
      <c r="M406" s="65" t="str">
        <f t="shared" si="6"/>
        <v>BRASIL MINERAÇÃOUA-11 DistritoBRITA 0</v>
      </c>
      <c r="N406" s="78" t="s">
        <v>1063</v>
      </c>
    </row>
    <row r="407" spans="2:14" x14ac:dyDescent="0.25">
      <c r="B407" s="67">
        <v>46066</v>
      </c>
      <c r="C407" s="63">
        <v>1</v>
      </c>
      <c r="D407" s="63" t="s">
        <v>286</v>
      </c>
      <c r="E407" s="68" t="s">
        <v>1073</v>
      </c>
      <c r="F407" s="63" t="s">
        <v>1069</v>
      </c>
      <c r="G407" s="63" t="s">
        <v>1070</v>
      </c>
      <c r="H407" s="63">
        <v>52</v>
      </c>
      <c r="I407" s="68" t="s">
        <v>175</v>
      </c>
      <c r="J407" s="63">
        <v>48.02</v>
      </c>
      <c r="K407" s="64">
        <v>923.90480000000002</v>
      </c>
      <c r="L407" s="63" t="s">
        <v>1097</v>
      </c>
      <c r="M407" s="65" t="str">
        <f t="shared" si="6"/>
        <v>BRASIL MINERAÇÃOUA-11 DistritoBRITA 0</v>
      </c>
      <c r="N407" s="78" t="s">
        <v>1063</v>
      </c>
    </row>
    <row r="408" spans="2:14" x14ac:dyDescent="0.25">
      <c r="B408" s="91">
        <v>46067</v>
      </c>
      <c r="C408" s="63">
        <v>2</v>
      </c>
      <c r="D408" s="63" t="s">
        <v>302</v>
      </c>
      <c r="E408" s="65" t="s">
        <v>303</v>
      </c>
      <c r="F408" s="63" t="s">
        <v>997</v>
      </c>
      <c r="G408" s="63" t="s">
        <v>1001</v>
      </c>
      <c r="H408" s="63">
        <v>255</v>
      </c>
      <c r="I408" s="65" t="s">
        <v>195</v>
      </c>
      <c r="J408" s="63">
        <v>5694</v>
      </c>
      <c r="K408" s="64">
        <v>5372.29</v>
      </c>
      <c r="L408" s="63" t="s">
        <v>1005</v>
      </c>
      <c r="M408" s="65" t="str">
        <f t="shared" si="6"/>
        <v>TAIPAS - TONOVO JARDIM - TOBRITA 1</v>
      </c>
      <c r="N408" s="85" t="s">
        <v>83</v>
      </c>
    </row>
    <row r="409" spans="2:14" x14ac:dyDescent="0.25">
      <c r="B409" s="91">
        <v>46068</v>
      </c>
      <c r="C409" s="63">
        <v>1</v>
      </c>
      <c r="D409" s="63" t="s">
        <v>205</v>
      </c>
      <c r="E409" s="65" t="s">
        <v>206</v>
      </c>
      <c r="F409" s="63" t="s">
        <v>291</v>
      </c>
      <c r="G409" s="63" t="s">
        <v>667</v>
      </c>
      <c r="H409" s="63">
        <v>302</v>
      </c>
      <c r="I409" s="65" t="s">
        <v>221</v>
      </c>
      <c r="J409" s="63">
        <v>5052</v>
      </c>
      <c r="K409" s="64">
        <v>5645.1</v>
      </c>
      <c r="L409" s="63" t="s">
        <v>709</v>
      </c>
      <c r="M409" s="65" t="str">
        <f t="shared" si="6"/>
        <v>MINERADORA PORTO FRANCO - MAVF CONSTRUTORA KM52BGS</v>
      </c>
      <c r="N409" s="85" t="s">
        <v>1065</v>
      </c>
    </row>
    <row r="410" spans="2:14" x14ac:dyDescent="0.25">
      <c r="B410" s="91">
        <v>46069</v>
      </c>
      <c r="C410" s="63">
        <v>2</v>
      </c>
      <c r="D410" s="63" t="s">
        <v>302</v>
      </c>
      <c r="E410" s="65" t="s">
        <v>303</v>
      </c>
      <c r="F410" s="63" t="s">
        <v>997</v>
      </c>
      <c r="G410" s="63" t="s">
        <v>1001</v>
      </c>
      <c r="H410" s="63">
        <v>255</v>
      </c>
      <c r="I410" s="65" t="s">
        <v>175</v>
      </c>
      <c r="J410" s="63">
        <v>5694</v>
      </c>
      <c r="K410" s="64">
        <v>5372.29</v>
      </c>
      <c r="L410" s="63" t="s">
        <v>1006</v>
      </c>
      <c r="M410" s="65" t="str">
        <f t="shared" si="6"/>
        <v>TAIPAS - TONOVO JARDIM - TOBRITA 0</v>
      </c>
      <c r="N410" s="85" t="s">
        <v>83</v>
      </c>
    </row>
    <row r="411" spans="2:14" x14ac:dyDescent="0.25">
      <c r="B411" s="91">
        <v>46071</v>
      </c>
      <c r="C411" s="63">
        <v>2</v>
      </c>
      <c r="D411" s="63" t="s">
        <v>302</v>
      </c>
      <c r="E411" s="65" t="s">
        <v>303</v>
      </c>
      <c r="F411" s="63" t="s">
        <v>997</v>
      </c>
      <c r="G411" s="63" t="s">
        <v>1001</v>
      </c>
      <c r="H411" s="63">
        <v>255</v>
      </c>
      <c r="I411" s="65" t="s">
        <v>195</v>
      </c>
      <c r="J411" s="63">
        <v>5022</v>
      </c>
      <c r="K411" s="64">
        <v>4738.26</v>
      </c>
      <c r="L411" s="63" t="s">
        <v>1007</v>
      </c>
      <c r="M411" s="65" t="str">
        <f t="shared" si="6"/>
        <v>TAIPAS - TONOVO JARDIM - TOBRITA 1</v>
      </c>
      <c r="N411" s="85" t="s">
        <v>83</v>
      </c>
    </row>
    <row r="412" spans="2:14" x14ac:dyDescent="0.25">
      <c r="B412" s="91">
        <v>46072</v>
      </c>
      <c r="C412" s="63">
        <v>1</v>
      </c>
      <c r="D412" s="63" t="s">
        <v>219</v>
      </c>
      <c r="E412" s="65" t="s">
        <v>220</v>
      </c>
      <c r="F412" s="63" t="s">
        <v>163</v>
      </c>
      <c r="G412" s="63" t="s">
        <v>164</v>
      </c>
      <c r="H412" s="63">
        <v>52</v>
      </c>
      <c r="I412" s="65" t="s">
        <v>175</v>
      </c>
      <c r="J412" s="63">
        <v>602</v>
      </c>
      <c r="K412" s="64">
        <v>1158.25</v>
      </c>
      <c r="L412" s="63" t="s">
        <v>710</v>
      </c>
      <c r="M412" s="65" t="str">
        <f t="shared" si="6"/>
        <v>BRASIL MINERACAOUA SAO LUISBRITA 0</v>
      </c>
      <c r="N412" s="85" t="s">
        <v>1063</v>
      </c>
    </row>
    <row r="413" spans="2:14" x14ac:dyDescent="0.25">
      <c r="B413" s="91">
        <v>46072</v>
      </c>
      <c r="C413" s="63">
        <v>1</v>
      </c>
      <c r="D413" s="63" t="s">
        <v>219</v>
      </c>
      <c r="E413" s="65" t="s">
        <v>220</v>
      </c>
      <c r="F413" s="63" t="s">
        <v>163</v>
      </c>
      <c r="G413" s="63" t="s">
        <v>164</v>
      </c>
      <c r="H413" s="63">
        <v>52</v>
      </c>
      <c r="I413" s="65" t="s">
        <v>175</v>
      </c>
      <c r="J413" s="63">
        <v>539</v>
      </c>
      <c r="K413" s="64">
        <v>1037.04</v>
      </c>
      <c r="L413" s="63" t="s">
        <v>711</v>
      </c>
      <c r="M413" s="65" t="str">
        <f t="shared" si="6"/>
        <v>BRASIL MINERACAOUA SAO LUISBRITA 0</v>
      </c>
      <c r="N413" s="85" t="s">
        <v>1063</v>
      </c>
    </row>
    <row r="414" spans="2:14" x14ac:dyDescent="0.25">
      <c r="B414" s="91">
        <v>46072</v>
      </c>
      <c r="C414" s="63">
        <v>1</v>
      </c>
      <c r="D414" s="63" t="s">
        <v>219</v>
      </c>
      <c r="E414" s="65" t="s">
        <v>220</v>
      </c>
      <c r="F414" s="63" t="s">
        <v>163</v>
      </c>
      <c r="G414" s="63" t="s">
        <v>164</v>
      </c>
      <c r="H414" s="63">
        <v>52</v>
      </c>
      <c r="I414" s="65" t="s">
        <v>175</v>
      </c>
      <c r="J414" s="63">
        <v>577</v>
      </c>
      <c r="K414" s="64">
        <v>1110.1500000000001</v>
      </c>
      <c r="L414" s="63" t="s">
        <v>712</v>
      </c>
      <c r="M414" s="65" t="str">
        <f t="shared" si="6"/>
        <v>BRASIL MINERACAOUA SAO LUISBRITA 0</v>
      </c>
      <c r="N414" s="85" t="s">
        <v>1063</v>
      </c>
    </row>
    <row r="415" spans="2:14" x14ac:dyDescent="0.25">
      <c r="B415" s="91">
        <v>46072</v>
      </c>
      <c r="C415" s="63">
        <v>1</v>
      </c>
      <c r="D415" s="63" t="s">
        <v>170</v>
      </c>
      <c r="E415" s="65" t="s">
        <v>171</v>
      </c>
      <c r="F415" s="63" t="s">
        <v>166</v>
      </c>
      <c r="G415" s="63" t="s">
        <v>111</v>
      </c>
      <c r="H415" s="63">
        <v>79</v>
      </c>
      <c r="I415" s="65" t="s">
        <v>172</v>
      </c>
      <c r="J415" s="63">
        <v>2402</v>
      </c>
      <c r="K415" s="64">
        <v>702.1</v>
      </c>
      <c r="L415" s="63" t="s">
        <v>713</v>
      </c>
      <c r="M415" s="65" t="str">
        <f t="shared" si="6"/>
        <v>GRANORTEBEIRA RIOBICA CORRIDA</v>
      </c>
      <c r="N415" s="85" t="s">
        <v>111</v>
      </c>
    </row>
    <row r="416" spans="2:14" x14ac:dyDescent="0.25">
      <c r="B416" s="91">
        <v>46072</v>
      </c>
      <c r="C416" s="63">
        <v>1</v>
      </c>
      <c r="D416" s="63" t="s">
        <v>496</v>
      </c>
      <c r="E416" s="65" t="s">
        <v>497</v>
      </c>
      <c r="F416" s="63" t="s">
        <v>163</v>
      </c>
      <c r="G416" s="63" t="s">
        <v>164</v>
      </c>
      <c r="H416" s="63">
        <v>52</v>
      </c>
      <c r="I416" s="65" t="s">
        <v>195</v>
      </c>
      <c r="J416" s="63">
        <v>2568</v>
      </c>
      <c r="K416" s="64">
        <v>494.08</v>
      </c>
      <c r="L416" s="63" t="s">
        <v>714</v>
      </c>
      <c r="M416" s="65" t="str">
        <f t="shared" si="6"/>
        <v>BRASIL MINERACAOUA SAO LUISBRITA 1</v>
      </c>
      <c r="N416" s="85" t="s">
        <v>1063</v>
      </c>
    </row>
    <row r="417" spans="2:14" x14ac:dyDescent="0.25">
      <c r="B417" s="91">
        <v>46072</v>
      </c>
      <c r="C417" s="63">
        <v>1</v>
      </c>
      <c r="D417" s="63" t="s">
        <v>176</v>
      </c>
      <c r="E417" s="65" t="s">
        <v>177</v>
      </c>
      <c r="F417" s="63" t="s">
        <v>166</v>
      </c>
      <c r="G417" s="63" t="s">
        <v>164</v>
      </c>
      <c r="H417" s="63">
        <v>58</v>
      </c>
      <c r="I417" s="65" t="s">
        <v>165</v>
      </c>
      <c r="J417" s="63">
        <v>4522</v>
      </c>
      <c r="K417" s="64">
        <v>970.42</v>
      </c>
      <c r="L417" s="63" t="s">
        <v>715</v>
      </c>
      <c r="M417" s="65" t="str">
        <f t="shared" si="6"/>
        <v>GRANORTEUA SAO LUISPÓ DE BRITA</v>
      </c>
      <c r="N417" s="85" t="s">
        <v>1063</v>
      </c>
    </row>
    <row r="418" spans="2:14" x14ac:dyDescent="0.25">
      <c r="B418" s="91">
        <v>46072</v>
      </c>
      <c r="C418" s="63">
        <v>1</v>
      </c>
      <c r="D418" s="63" t="s">
        <v>203</v>
      </c>
      <c r="E418" s="65" t="s">
        <v>204</v>
      </c>
      <c r="F418" s="63" t="s">
        <v>166</v>
      </c>
      <c r="G418" s="63" t="s">
        <v>164</v>
      </c>
      <c r="H418" s="63">
        <v>58</v>
      </c>
      <c r="I418" s="65" t="s">
        <v>172</v>
      </c>
      <c r="J418" s="63">
        <v>4454</v>
      </c>
      <c r="K418" s="64">
        <v>955.83</v>
      </c>
      <c r="L418" s="63" t="s">
        <v>716</v>
      </c>
      <c r="M418" s="65" t="str">
        <f t="shared" si="6"/>
        <v>GRANORTEUA SAO LUISBICA CORRIDA</v>
      </c>
      <c r="N418" s="85" t="s">
        <v>1063</v>
      </c>
    </row>
    <row r="419" spans="2:14" x14ac:dyDescent="0.25">
      <c r="B419" s="91">
        <v>46072</v>
      </c>
      <c r="C419" s="63">
        <v>1</v>
      </c>
      <c r="D419" s="63" t="s">
        <v>210</v>
      </c>
      <c r="E419" s="65" t="s">
        <v>211</v>
      </c>
      <c r="F419" s="63" t="s">
        <v>166</v>
      </c>
      <c r="G419" s="63" t="s">
        <v>164</v>
      </c>
      <c r="H419" s="63">
        <v>58</v>
      </c>
      <c r="I419" s="65" t="s">
        <v>172</v>
      </c>
      <c r="J419" s="63">
        <v>507</v>
      </c>
      <c r="K419" s="64">
        <v>1088.02</v>
      </c>
      <c r="L419" s="63" t="s">
        <v>717</v>
      </c>
      <c r="M419" s="65" t="str">
        <f t="shared" si="6"/>
        <v>GRANORTEUA SAO LUISBICA CORRIDA</v>
      </c>
      <c r="N419" s="85" t="s">
        <v>1063</v>
      </c>
    </row>
    <row r="420" spans="2:14" x14ac:dyDescent="0.25">
      <c r="B420" s="91">
        <v>46072</v>
      </c>
      <c r="C420" s="63">
        <v>1</v>
      </c>
      <c r="D420" s="63" t="s">
        <v>162</v>
      </c>
      <c r="E420" s="65" t="s">
        <v>281</v>
      </c>
      <c r="F420" s="63" t="s">
        <v>166</v>
      </c>
      <c r="G420" s="63" t="s">
        <v>164</v>
      </c>
      <c r="H420" s="63">
        <v>58</v>
      </c>
      <c r="I420" s="65" t="s">
        <v>175</v>
      </c>
      <c r="J420" s="63">
        <v>2546</v>
      </c>
      <c r="K420" s="64">
        <v>546.37</v>
      </c>
      <c r="L420" s="63" t="s">
        <v>718</v>
      </c>
      <c r="M420" s="65" t="str">
        <f t="shared" si="6"/>
        <v>GRANORTEUA SAO LUISBRITA 0</v>
      </c>
      <c r="N420" s="85" t="s">
        <v>1063</v>
      </c>
    </row>
    <row r="421" spans="2:14" x14ac:dyDescent="0.25">
      <c r="B421" s="91">
        <v>46072</v>
      </c>
      <c r="C421" s="63">
        <v>1</v>
      </c>
      <c r="D421" s="63" t="s">
        <v>496</v>
      </c>
      <c r="E421" s="65" t="s">
        <v>497</v>
      </c>
      <c r="F421" s="63" t="s">
        <v>163</v>
      </c>
      <c r="G421" s="63" t="s">
        <v>164</v>
      </c>
      <c r="H421" s="63">
        <v>52</v>
      </c>
      <c r="I421" s="65" t="s">
        <v>195</v>
      </c>
      <c r="J421" s="63">
        <v>2566</v>
      </c>
      <c r="K421" s="64">
        <v>493.7</v>
      </c>
      <c r="L421" s="63" t="s">
        <v>719</v>
      </c>
      <c r="M421" s="65" t="str">
        <f t="shared" si="6"/>
        <v>BRASIL MINERACAOUA SAO LUISBRITA 1</v>
      </c>
      <c r="N421" s="85" t="s">
        <v>1063</v>
      </c>
    </row>
    <row r="422" spans="2:14" x14ac:dyDescent="0.25">
      <c r="B422" s="91">
        <v>46072</v>
      </c>
      <c r="C422" s="63">
        <v>1</v>
      </c>
      <c r="D422" s="63" t="s">
        <v>199</v>
      </c>
      <c r="E422" s="65" t="s">
        <v>180</v>
      </c>
      <c r="F422" s="63" t="s">
        <v>163</v>
      </c>
      <c r="G422" s="63" t="s">
        <v>111</v>
      </c>
      <c r="H422" s="63">
        <v>75</v>
      </c>
      <c r="I422" s="65" t="s">
        <v>185</v>
      </c>
      <c r="J422" s="63">
        <v>2388</v>
      </c>
      <c r="K422" s="64">
        <v>662.67</v>
      </c>
      <c r="L422" s="63" t="s">
        <v>720</v>
      </c>
      <c r="M422" s="65" t="str">
        <f t="shared" si="6"/>
        <v>BRASIL MINERACAOBEIRA RIORACHÃOZINHO</v>
      </c>
      <c r="N422" s="85" t="s">
        <v>111</v>
      </c>
    </row>
    <row r="423" spans="2:14" x14ac:dyDescent="0.25">
      <c r="B423" s="91">
        <v>46072</v>
      </c>
      <c r="C423" s="63">
        <v>1</v>
      </c>
      <c r="D423" s="63" t="s">
        <v>188</v>
      </c>
      <c r="E423" s="65" t="s">
        <v>189</v>
      </c>
      <c r="F423" s="63" t="s">
        <v>166</v>
      </c>
      <c r="G423" s="63" t="s">
        <v>164</v>
      </c>
      <c r="H423" s="63">
        <v>58</v>
      </c>
      <c r="I423" s="65" t="s">
        <v>172</v>
      </c>
      <c r="J423" s="63">
        <v>480</v>
      </c>
      <c r="K423" s="64">
        <v>1030.08</v>
      </c>
      <c r="L423" s="63" t="s">
        <v>721</v>
      </c>
      <c r="M423" s="65" t="str">
        <f t="shared" si="6"/>
        <v>GRANORTEUA SAO LUISBICA CORRIDA</v>
      </c>
      <c r="N423" s="85" t="s">
        <v>1063</v>
      </c>
    </row>
    <row r="424" spans="2:14" x14ac:dyDescent="0.25">
      <c r="B424" s="91">
        <v>46072</v>
      </c>
      <c r="C424" s="63">
        <v>1</v>
      </c>
      <c r="D424" s="63" t="s">
        <v>170</v>
      </c>
      <c r="E424" s="65" t="s">
        <v>171</v>
      </c>
      <c r="F424" s="63" t="s">
        <v>166</v>
      </c>
      <c r="G424" s="63" t="s">
        <v>164</v>
      </c>
      <c r="H424" s="63">
        <v>58</v>
      </c>
      <c r="I424" s="65" t="s">
        <v>172</v>
      </c>
      <c r="J424" s="63">
        <v>2542</v>
      </c>
      <c r="K424" s="64">
        <v>545.51</v>
      </c>
      <c r="L424" s="63" t="s">
        <v>722</v>
      </c>
      <c r="M424" s="65" t="str">
        <f t="shared" si="6"/>
        <v>GRANORTEUA SAO LUISBICA CORRIDA</v>
      </c>
      <c r="N424" s="85" t="s">
        <v>1063</v>
      </c>
    </row>
    <row r="425" spans="2:14" x14ac:dyDescent="0.25">
      <c r="B425" s="91">
        <v>46072</v>
      </c>
      <c r="C425" s="63">
        <v>1</v>
      </c>
      <c r="D425" s="63" t="s">
        <v>200</v>
      </c>
      <c r="E425" s="65" t="s">
        <v>201</v>
      </c>
      <c r="F425" s="63" t="s">
        <v>166</v>
      </c>
      <c r="G425" s="63" t="s">
        <v>164</v>
      </c>
      <c r="H425" s="63">
        <v>58</v>
      </c>
      <c r="I425" s="65" t="s">
        <v>172</v>
      </c>
      <c r="J425" s="63">
        <v>481</v>
      </c>
      <c r="K425" s="64">
        <v>1032.23</v>
      </c>
      <c r="L425" s="63" t="s">
        <v>723</v>
      </c>
      <c r="M425" s="65" t="str">
        <f t="shared" si="6"/>
        <v>GRANORTEUA SAO LUISBICA CORRIDA</v>
      </c>
      <c r="N425" s="85" t="s">
        <v>1063</v>
      </c>
    </row>
    <row r="426" spans="2:14" x14ac:dyDescent="0.25">
      <c r="B426" s="91">
        <v>46072</v>
      </c>
      <c r="C426" s="63">
        <v>1</v>
      </c>
      <c r="D426" s="63" t="s">
        <v>162</v>
      </c>
      <c r="E426" s="65" t="s">
        <v>281</v>
      </c>
      <c r="F426" s="63" t="s">
        <v>163</v>
      </c>
      <c r="G426" s="63" t="s">
        <v>164</v>
      </c>
      <c r="H426" s="63">
        <v>52</v>
      </c>
      <c r="I426" s="65" t="s">
        <v>185</v>
      </c>
      <c r="J426" s="63">
        <v>2542</v>
      </c>
      <c r="K426" s="64">
        <v>489.08</v>
      </c>
      <c r="L426" s="63" t="s">
        <v>724</v>
      </c>
      <c r="M426" s="65" t="str">
        <f t="shared" si="6"/>
        <v>BRASIL MINERACAOUA SAO LUISRACHÃOZINHO</v>
      </c>
      <c r="N426" s="85" t="s">
        <v>1063</v>
      </c>
    </row>
    <row r="427" spans="2:14" x14ac:dyDescent="0.25">
      <c r="B427" s="91">
        <v>46072</v>
      </c>
      <c r="C427" s="63">
        <v>1</v>
      </c>
      <c r="D427" s="63" t="s">
        <v>179</v>
      </c>
      <c r="E427" s="65" t="s">
        <v>282</v>
      </c>
      <c r="F427" s="63" t="s">
        <v>163</v>
      </c>
      <c r="G427" s="63" t="s">
        <v>111</v>
      </c>
      <c r="H427" s="63">
        <v>75</v>
      </c>
      <c r="I427" s="65" t="s">
        <v>185</v>
      </c>
      <c r="J427" s="63">
        <v>242</v>
      </c>
      <c r="K427" s="64">
        <v>671.55</v>
      </c>
      <c r="L427" s="63" t="s">
        <v>725</v>
      </c>
      <c r="M427" s="65" t="str">
        <f t="shared" si="6"/>
        <v>BRASIL MINERACAOBEIRA RIORACHÃOZINHO</v>
      </c>
      <c r="N427" s="85" t="s">
        <v>111</v>
      </c>
    </row>
    <row r="428" spans="2:14" x14ac:dyDescent="0.25">
      <c r="B428" s="91">
        <v>46072</v>
      </c>
      <c r="C428" s="63">
        <v>1</v>
      </c>
      <c r="D428" s="63" t="s">
        <v>173</v>
      </c>
      <c r="E428" s="65" t="s">
        <v>174</v>
      </c>
      <c r="F428" s="63" t="s">
        <v>166</v>
      </c>
      <c r="G428" s="63" t="s">
        <v>111</v>
      </c>
      <c r="H428" s="63">
        <v>79</v>
      </c>
      <c r="I428" s="65" t="s">
        <v>216</v>
      </c>
      <c r="J428" s="63">
        <v>2202</v>
      </c>
      <c r="K428" s="64">
        <v>643.64</v>
      </c>
      <c r="L428" s="63" t="s">
        <v>726</v>
      </c>
      <c r="M428" s="65" t="str">
        <f t="shared" si="6"/>
        <v>GRANORTEBEIRA RIOBRITA 3</v>
      </c>
      <c r="N428" s="85" t="s">
        <v>111</v>
      </c>
    </row>
    <row r="429" spans="2:14" x14ac:dyDescent="0.25">
      <c r="B429" s="91">
        <v>46072</v>
      </c>
      <c r="C429" s="63">
        <v>1</v>
      </c>
      <c r="D429" s="63" t="s">
        <v>202</v>
      </c>
      <c r="E429" s="65" t="s">
        <v>214</v>
      </c>
      <c r="F429" s="63" t="s">
        <v>166</v>
      </c>
      <c r="G429" s="63" t="s">
        <v>164</v>
      </c>
      <c r="H429" s="63">
        <v>58</v>
      </c>
      <c r="I429" s="65" t="s">
        <v>172</v>
      </c>
      <c r="J429" s="63">
        <v>4666</v>
      </c>
      <c r="K429" s="64">
        <v>1001.32</v>
      </c>
      <c r="L429" s="63" t="s">
        <v>727</v>
      </c>
      <c r="M429" s="65" t="str">
        <f t="shared" si="6"/>
        <v>GRANORTEUA SAO LUISBICA CORRIDA</v>
      </c>
      <c r="N429" s="85" t="s">
        <v>1063</v>
      </c>
    </row>
    <row r="430" spans="2:14" x14ac:dyDescent="0.25">
      <c r="B430" s="91">
        <v>46072</v>
      </c>
      <c r="C430" s="63">
        <v>1</v>
      </c>
      <c r="D430" s="63" t="s">
        <v>188</v>
      </c>
      <c r="E430" s="65" t="s">
        <v>189</v>
      </c>
      <c r="F430" s="63" t="s">
        <v>166</v>
      </c>
      <c r="G430" s="63" t="s">
        <v>164</v>
      </c>
      <c r="H430" s="63">
        <v>58</v>
      </c>
      <c r="I430" s="65" t="s">
        <v>172</v>
      </c>
      <c r="J430" s="63">
        <v>470</v>
      </c>
      <c r="K430" s="64">
        <v>1008.62</v>
      </c>
      <c r="L430" s="63" t="s">
        <v>728</v>
      </c>
      <c r="M430" s="65" t="str">
        <f t="shared" si="6"/>
        <v>GRANORTEUA SAO LUISBICA CORRIDA</v>
      </c>
      <c r="N430" s="85" t="s">
        <v>1063</v>
      </c>
    </row>
    <row r="431" spans="2:14" x14ac:dyDescent="0.25">
      <c r="B431" s="91">
        <v>46072</v>
      </c>
      <c r="C431" s="63">
        <v>1</v>
      </c>
      <c r="D431" s="63" t="s">
        <v>210</v>
      </c>
      <c r="E431" s="65" t="s">
        <v>211</v>
      </c>
      <c r="F431" s="63" t="s">
        <v>166</v>
      </c>
      <c r="G431" s="63" t="s">
        <v>164</v>
      </c>
      <c r="H431" s="63">
        <v>58</v>
      </c>
      <c r="I431" s="65" t="s">
        <v>172</v>
      </c>
      <c r="J431" s="63">
        <v>4586</v>
      </c>
      <c r="K431" s="64">
        <v>984.16</v>
      </c>
      <c r="L431" s="63" t="s">
        <v>729</v>
      </c>
      <c r="M431" s="65" t="str">
        <f t="shared" si="6"/>
        <v>GRANORTEUA SAO LUISBICA CORRIDA</v>
      </c>
      <c r="N431" s="85" t="s">
        <v>1063</v>
      </c>
    </row>
    <row r="432" spans="2:14" x14ac:dyDescent="0.25">
      <c r="B432" s="91">
        <v>46072</v>
      </c>
      <c r="C432" s="63">
        <v>1</v>
      </c>
      <c r="D432" s="63" t="s">
        <v>203</v>
      </c>
      <c r="E432" s="65" t="s">
        <v>204</v>
      </c>
      <c r="F432" s="63" t="s">
        <v>166</v>
      </c>
      <c r="G432" s="63" t="s">
        <v>164</v>
      </c>
      <c r="H432" s="63">
        <v>58</v>
      </c>
      <c r="I432" s="65" t="s">
        <v>172</v>
      </c>
      <c r="J432" s="63">
        <v>4584</v>
      </c>
      <c r="K432" s="64">
        <v>983.73</v>
      </c>
      <c r="L432" s="63" t="s">
        <v>730</v>
      </c>
      <c r="M432" s="65" t="str">
        <f t="shared" si="6"/>
        <v>GRANORTEUA SAO LUISBICA CORRIDA</v>
      </c>
      <c r="N432" s="85" t="s">
        <v>1063</v>
      </c>
    </row>
    <row r="433" spans="2:14" x14ac:dyDescent="0.25">
      <c r="B433" s="91">
        <v>46072</v>
      </c>
      <c r="C433" s="63">
        <v>1</v>
      </c>
      <c r="D433" s="63" t="s">
        <v>283</v>
      </c>
      <c r="E433" s="65" t="s">
        <v>215</v>
      </c>
      <c r="F433" s="63" t="s">
        <v>166</v>
      </c>
      <c r="G433" s="63" t="s">
        <v>164</v>
      </c>
      <c r="H433" s="63">
        <v>58</v>
      </c>
      <c r="I433" s="65" t="s">
        <v>172</v>
      </c>
      <c r="J433" s="63">
        <v>2684</v>
      </c>
      <c r="K433" s="64">
        <v>575.99</v>
      </c>
      <c r="L433" s="63" t="s">
        <v>731</v>
      </c>
      <c r="M433" s="65" t="str">
        <f t="shared" si="6"/>
        <v>GRANORTEUA SAO LUISBICA CORRIDA</v>
      </c>
      <c r="N433" s="85" t="s">
        <v>1063</v>
      </c>
    </row>
    <row r="434" spans="2:14" x14ac:dyDescent="0.25">
      <c r="B434" s="91">
        <v>46072</v>
      </c>
      <c r="C434" s="63">
        <v>1</v>
      </c>
      <c r="D434" s="63" t="s">
        <v>199</v>
      </c>
      <c r="E434" s="65" t="s">
        <v>180</v>
      </c>
      <c r="F434" s="63" t="s">
        <v>163</v>
      </c>
      <c r="G434" s="63" t="s">
        <v>111</v>
      </c>
      <c r="H434" s="63">
        <v>75</v>
      </c>
      <c r="I434" s="65" t="s">
        <v>185</v>
      </c>
      <c r="J434" s="63">
        <v>3134</v>
      </c>
      <c r="K434" s="64">
        <v>869.69</v>
      </c>
      <c r="L434" s="63" t="s">
        <v>732</v>
      </c>
      <c r="M434" s="65" t="str">
        <f t="shared" si="6"/>
        <v>BRASIL MINERACAOBEIRA RIORACHÃOZINHO</v>
      </c>
      <c r="N434" s="85" t="s">
        <v>111</v>
      </c>
    </row>
    <row r="435" spans="2:14" x14ac:dyDescent="0.25">
      <c r="B435" s="91">
        <v>46072</v>
      </c>
      <c r="C435" s="63">
        <v>1</v>
      </c>
      <c r="D435" s="63" t="s">
        <v>183</v>
      </c>
      <c r="E435" s="65" t="s">
        <v>506</v>
      </c>
      <c r="F435" s="63" t="s">
        <v>166</v>
      </c>
      <c r="G435" s="63" t="s">
        <v>164</v>
      </c>
      <c r="H435" s="63">
        <v>58</v>
      </c>
      <c r="I435" s="65" t="s">
        <v>172</v>
      </c>
      <c r="J435" s="63">
        <v>2672</v>
      </c>
      <c r="K435" s="64">
        <v>573.41</v>
      </c>
      <c r="L435" s="63" t="s">
        <v>733</v>
      </c>
      <c r="M435" s="65" t="str">
        <f t="shared" si="6"/>
        <v>GRANORTEUA SAO LUISBICA CORRIDA</v>
      </c>
      <c r="N435" s="85" t="s">
        <v>1063</v>
      </c>
    </row>
    <row r="436" spans="2:14" x14ac:dyDescent="0.25">
      <c r="B436" s="91">
        <v>46072</v>
      </c>
      <c r="C436" s="63">
        <v>1</v>
      </c>
      <c r="D436" s="63" t="s">
        <v>270</v>
      </c>
      <c r="E436" s="65" t="s">
        <v>288</v>
      </c>
      <c r="F436" s="63" t="s">
        <v>166</v>
      </c>
      <c r="G436" s="63" t="s">
        <v>164</v>
      </c>
      <c r="H436" s="63">
        <v>58</v>
      </c>
      <c r="I436" s="65" t="s">
        <v>172</v>
      </c>
      <c r="J436" s="63">
        <v>4694</v>
      </c>
      <c r="K436" s="64">
        <v>1007.33</v>
      </c>
      <c r="L436" s="63" t="s">
        <v>734</v>
      </c>
      <c r="M436" s="65" t="str">
        <f t="shared" si="6"/>
        <v>GRANORTEUA SAO LUISBICA CORRIDA</v>
      </c>
      <c r="N436" s="85" t="s">
        <v>1063</v>
      </c>
    </row>
    <row r="437" spans="2:14" x14ac:dyDescent="0.25">
      <c r="B437" s="91">
        <v>46072</v>
      </c>
      <c r="C437" s="63">
        <v>1</v>
      </c>
      <c r="D437" s="63" t="s">
        <v>270</v>
      </c>
      <c r="E437" s="65" t="s">
        <v>288</v>
      </c>
      <c r="F437" s="63" t="s">
        <v>166</v>
      </c>
      <c r="G437" s="63" t="s">
        <v>164</v>
      </c>
      <c r="H437" s="63">
        <v>58</v>
      </c>
      <c r="I437" s="65" t="s">
        <v>172</v>
      </c>
      <c r="J437" s="63">
        <v>437</v>
      </c>
      <c r="K437" s="64">
        <v>937.8</v>
      </c>
      <c r="L437" s="63" t="s">
        <v>735</v>
      </c>
      <c r="M437" s="65" t="str">
        <f t="shared" si="6"/>
        <v>GRANORTEUA SAO LUISBICA CORRIDA</v>
      </c>
      <c r="N437" s="85" t="s">
        <v>1063</v>
      </c>
    </row>
    <row r="438" spans="2:14" x14ac:dyDescent="0.25">
      <c r="B438" s="91">
        <v>46072</v>
      </c>
      <c r="C438" s="63">
        <v>1</v>
      </c>
      <c r="D438" s="63" t="s">
        <v>270</v>
      </c>
      <c r="E438" s="65" t="s">
        <v>288</v>
      </c>
      <c r="F438" s="63" t="s">
        <v>166</v>
      </c>
      <c r="G438" s="63" t="s">
        <v>164</v>
      </c>
      <c r="H438" s="63">
        <v>58</v>
      </c>
      <c r="I438" s="65" t="s">
        <v>165</v>
      </c>
      <c r="J438" s="63">
        <v>4698</v>
      </c>
      <c r="K438" s="64">
        <v>1008.19</v>
      </c>
      <c r="L438" s="63" t="s">
        <v>736</v>
      </c>
      <c r="M438" s="65" t="str">
        <f t="shared" si="6"/>
        <v>GRANORTEUA SAO LUISPÓ DE BRITA</v>
      </c>
      <c r="N438" s="85" t="s">
        <v>1063</v>
      </c>
    </row>
    <row r="439" spans="2:14" x14ac:dyDescent="0.25">
      <c r="B439" s="91">
        <v>46072</v>
      </c>
      <c r="C439" s="63">
        <v>1</v>
      </c>
      <c r="D439" s="63" t="s">
        <v>186</v>
      </c>
      <c r="E439" s="65" t="s">
        <v>187</v>
      </c>
      <c r="F439" s="63" t="s">
        <v>166</v>
      </c>
      <c r="G439" s="63" t="s">
        <v>164</v>
      </c>
      <c r="H439" s="63">
        <v>58</v>
      </c>
      <c r="I439" s="65" t="s">
        <v>172</v>
      </c>
      <c r="J439" s="63">
        <v>6208</v>
      </c>
      <c r="K439" s="64">
        <v>1332.24</v>
      </c>
      <c r="L439" s="63" t="s">
        <v>737</v>
      </c>
      <c r="M439" s="65" t="str">
        <f t="shared" si="6"/>
        <v>GRANORTEUA SAO LUISBICA CORRIDA</v>
      </c>
      <c r="N439" s="85" t="s">
        <v>1063</v>
      </c>
    </row>
    <row r="440" spans="2:14" x14ac:dyDescent="0.25">
      <c r="B440" s="91">
        <v>46072</v>
      </c>
      <c r="C440" s="63">
        <v>1</v>
      </c>
      <c r="D440" s="63" t="s">
        <v>193</v>
      </c>
      <c r="E440" s="65" t="s">
        <v>285</v>
      </c>
      <c r="F440" s="63" t="s">
        <v>166</v>
      </c>
      <c r="G440" s="63" t="s">
        <v>111</v>
      </c>
      <c r="H440" s="63">
        <v>79</v>
      </c>
      <c r="I440" s="65" t="s">
        <v>172</v>
      </c>
      <c r="J440" s="63">
        <v>2388</v>
      </c>
      <c r="K440" s="64">
        <v>698.01</v>
      </c>
      <c r="L440" s="63" t="s">
        <v>738</v>
      </c>
      <c r="M440" s="65" t="str">
        <f t="shared" si="6"/>
        <v>GRANORTEBEIRA RIOBICA CORRIDA</v>
      </c>
      <c r="N440" s="85" t="s">
        <v>111</v>
      </c>
    </row>
    <row r="441" spans="2:14" x14ac:dyDescent="0.25">
      <c r="B441" s="91">
        <v>46072</v>
      </c>
      <c r="C441" s="63">
        <v>1</v>
      </c>
      <c r="D441" s="63" t="s">
        <v>192</v>
      </c>
      <c r="E441" s="65" t="s">
        <v>287</v>
      </c>
      <c r="F441" s="63" t="s">
        <v>166</v>
      </c>
      <c r="G441" s="63" t="s">
        <v>164</v>
      </c>
      <c r="H441" s="63">
        <v>58</v>
      </c>
      <c r="I441" s="65" t="s">
        <v>165</v>
      </c>
      <c r="J441" s="63">
        <v>4766</v>
      </c>
      <c r="K441" s="64">
        <v>1022.78</v>
      </c>
      <c r="L441" s="63" t="s">
        <v>739</v>
      </c>
      <c r="M441" s="65" t="str">
        <f t="shared" si="6"/>
        <v>GRANORTEUA SAO LUISPÓ DE BRITA</v>
      </c>
      <c r="N441" s="85" t="s">
        <v>1063</v>
      </c>
    </row>
    <row r="442" spans="2:14" x14ac:dyDescent="0.25">
      <c r="B442" s="91">
        <v>46072</v>
      </c>
      <c r="C442" s="63">
        <v>1</v>
      </c>
      <c r="D442" s="63" t="s">
        <v>192</v>
      </c>
      <c r="E442" s="65" t="s">
        <v>287</v>
      </c>
      <c r="F442" s="63" t="s">
        <v>166</v>
      </c>
      <c r="G442" s="63" t="s">
        <v>164</v>
      </c>
      <c r="H442" s="63">
        <v>58</v>
      </c>
      <c r="I442" s="65" t="s">
        <v>172</v>
      </c>
      <c r="J442" s="63">
        <v>4838</v>
      </c>
      <c r="K442" s="64">
        <v>1038.23</v>
      </c>
      <c r="L442" s="63" t="s">
        <v>740</v>
      </c>
      <c r="M442" s="65" t="str">
        <f t="shared" si="6"/>
        <v>GRANORTEUA SAO LUISBICA CORRIDA</v>
      </c>
      <c r="N442" s="85" t="s">
        <v>1063</v>
      </c>
    </row>
    <row r="443" spans="2:14" x14ac:dyDescent="0.25">
      <c r="B443" s="91">
        <v>46072</v>
      </c>
      <c r="C443" s="63">
        <v>1</v>
      </c>
      <c r="D443" s="63" t="s">
        <v>286</v>
      </c>
      <c r="E443" s="65" t="s">
        <v>343</v>
      </c>
      <c r="F443" s="63" t="s">
        <v>166</v>
      </c>
      <c r="G443" s="63" t="s">
        <v>164</v>
      </c>
      <c r="H443" s="63">
        <v>58</v>
      </c>
      <c r="I443" s="65" t="s">
        <v>172</v>
      </c>
      <c r="J443" s="63">
        <v>487</v>
      </c>
      <c r="K443" s="64">
        <v>1045.0999999999999</v>
      </c>
      <c r="L443" s="63" t="s">
        <v>741</v>
      </c>
      <c r="M443" s="65" t="str">
        <f t="shared" si="6"/>
        <v>GRANORTEUA SAO LUISBICA CORRIDA</v>
      </c>
      <c r="N443" s="85" t="s">
        <v>1063</v>
      </c>
    </row>
    <row r="444" spans="2:14" x14ac:dyDescent="0.25">
      <c r="B444" s="91">
        <v>46072</v>
      </c>
      <c r="C444" s="63">
        <v>2</v>
      </c>
      <c r="D444" s="63" t="s">
        <v>300</v>
      </c>
      <c r="E444" s="65" t="s">
        <v>301</v>
      </c>
      <c r="F444" s="63" t="s">
        <v>291</v>
      </c>
      <c r="G444" s="63" t="s">
        <v>759</v>
      </c>
      <c r="H444" s="63">
        <v>289</v>
      </c>
      <c r="I444" s="65" t="s">
        <v>221</v>
      </c>
      <c r="J444" s="63">
        <v>5012</v>
      </c>
      <c r="K444" s="64">
        <v>5359.33</v>
      </c>
      <c r="L444" s="63" t="s">
        <v>1008</v>
      </c>
      <c r="M444" s="65" t="str">
        <f t="shared" si="6"/>
        <v>MINERADORA PORTO FRANCO - MAVF CONSTRUTORA KM39BGS</v>
      </c>
      <c r="N444" s="85" t="s">
        <v>1065</v>
      </c>
    </row>
    <row r="445" spans="2:14" x14ac:dyDescent="0.25">
      <c r="B445" s="91">
        <v>46072</v>
      </c>
      <c r="C445" s="63">
        <v>2</v>
      </c>
      <c r="D445" s="63" t="s">
        <v>302</v>
      </c>
      <c r="E445" s="65" t="s">
        <v>303</v>
      </c>
      <c r="F445" s="63" t="s">
        <v>997</v>
      </c>
      <c r="G445" s="63" t="s">
        <v>1001</v>
      </c>
      <c r="H445" s="63">
        <v>255</v>
      </c>
      <c r="I445" s="65" t="s">
        <v>175</v>
      </c>
      <c r="J445" s="63">
        <v>5438</v>
      </c>
      <c r="K445" s="64">
        <v>5130.75</v>
      </c>
      <c r="L445" s="63" t="s">
        <v>1009</v>
      </c>
      <c r="M445" s="65" t="str">
        <f t="shared" si="6"/>
        <v>TAIPAS - TONOVO JARDIM - TOBRITA 0</v>
      </c>
      <c r="N445" s="85" t="s">
        <v>83</v>
      </c>
    </row>
    <row r="446" spans="2:14" x14ac:dyDescent="0.25">
      <c r="B446" s="91">
        <v>46073</v>
      </c>
      <c r="C446" s="63">
        <v>1</v>
      </c>
      <c r="D446" s="63" t="s">
        <v>196</v>
      </c>
      <c r="E446" s="65" t="s">
        <v>197</v>
      </c>
      <c r="F446" s="63" t="s">
        <v>166</v>
      </c>
      <c r="G446" s="63" t="s">
        <v>164</v>
      </c>
      <c r="H446" s="63">
        <v>58</v>
      </c>
      <c r="I446" s="65" t="s">
        <v>172</v>
      </c>
      <c r="J446" s="63">
        <v>480</v>
      </c>
      <c r="K446" s="64">
        <v>1030.08</v>
      </c>
      <c r="L446" s="63" t="s">
        <v>742</v>
      </c>
      <c r="M446" s="65" t="str">
        <f t="shared" si="6"/>
        <v>GRANORTEUA SAO LUISBICA CORRIDA</v>
      </c>
      <c r="N446" s="85" t="s">
        <v>1063</v>
      </c>
    </row>
    <row r="447" spans="2:14" x14ac:dyDescent="0.25">
      <c r="B447" s="91">
        <v>46073</v>
      </c>
      <c r="C447" s="63">
        <v>1</v>
      </c>
      <c r="D447" s="63" t="s">
        <v>196</v>
      </c>
      <c r="E447" s="65" t="s">
        <v>197</v>
      </c>
      <c r="F447" s="63" t="s">
        <v>166</v>
      </c>
      <c r="G447" s="63" t="s">
        <v>164</v>
      </c>
      <c r="H447" s="63">
        <v>58</v>
      </c>
      <c r="I447" s="65" t="s">
        <v>172</v>
      </c>
      <c r="J447" s="63">
        <v>5112</v>
      </c>
      <c r="K447" s="64">
        <v>1097.04</v>
      </c>
      <c r="L447" s="63" t="s">
        <v>743</v>
      </c>
      <c r="M447" s="65" t="str">
        <f t="shared" si="6"/>
        <v>GRANORTEUA SAO LUISBICA CORRIDA</v>
      </c>
      <c r="N447" s="85" t="s">
        <v>1063</v>
      </c>
    </row>
    <row r="448" spans="2:14" x14ac:dyDescent="0.25">
      <c r="B448" s="91">
        <v>46073</v>
      </c>
      <c r="C448" s="63">
        <v>1</v>
      </c>
      <c r="D448" s="63" t="s">
        <v>188</v>
      </c>
      <c r="E448" s="65" t="s">
        <v>189</v>
      </c>
      <c r="F448" s="63" t="s">
        <v>163</v>
      </c>
      <c r="G448" s="63" t="s">
        <v>164</v>
      </c>
      <c r="H448" s="63">
        <v>52</v>
      </c>
      <c r="I448" s="65" t="s">
        <v>165</v>
      </c>
      <c r="J448" s="63">
        <v>7054</v>
      </c>
      <c r="K448" s="64">
        <v>1357.19</v>
      </c>
      <c r="L448" s="63" t="s">
        <v>744</v>
      </c>
      <c r="M448" s="65" t="str">
        <f t="shared" si="6"/>
        <v>BRASIL MINERACAOUA SAO LUISPÓ DE BRITA</v>
      </c>
      <c r="N448" s="85" t="s">
        <v>1063</v>
      </c>
    </row>
    <row r="449" spans="2:14" x14ac:dyDescent="0.25">
      <c r="B449" s="91">
        <v>46073</v>
      </c>
      <c r="C449" s="63">
        <v>1</v>
      </c>
      <c r="D449" s="63" t="s">
        <v>176</v>
      </c>
      <c r="E449" s="65" t="s">
        <v>177</v>
      </c>
      <c r="F449" s="63" t="s">
        <v>166</v>
      </c>
      <c r="G449" s="63" t="s">
        <v>164</v>
      </c>
      <c r="H449" s="63">
        <v>58</v>
      </c>
      <c r="I449" s="65" t="s">
        <v>172</v>
      </c>
      <c r="J449" s="63">
        <v>4808</v>
      </c>
      <c r="K449" s="64">
        <v>1031.8</v>
      </c>
      <c r="L449" s="63" t="s">
        <v>745</v>
      </c>
      <c r="M449" s="65" t="str">
        <f t="shared" si="6"/>
        <v>GRANORTEUA SAO LUISBICA CORRIDA</v>
      </c>
      <c r="N449" s="85" t="s">
        <v>1063</v>
      </c>
    </row>
    <row r="450" spans="2:14" x14ac:dyDescent="0.25">
      <c r="B450" s="91">
        <v>46073</v>
      </c>
      <c r="C450" s="63">
        <v>1</v>
      </c>
      <c r="D450" s="63" t="s">
        <v>170</v>
      </c>
      <c r="E450" s="65" t="s">
        <v>171</v>
      </c>
      <c r="F450" s="63" t="s">
        <v>163</v>
      </c>
      <c r="G450" s="63" t="s">
        <v>111</v>
      </c>
      <c r="H450" s="63">
        <v>75</v>
      </c>
      <c r="I450" s="65" t="s">
        <v>185</v>
      </c>
      <c r="J450" s="63">
        <v>2544</v>
      </c>
      <c r="K450" s="64">
        <v>705.96</v>
      </c>
      <c r="L450" s="63" t="s">
        <v>746</v>
      </c>
      <c r="M450" s="65" t="str">
        <f t="shared" si="6"/>
        <v>BRASIL MINERACAOBEIRA RIORACHÃOZINHO</v>
      </c>
      <c r="N450" s="85" t="s">
        <v>111</v>
      </c>
    </row>
    <row r="451" spans="2:14" x14ac:dyDescent="0.25">
      <c r="B451" s="91">
        <v>46073</v>
      </c>
      <c r="C451" s="63">
        <v>1</v>
      </c>
      <c r="D451" s="63" t="s">
        <v>289</v>
      </c>
      <c r="E451" s="65" t="s">
        <v>290</v>
      </c>
      <c r="F451" s="63" t="s">
        <v>291</v>
      </c>
      <c r="G451" s="63" t="s">
        <v>747</v>
      </c>
      <c r="H451" s="63">
        <v>145</v>
      </c>
      <c r="I451" s="65" t="s">
        <v>175</v>
      </c>
      <c r="J451" s="63">
        <v>3456</v>
      </c>
      <c r="K451" s="64">
        <v>1854.14</v>
      </c>
      <c r="L451" s="63" t="s">
        <v>748</v>
      </c>
      <c r="M451" s="65" t="str">
        <f t="shared" si="6"/>
        <v>MINERADORA PORTO FRANCO - MAGRAJAU IDAN TORRESBRITA 0</v>
      </c>
      <c r="N451" s="85" t="s">
        <v>1065</v>
      </c>
    </row>
    <row r="452" spans="2:14" x14ac:dyDescent="0.25">
      <c r="B452" s="91">
        <v>46073</v>
      </c>
      <c r="C452" s="63">
        <v>1</v>
      </c>
      <c r="D452" s="63" t="s">
        <v>162</v>
      </c>
      <c r="E452" s="65" t="s">
        <v>281</v>
      </c>
      <c r="F452" s="63" t="s">
        <v>163</v>
      </c>
      <c r="G452" s="63" t="s">
        <v>164</v>
      </c>
      <c r="H452" s="63">
        <v>52</v>
      </c>
      <c r="I452" s="65" t="s">
        <v>185</v>
      </c>
      <c r="J452" s="63">
        <v>2552</v>
      </c>
      <c r="K452" s="64">
        <v>491</v>
      </c>
      <c r="L452" s="63" t="s">
        <v>749</v>
      </c>
      <c r="M452" s="65" t="str">
        <f t="shared" si="6"/>
        <v>BRASIL MINERACAOUA SAO LUISRACHÃOZINHO</v>
      </c>
      <c r="N452" s="85" t="s">
        <v>1063</v>
      </c>
    </row>
    <row r="453" spans="2:14" x14ac:dyDescent="0.25">
      <c r="B453" s="91">
        <v>46073</v>
      </c>
      <c r="C453" s="63">
        <v>1</v>
      </c>
      <c r="D453" s="63" t="s">
        <v>179</v>
      </c>
      <c r="E453" s="65" t="s">
        <v>282</v>
      </c>
      <c r="F453" s="63" t="s">
        <v>163</v>
      </c>
      <c r="G453" s="63" t="s">
        <v>111</v>
      </c>
      <c r="H453" s="63">
        <v>75</v>
      </c>
      <c r="I453" s="65" t="s">
        <v>185</v>
      </c>
      <c r="J453" s="63">
        <v>2604</v>
      </c>
      <c r="K453" s="64">
        <v>722.61</v>
      </c>
      <c r="L453" s="63" t="s">
        <v>750</v>
      </c>
      <c r="M453" s="65" t="str">
        <f t="shared" ref="M453:M516" si="7">F453&amp;G453&amp;I453</f>
        <v>BRASIL MINERACAOBEIRA RIORACHÃOZINHO</v>
      </c>
      <c r="N453" s="85" t="s">
        <v>111</v>
      </c>
    </row>
    <row r="454" spans="2:14" x14ac:dyDescent="0.25">
      <c r="B454" s="91">
        <v>46073</v>
      </c>
      <c r="C454" s="63">
        <v>1</v>
      </c>
      <c r="D454" s="63" t="s">
        <v>188</v>
      </c>
      <c r="E454" s="65" t="s">
        <v>189</v>
      </c>
      <c r="F454" s="63" t="s">
        <v>166</v>
      </c>
      <c r="G454" s="63" t="s">
        <v>164</v>
      </c>
      <c r="H454" s="63">
        <v>58</v>
      </c>
      <c r="I454" s="65" t="s">
        <v>175</v>
      </c>
      <c r="J454" s="63">
        <v>4896</v>
      </c>
      <c r="K454" s="64">
        <v>1050.68</v>
      </c>
      <c r="L454" s="63" t="s">
        <v>751</v>
      </c>
      <c r="M454" s="65" t="str">
        <f t="shared" si="7"/>
        <v>GRANORTEUA SAO LUISBRITA 0</v>
      </c>
      <c r="N454" s="85" t="s">
        <v>1063</v>
      </c>
    </row>
    <row r="455" spans="2:14" x14ac:dyDescent="0.25">
      <c r="B455" s="91">
        <v>46073</v>
      </c>
      <c r="C455" s="63">
        <v>1</v>
      </c>
      <c r="D455" s="63" t="s">
        <v>208</v>
      </c>
      <c r="E455" s="65" t="s">
        <v>209</v>
      </c>
      <c r="F455" s="63" t="s">
        <v>166</v>
      </c>
      <c r="G455" s="63" t="s">
        <v>164</v>
      </c>
      <c r="H455" s="63">
        <v>58</v>
      </c>
      <c r="I455" s="65" t="s">
        <v>165</v>
      </c>
      <c r="J455" s="63">
        <v>600</v>
      </c>
      <c r="K455" s="64">
        <v>1287.5999999999999</v>
      </c>
      <c r="L455" s="63" t="s">
        <v>752</v>
      </c>
      <c r="M455" s="65" t="str">
        <f t="shared" si="7"/>
        <v>GRANORTEUA SAO LUISPÓ DE BRITA</v>
      </c>
      <c r="N455" s="85" t="s">
        <v>1063</v>
      </c>
    </row>
    <row r="456" spans="2:14" x14ac:dyDescent="0.25">
      <c r="B456" s="91">
        <v>46073</v>
      </c>
      <c r="C456" s="63">
        <v>1</v>
      </c>
      <c r="D456" s="63" t="s">
        <v>196</v>
      </c>
      <c r="E456" s="65" t="s">
        <v>197</v>
      </c>
      <c r="F456" s="63" t="s">
        <v>166</v>
      </c>
      <c r="G456" s="63" t="s">
        <v>164</v>
      </c>
      <c r="H456" s="63">
        <v>58</v>
      </c>
      <c r="I456" s="65" t="s">
        <v>165</v>
      </c>
      <c r="J456" s="63">
        <v>4972</v>
      </c>
      <c r="K456" s="64">
        <v>1066.99</v>
      </c>
      <c r="L456" s="63" t="s">
        <v>753</v>
      </c>
      <c r="M456" s="65" t="str">
        <f t="shared" si="7"/>
        <v>GRANORTEUA SAO LUISPÓ DE BRITA</v>
      </c>
      <c r="N456" s="85" t="s">
        <v>1063</v>
      </c>
    </row>
    <row r="457" spans="2:14" x14ac:dyDescent="0.25">
      <c r="B457" s="91">
        <v>46073</v>
      </c>
      <c r="C457" s="63">
        <v>1</v>
      </c>
      <c r="D457" s="63" t="s">
        <v>173</v>
      </c>
      <c r="E457" s="65" t="s">
        <v>174</v>
      </c>
      <c r="F457" s="63" t="s">
        <v>163</v>
      </c>
      <c r="G457" s="63" t="s">
        <v>111</v>
      </c>
      <c r="H457" s="63">
        <v>75</v>
      </c>
      <c r="I457" s="65" t="s">
        <v>185</v>
      </c>
      <c r="J457" s="63">
        <v>2522</v>
      </c>
      <c r="K457" s="64">
        <v>699.86</v>
      </c>
      <c r="L457" s="63" t="s">
        <v>754</v>
      </c>
      <c r="M457" s="65" t="str">
        <f t="shared" si="7"/>
        <v>BRASIL MINERACAOBEIRA RIORACHÃOZINHO</v>
      </c>
      <c r="N457" s="85" t="s">
        <v>111</v>
      </c>
    </row>
    <row r="458" spans="2:14" x14ac:dyDescent="0.25">
      <c r="B458" s="91">
        <v>46073</v>
      </c>
      <c r="C458" s="63">
        <v>1</v>
      </c>
      <c r="D458" s="63" t="s">
        <v>202</v>
      </c>
      <c r="E458" s="65" t="s">
        <v>214</v>
      </c>
      <c r="F458" s="63" t="s">
        <v>166</v>
      </c>
      <c r="G458" s="63" t="s">
        <v>164</v>
      </c>
      <c r="H458" s="63">
        <v>58</v>
      </c>
      <c r="I458" s="65" t="s">
        <v>165</v>
      </c>
      <c r="J458" s="63">
        <v>7404</v>
      </c>
      <c r="K458" s="64">
        <v>1588.9</v>
      </c>
      <c r="L458" s="63" t="s">
        <v>755</v>
      </c>
      <c r="M458" s="65" t="str">
        <f t="shared" si="7"/>
        <v>GRANORTEUA SAO LUISPÓ DE BRITA</v>
      </c>
      <c r="N458" s="85" t="s">
        <v>1063</v>
      </c>
    </row>
    <row r="459" spans="2:14" x14ac:dyDescent="0.25">
      <c r="B459" s="91">
        <v>46073</v>
      </c>
      <c r="C459" s="63">
        <v>1</v>
      </c>
      <c r="D459" s="63" t="s">
        <v>202</v>
      </c>
      <c r="E459" s="65" t="s">
        <v>214</v>
      </c>
      <c r="F459" s="63" t="s">
        <v>163</v>
      </c>
      <c r="G459" s="63" t="s">
        <v>164</v>
      </c>
      <c r="H459" s="63">
        <v>52</v>
      </c>
      <c r="I459" s="65" t="s">
        <v>165</v>
      </c>
      <c r="J459" s="63">
        <v>4768</v>
      </c>
      <c r="K459" s="64">
        <v>917.36</v>
      </c>
      <c r="L459" s="63" t="s">
        <v>756</v>
      </c>
      <c r="M459" s="65" t="str">
        <f t="shared" si="7"/>
        <v>BRASIL MINERACAOUA SAO LUISPÓ DE BRITA</v>
      </c>
      <c r="N459" s="85" t="s">
        <v>1063</v>
      </c>
    </row>
    <row r="460" spans="2:14" x14ac:dyDescent="0.25">
      <c r="B460" s="91">
        <v>46073</v>
      </c>
      <c r="C460" s="63">
        <v>1</v>
      </c>
      <c r="D460" s="63" t="s">
        <v>170</v>
      </c>
      <c r="E460" s="65" t="s">
        <v>171</v>
      </c>
      <c r="F460" s="63" t="s">
        <v>163</v>
      </c>
      <c r="G460" s="63" t="s">
        <v>111</v>
      </c>
      <c r="H460" s="63">
        <v>75</v>
      </c>
      <c r="I460" s="65" t="s">
        <v>185</v>
      </c>
      <c r="J460" s="63">
        <v>2568</v>
      </c>
      <c r="K460" s="64">
        <v>712.62</v>
      </c>
      <c r="L460" s="63" t="s">
        <v>757</v>
      </c>
      <c r="M460" s="65" t="str">
        <f t="shared" si="7"/>
        <v>BRASIL MINERACAOBEIRA RIORACHÃOZINHO</v>
      </c>
      <c r="N460" s="85" t="s">
        <v>111</v>
      </c>
    </row>
    <row r="461" spans="2:14" x14ac:dyDescent="0.25">
      <c r="B461" s="91">
        <v>46073</v>
      </c>
      <c r="C461" s="63">
        <v>1</v>
      </c>
      <c r="D461" s="63" t="s">
        <v>176</v>
      </c>
      <c r="E461" s="65" t="s">
        <v>177</v>
      </c>
      <c r="F461" s="63" t="s">
        <v>163</v>
      </c>
      <c r="G461" s="63" t="s">
        <v>164</v>
      </c>
      <c r="H461" s="63">
        <v>52</v>
      </c>
      <c r="I461" s="65" t="s">
        <v>165</v>
      </c>
      <c r="J461" s="63">
        <v>4454</v>
      </c>
      <c r="K461" s="64">
        <v>856.95</v>
      </c>
      <c r="L461" s="63" t="s">
        <v>758</v>
      </c>
      <c r="M461" s="65" t="str">
        <f t="shared" si="7"/>
        <v>BRASIL MINERACAOUA SAO LUISPÓ DE BRITA</v>
      </c>
      <c r="N461" s="85" t="s">
        <v>1063</v>
      </c>
    </row>
    <row r="462" spans="2:14" x14ac:dyDescent="0.25">
      <c r="B462" s="91">
        <v>46073</v>
      </c>
      <c r="C462" s="63">
        <v>1</v>
      </c>
      <c r="D462" s="63" t="s">
        <v>205</v>
      </c>
      <c r="E462" s="65" t="s">
        <v>206</v>
      </c>
      <c r="F462" s="63" t="s">
        <v>291</v>
      </c>
      <c r="G462" s="63" t="s">
        <v>759</v>
      </c>
      <c r="H462" s="63">
        <v>289</v>
      </c>
      <c r="I462" s="65" t="s">
        <v>221</v>
      </c>
      <c r="J462" s="63">
        <v>4984</v>
      </c>
      <c r="K462" s="64">
        <v>5329.39</v>
      </c>
      <c r="L462" s="63" t="s">
        <v>760</v>
      </c>
      <c r="M462" s="65" t="str">
        <f t="shared" si="7"/>
        <v>MINERADORA PORTO FRANCO - MAVF CONSTRUTORA KM39BGS</v>
      </c>
      <c r="N462" s="85" t="s">
        <v>1065</v>
      </c>
    </row>
    <row r="463" spans="2:14" x14ac:dyDescent="0.25">
      <c r="B463" s="91">
        <v>46073</v>
      </c>
      <c r="C463" s="63">
        <v>1</v>
      </c>
      <c r="D463" s="63" t="s">
        <v>199</v>
      </c>
      <c r="E463" s="65" t="s">
        <v>180</v>
      </c>
      <c r="F463" s="63" t="s">
        <v>163</v>
      </c>
      <c r="G463" s="63" t="s">
        <v>111</v>
      </c>
      <c r="H463" s="63">
        <v>75</v>
      </c>
      <c r="I463" s="65" t="s">
        <v>185</v>
      </c>
      <c r="J463" s="63">
        <v>2746</v>
      </c>
      <c r="K463" s="64">
        <v>762.02</v>
      </c>
      <c r="L463" s="63" t="s">
        <v>761</v>
      </c>
      <c r="M463" s="65" t="str">
        <f t="shared" si="7"/>
        <v>BRASIL MINERACAOBEIRA RIORACHÃOZINHO</v>
      </c>
      <c r="N463" s="85" t="s">
        <v>111</v>
      </c>
    </row>
    <row r="464" spans="2:14" x14ac:dyDescent="0.25">
      <c r="B464" s="91">
        <v>46073</v>
      </c>
      <c r="C464" s="63">
        <v>1</v>
      </c>
      <c r="D464" s="63" t="s">
        <v>188</v>
      </c>
      <c r="E464" s="65" t="s">
        <v>189</v>
      </c>
      <c r="F464" s="63" t="s">
        <v>166</v>
      </c>
      <c r="G464" s="63" t="s">
        <v>164</v>
      </c>
      <c r="H464" s="63">
        <v>58</v>
      </c>
      <c r="I464" s="65" t="s">
        <v>175</v>
      </c>
      <c r="J464" s="63">
        <v>5416</v>
      </c>
      <c r="K464" s="64">
        <v>1162.27</v>
      </c>
      <c r="L464" s="63" t="s">
        <v>762</v>
      </c>
      <c r="M464" s="65" t="str">
        <f t="shared" si="7"/>
        <v>GRANORTEUA SAO LUISBRITA 0</v>
      </c>
      <c r="N464" s="85" t="s">
        <v>1063</v>
      </c>
    </row>
    <row r="465" spans="2:14" x14ac:dyDescent="0.25">
      <c r="B465" s="91">
        <v>46073</v>
      </c>
      <c r="C465" s="63">
        <v>1</v>
      </c>
      <c r="D465" s="63" t="s">
        <v>179</v>
      </c>
      <c r="E465" s="65" t="s">
        <v>282</v>
      </c>
      <c r="F465" s="63" t="s">
        <v>163</v>
      </c>
      <c r="G465" s="63" t="s">
        <v>111</v>
      </c>
      <c r="H465" s="63">
        <v>75</v>
      </c>
      <c r="I465" s="65" t="s">
        <v>169</v>
      </c>
      <c r="J465" s="63">
        <v>267</v>
      </c>
      <c r="K465" s="64">
        <v>740.93</v>
      </c>
      <c r="L465" s="63" t="s">
        <v>763</v>
      </c>
      <c r="M465" s="65" t="str">
        <f t="shared" si="7"/>
        <v>BRASIL MINERACAOBEIRA RIOPULMÃOZINHO</v>
      </c>
      <c r="N465" s="85" t="s">
        <v>111</v>
      </c>
    </row>
    <row r="466" spans="2:14" x14ac:dyDescent="0.25">
      <c r="B466" s="91">
        <v>46073</v>
      </c>
      <c r="C466" s="63">
        <v>1</v>
      </c>
      <c r="D466" s="63" t="s">
        <v>173</v>
      </c>
      <c r="E466" s="65" t="s">
        <v>174</v>
      </c>
      <c r="F466" s="63" t="s">
        <v>166</v>
      </c>
      <c r="G466" s="63" t="s">
        <v>111</v>
      </c>
      <c r="H466" s="63">
        <v>79</v>
      </c>
      <c r="I466" s="65" t="s">
        <v>185</v>
      </c>
      <c r="J466" s="63">
        <v>2524</v>
      </c>
      <c r="K466" s="64">
        <v>737.77</v>
      </c>
      <c r="L466" s="63" t="s">
        <v>764</v>
      </c>
      <c r="M466" s="65" t="str">
        <f t="shared" si="7"/>
        <v>GRANORTEBEIRA RIORACHÃOZINHO</v>
      </c>
      <c r="N466" s="85" t="s">
        <v>111</v>
      </c>
    </row>
    <row r="467" spans="2:14" x14ac:dyDescent="0.25">
      <c r="B467" s="91">
        <v>46073</v>
      </c>
      <c r="C467" s="63">
        <v>1</v>
      </c>
      <c r="D467" s="63" t="s">
        <v>208</v>
      </c>
      <c r="E467" s="65" t="s">
        <v>209</v>
      </c>
      <c r="F467" s="63" t="s">
        <v>166</v>
      </c>
      <c r="G467" s="63" t="s">
        <v>164</v>
      </c>
      <c r="H467" s="63">
        <v>58</v>
      </c>
      <c r="I467" s="65" t="s">
        <v>175</v>
      </c>
      <c r="J467" s="63">
        <v>680</v>
      </c>
      <c r="K467" s="64">
        <v>1459.28</v>
      </c>
      <c r="L467" s="63" t="s">
        <v>765</v>
      </c>
      <c r="M467" s="65" t="str">
        <f t="shared" si="7"/>
        <v>GRANORTEUA SAO LUISBRITA 0</v>
      </c>
      <c r="N467" s="85" t="s">
        <v>1063</v>
      </c>
    </row>
    <row r="468" spans="2:14" x14ac:dyDescent="0.25">
      <c r="B468" s="91">
        <v>46073</v>
      </c>
      <c r="C468" s="63">
        <v>1</v>
      </c>
      <c r="D468" s="63" t="s">
        <v>210</v>
      </c>
      <c r="E468" s="65" t="s">
        <v>211</v>
      </c>
      <c r="F468" s="63" t="s">
        <v>166</v>
      </c>
      <c r="G468" s="63" t="s">
        <v>164</v>
      </c>
      <c r="H468" s="63">
        <v>58</v>
      </c>
      <c r="I468" s="65" t="s">
        <v>165</v>
      </c>
      <c r="J468" s="63">
        <v>5162</v>
      </c>
      <c r="K468" s="64">
        <v>1107.77</v>
      </c>
      <c r="L468" s="63" t="s">
        <v>766</v>
      </c>
      <c r="M468" s="65" t="str">
        <f t="shared" si="7"/>
        <v>GRANORTEUA SAO LUISPÓ DE BRITA</v>
      </c>
      <c r="N468" s="85" t="s">
        <v>1063</v>
      </c>
    </row>
    <row r="469" spans="2:14" x14ac:dyDescent="0.25">
      <c r="B469" s="91">
        <v>46073</v>
      </c>
      <c r="C469" s="63">
        <v>1</v>
      </c>
      <c r="D469" s="63" t="s">
        <v>210</v>
      </c>
      <c r="E469" s="65" t="s">
        <v>211</v>
      </c>
      <c r="F469" s="63" t="s">
        <v>166</v>
      </c>
      <c r="G469" s="63" t="s">
        <v>164</v>
      </c>
      <c r="H469" s="63">
        <v>58</v>
      </c>
      <c r="I469" s="65" t="s">
        <v>165</v>
      </c>
      <c r="J469" s="63">
        <v>4986</v>
      </c>
      <c r="K469" s="64">
        <v>1070</v>
      </c>
      <c r="L469" s="63" t="s">
        <v>767</v>
      </c>
      <c r="M469" s="65" t="str">
        <f t="shared" si="7"/>
        <v>GRANORTEUA SAO LUISPÓ DE BRITA</v>
      </c>
      <c r="N469" s="85" t="s">
        <v>1063</v>
      </c>
    </row>
    <row r="470" spans="2:14" x14ac:dyDescent="0.25">
      <c r="B470" s="91">
        <v>46073</v>
      </c>
      <c r="C470" s="63">
        <v>1</v>
      </c>
      <c r="D470" s="63" t="s">
        <v>199</v>
      </c>
      <c r="E470" s="65" t="s">
        <v>180</v>
      </c>
      <c r="F470" s="63" t="s">
        <v>163</v>
      </c>
      <c r="G470" s="63" t="s">
        <v>111</v>
      </c>
      <c r="H470" s="63">
        <v>75</v>
      </c>
      <c r="I470" s="65" t="s">
        <v>185</v>
      </c>
      <c r="J470" s="63">
        <v>2872</v>
      </c>
      <c r="K470" s="64">
        <v>796.98</v>
      </c>
      <c r="L470" s="63" t="s">
        <v>768</v>
      </c>
      <c r="M470" s="65" t="str">
        <f t="shared" si="7"/>
        <v>BRASIL MINERACAOBEIRA RIORACHÃOZINHO</v>
      </c>
      <c r="N470" s="85" t="s">
        <v>111</v>
      </c>
    </row>
    <row r="471" spans="2:14" x14ac:dyDescent="0.25">
      <c r="B471" s="91">
        <v>46073</v>
      </c>
      <c r="C471" s="63">
        <v>1</v>
      </c>
      <c r="D471" s="63" t="s">
        <v>283</v>
      </c>
      <c r="E471" s="65" t="s">
        <v>215</v>
      </c>
      <c r="F471" s="63" t="s">
        <v>166</v>
      </c>
      <c r="G471" s="63" t="s">
        <v>111</v>
      </c>
      <c r="H471" s="63">
        <v>79</v>
      </c>
      <c r="I471" s="65" t="s">
        <v>185</v>
      </c>
      <c r="J471" s="63">
        <v>263</v>
      </c>
      <c r="K471" s="64">
        <v>768.75</v>
      </c>
      <c r="L471" s="63" t="s">
        <v>769</v>
      </c>
      <c r="M471" s="65" t="str">
        <f t="shared" si="7"/>
        <v>GRANORTEBEIRA RIORACHÃOZINHO</v>
      </c>
      <c r="N471" s="85" t="s">
        <v>111</v>
      </c>
    </row>
    <row r="472" spans="2:14" x14ac:dyDescent="0.25">
      <c r="B472" s="91">
        <v>46073</v>
      </c>
      <c r="C472" s="63">
        <v>1</v>
      </c>
      <c r="D472" s="63" t="s">
        <v>188</v>
      </c>
      <c r="E472" s="65" t="s">
        <v>189</v>
      </c>
      <c r="F472" s="63" t="s">
        <v>166</v>
      </c>
      <c r="G472" s="63" t="s">
        <v>164</v>
      </c>
      <c r="H472" s="63">
        <v>58</v>
      </c>
      <c r="I472" s="65" t="s">
        <v>175</v>
      </c>
      <c r="J472" s="63">
        <v>7546</v>
      </c>
      <c r="K472" s="64">
        <v>1619.37</v>
      </c>
      <c r="L472" s="63" t="s">
        <v>770</v>
      </c>
      <c r="M472" s="65" t="str">
        <f t="shared" si="7"/>
        <v>GRANORTEUA SAO LUISBRITA 0</v>
      </c>
      <c r="N472" s="85" t="s">
        <v>1063</v>
      </c>
    </row>
    <row r="473" spans="2:14" x14ac:dyDescent="0.25">
      <c r="B473" s="91">
        <v>46073</v>
      </c>
      <c r="C473" s="63">
        <v>1</v>
      </c>
      <c r="D473" s="63" t="s">
        <v>270</v>
      </c>
      <c r="E473" s="65" t="s">
        <v>288</v>
      </c>
      <c r="F473" s="63" t="s">
        <v>163</v>
      </c>
      <c r="G473" s="63" t="s">
        <v>164</v>
      </c>
      <c r="H473" s="63">
        <v>52</v>
      </c>
      <c r="I473" s="65" t="s">
        <v>165</v>
      </c>
      <c r="J473" s="63">
        <v>4482</v>
      </c>
      <c r="K473" s="64">
        <v>862.34</v>
      </c>
      <c r="L473" s="63" t="s">
        <v>771</v>
      </c>
      <c r="M473" s="65" t="str">
        <f t="shared" si="7"/>
        <v>BRASIL MINERACAOUA SAO LUISPÓ DE BRITA</v>
      </c>
      <c r="N473" s="85" t="s">
        <v>1063</v>
      </c>
    </row>
    <row r="474" spans="2:14" x14ac:dyDescent="0.25">
      <c r="B474" s="91">
        <v>46073</v>
      </c>
      <c r="C474" s="63">
        <v>1</v>
      </c>
      <c r="D474" s="63" t="s">
        <v>186</v>
      </c>
      <c r="E474" s="65" t="s">
        <v>187</v>
      </c>
      <c r="F474" s="63" t="s">
        <v>166</v>
      </c>
      <c r="G474" s="63" t="s">
        <v>164</v>
      </c>
      <c r="H474" s="63">
        <v>58</v>
      </c>
      <c r="I474" s="65" t="s">
        <v>172</v>
      </c>
      <c r="J474" s="63">
        <v>511</v>
      </c>
      <c r="K474" s="64">
        <v>1096.6099999999999</v>
      </c>
      <c r="L474" s="63" t="s">
        <v>772</v>
      </c>
      <c r="M474" s="65" t="str">
        <f t="shared" si="7"/>
        <v>GRANORTEUA SAO LUISBICA CORRIDA</v>
      </c>
      <c r="N474" s="85" t="s">
        <v>1063</v>
      </c>
    </row>
    <row r="475" spans="2:14" x14ac:dyDescent="0.25">
      <c r="B475" s="91">
        <v>46073</v>
      </c>
      <c r="C475" s="63">
        <v>1</v>
      </c>
      <c r="D475" s="63" t="s">
        <v>186</v>
      </c>
      <c r="E475" s="65" t="s">
        <v>187</v>
      </c>
      <c r="F475" s="63" t="s">
        <v>166</v>
      </c>
      <c r="G475" s="63" t="s">
        <v>164</v>
      </c>
      <c r="H475" s="63">
        <v>58</v>
      </c>
      <c r="I475" s="65" t="s">
        <v>165</v>
      </c>
      <c r="J475" s="63">
        <v>5092</v>
      </c>
      <c r="K475" s="64">
        <v>1092.74</v>
      </c>
      <c r="L475" s="63" t="s">
        <v>773</v>
      </c>
      <c r="M475" s="65" t="str">
        <f t="shared" si="7"/>
        <v>GRANORTEUA SAO LUISPÓ DE BRITA</v>
      </c>
      <c r="N475" s="85" t="s">
        <v>1063</v>
      </c>
    </row>
    <row r="476" spans="2:14" x14ac:dyDescent="0.25">
      <c r="B476" s="91">
        <v>46073</v>
      </c>
      <c r="C476" s="63">
        <v>1</v>
      </c>
      <c r="D476" s="63" t="s">
        <v>162</v>
      </c>
      <c r="E476" s="65" t="s">
        <v>281</v>
      </c>
      <c r="F476" s="63" t="s">
        <v>163</v>
      </c>
      <c r="G476" s="63" t="s">
        <v>164</v>
      </c>
      <c r="H476" s="63">
        <v>52</v>
      </c>
      <c r="I476" s="65" t="s">
        <v>185</v>
      </c>
      <c r="J476" s="63">
        <v>2598</v>
      </c>
      <c r="K476" s="64">
        <v>499.86</v>
      </c>
      <c r="L476" s="63" t="s">
        <v>774</v>
      </c>
      <c r="M476" s="65" t="str">
        <f t="shared" si="7"/>
        <v>BRASIL MINERACAOUA SAO LUISRACHÃOZINHO</v>
      </c>
      <c r="N476" s="85" t="s">
        <v>1063</v>
      </c>
    </row>
    <row r="477" spans="2:14" x14ac:dyDescent="0.25">
      <c r="B477" s="91">
        <v>46073</v>
      </c>
      <c r="C477" s="63">
        <v>1</v>
      </c>
      <c r="D477" s="63" t="s">
        <v>181</v>
      </c>
      <c r="E477" s="65" t="s">
        <v>182</v>
      </c>
      <c r="F477" s="63" t="s">
        <v>166</v>
      </c>
      <c r="G477" s="63" t="s">
        <v>111</v>
      </c>
      <c r="H477" s="63">
        <v>79</v>
      </c>
      <c r="I477" s="65" t="s">
        <v>172</v>
      </c>
      <c r="J477" s="63">
        <v>2464</v>
      </c>
      <c r="K477" s="64">
        <v>720.23</v>
      </c>
      <c r="L477" s="63" t="s">
        <v>775</v>
      </c>
      <c r="M477" s="65" t="str">
        <f t="shared" si="7"/>
        <v>GRANORTEBEIRA RIOBICA CORRIDA</v>
      </c>
      <c r="N477" s="85" t="s">
        <v>111</v>
      </c>
    </row>
    <row r="478" spans="2:14" x14ac:dyDescent="0.25">
      <c r="B478" s="91">
        <v>46073</v>
      </c>
      <c r="C478" s="63">
        <v>1</v>
      </c>
      <c r="D478" s="63" t="s">
        <v>181</v>
      </c>
      <c r="E478" s="65" t="s">
        <v>182</v>
      </c>
      <c r="F478" s="63" t="s">
        <v>163</v>
      </c>
      <c r="G478" s="63" t="s">
        <v>111</v>
      </c>
      <c r="H478" s="63">
        <v>75</v>
      </c>
      <c r="I478" s="65" t="s">
        <v>169</v>
      </c>
      <c r="J478" s="63">
        <v>2462</v>
      </c>
      <c r="K478" s="64">
        <v>683.21</v>
      </c>
      <c r="L478" s="63" t="s">
        <v>776</v>
      </c>
      <c r="M478" s="65" t="str">
        <f t="shared" si="7"/>
        <v>BRASIL MINERACAOBEIRA RIOPULMÃOZINHO</v>
      </c>
      <c r="N478" s="85" t="s">
        <v>111</v>
      </c>
    </row>
    <row r="479" spans="2:14" x14ac:dyDescent="0.25">
      <c r="B479" s="91">
        <v>46073</v>
      </c>
      <c r="C479" s="63">
        <v>1</v>
      </c>
      <c r="D479" s="63" t="s">
        <v>193</v>
      </c>
      <c r="E479" s="65" t="s">
        <v>285</v>
      </c>
      <c r="F479" s="63" t="s">
        <v>163</v>
      </c>
      <c r="G479" s="63" t="s">
        <v>111</v>
      </c>
      <c r="H479" s="63">
        <v>75</v>
      </c>
      <c r="I479" s="65" t="s">
        <v>185</v>
      </c>
      <c r="J479" s="63">
        <v>2516</v>
      </c>
      <c r="K479" s="64">
        <v>698.19</v>
      </c>
      <c r="L479" s="63" t="s">
        <v>777</v>
      </c>
      <c r="M479" s="65" t="str">
        <f t="shared" si="7"/>
        <v>BRASIL MINERACAOBEIRA RIORACHÃOZINHO</v>
      </c>
      <c r="N479" s="85" t="s">
        <v>111</v>
      </c>
    </row>
    <row r="480" spans="2:14" x14ac:dyDescent="0.25">
      <c r="B480" s="91">
        <v>46073</v>
      </c>
      <c r="C480" s="63">
        <v>1</v>
      </c>
      <c r="D480" s="63" t="s">
        <v>193</v>
      </c>
      <c r="E480" s="65" t="s">
        <v>285</v>
      </c>
      <c r="F480" s="63" t="s">
        <v>163</v>
      </c>
      <c r="G480" s="63" t="s">
        <v>111</v>
      </c>
      <c r="H480" s="63">
        <v>75</v>
      </c>
      <c r="I480" s="65" t="s">
        <v>185</v>
      </c>
      <c r="J480" s="63">
        <v>2702</v>
      </c>
      <c r="K480" s="64">
        <v>749.81</v>
      </c>
      <c r="L480" s="63" t="s">
        <v>778</v>
      </c>
      <c r="M480" s="65" t="str">
        <f t="shared" si="7"/>
        <v>BRASIL MINERACAOBEIRA RIORACHÃOZINHO</v>
      </c>
      <c r="N480" s="85" t="s">
        <v>111</v>
      </c>
    </row>
    <row r="481" spans="2:14" x14ac:dyDescent="0.25">
      <c r="B481" s="91">
        <v>46073</v>
      </c>
      <c r="C481" s="63">
        <v>1</v>
      </c>
      <c r="D481" s="63" t="s">
        <v>213</v>
      </c>
      <c r="E481" s="65" t="s">
        <v>178</v>
      </c>
      <c r="F481" s="63" t="s">
        <v>166</v>
      </c>
      <c r="G481" s="63" t="s">
        <v>164</v>
      </c>
      <c r="H481" s="63">
        <v>58</v>
      </c>
      <c r="I481" s="65" t="s">
        <v>172</v>
      </c>
      <c r="J481" s="63">
        <v>255</v>
      </c>
      <c r="K481" s="64">
        <v>547.23</v>
      </c>
      <c r="L481" s="63" t="s">
        <v>779</v>
      </c>
      <c r="M481" s="65" t="str">
        <f t="shared" si="7"/>
        <v>GRANORTEUA SAO LUISBICA CORRIDA</v>
      </c>
      <c r="N481" s="85" t="s">
        <v>1063</v>
      </c>
    </row>
    <row r="482" spans="2:14" x14ac:dyDescent="0.25">
      <c r="B482" s="91">
        <v>46073</v>
      </c>
      <c r="C482" s="63">
        <v>1</v>
      </c>
      <c r="D482" s="63" t="s">
        <v>213</v>
      </c>
      <c r="E482" s="65" t="s">
        <v>178</v>
      </c>
      <c r="F482" s="63" t="s">
        <v>163</v>
      </c>
      <c r="G482" s="63" t="s">
        <v>111</v>
      </c>
      <c r="H482" s="63">
        <v>75</v>
      </c>
      <c r="I482" s="65" t="s">
        <v>185</v>
      </c>
      <c r="J482" s="63">
        <v>2586</v>
      </c>
      <c r="K482" s="64">
        <v>717.62</v>
      </c>
      <c r="L482" s="63" t="s">
        <v>780</v>
      </c>
      <c r="M482" s="65" t="str">
        <f t="shared" si="7"/>
        <v>BRASIL MINERACAOBEIRA RIORACHÃOZINHO</v>
      </c>
      <c r="N482" s="85" t="s">
        <v>111</v>
      </c>
    </row>
    <row r="483" spans="2:14" x14ac:dyDescent="0.25">
      <c r="B483" s="91">
        <v>46073</v>
      </c>
      <c r="C483" s="63">
        <v>1</v>
      </c>
      <c r="D483" s="63" t="s">
        <v>192</v>
      </c>
      <c r="E483" s="65" t="s">
        <v>287</v>
      </c>
      <c r="F483" s="63" t="s">
        <v>166</v>
      </c>
      <c r="G483" s="63" t="s">
        <v>164</v>
      </c>
      <c r="H483" s="63">
        <v>58</v>
      </c>
      <c r="I483" s="65" t="s">
        <v>172</v>
      </c>
      <c r="J483" s="63">
        <v>4906</v>
      </c>
      <c r="K483" s="64">
        <v>1052.83</v>
      </c>
      <c r="L483" s="63" t="s">
        <v>781</v>
      </c>
      <c r="M483" s="65" t="str">
        <f t="shared" si="7"/>
        <v>GRANORTEUA SAO LUISBICA CORRIDA</v>
      </c>
      <c r="N483" s="85" t="s">
        <v>1063</v>
      </c>
    </row>
    <row r="484" spans="2:14" x14ac:dyDescent="0.25">
      <c r="B484" s="91">
        <v>46073</v>
      </c>
      <c r="C484" s="63">
        <v>1</v>
      </c>
      <c r="D484" s="63" t="s">
        <v>192</v>
      </c>
      <c r="E484" s="65" t="s">
        <v>287</v>
      </c>
      <c r="F484" s="63" t="s">
        <v>166</v>
      </c>
      <c r="G484" s="63" t="s">
        <v>164</v>
      </c>
      <c r="H484" s="63">
        <v>58</v>
      </c>
      <c r="I484" s="65" t="s">
        <v>165</v>
      </c>
      <c r="J484" s="63">
        <v>4848</v>
      </c>
      <c r="K484" s="64">
        <v>1040.3800000000001</v>
      </c>
      <c r="L484" s="63" t="s">
        <v>782</v>
      </c>
      <c r="M484" s="65" t="str">
        <f t="shared" si="7"/>
        <v>GRANORTEUA SAO LUISPÓ DE BRITA</v>
      </c>
      <c r="N484" s="85" t="s">
        <v>1063</v>
      </c>
    </row>
    <row r="485" spans="2:14" x14ac:dyDescent="0.25">
      <c r="B485" s="91">
        <v>46073</v>
      </c>
      <c r="C485" s="63">
        <v>1</v>
      </c>
      <c r="D485" s="63" t="s">
        <v>289</v>
      </c>
      <c r="E485" s="65" t="s">
        <v>290</v>
      </c>
      <c r="F485" s="63" t="s">
        <v>291</v>
      </c>
      <c r="G485" s="63" t="s">
        <v>783</v>
      </c>
      <c r="H485" s="63">
        <v>358</v>
      </c>
      <c r="I485" s="65" t="s">
        <v>221</v>
      </c>
      <c r="J485" s="63">
        <v>314</v>
      </c>
      <c r="K485" s="64">
        <v>4159.24</v>
      </c>
      <c r="L485" s="63" t="s">
        <v>784</v>
      </c>
      <c r="M485" s="65" t="str">
        <f t="shared" si="7"/>
        <v>MINERADORA PORTO FRANCO - MAVF CONSTRUTORA KM114BGS</v>
      </c>
      <c r="N485" s="85" t="s">
        <v>1065</v>
      </c>
    </row>
    <row r="486" spans="2:14" x14ac:dyDescent="0.25">
      <c r="B486" s="91">
        <v>46073</v>
      </c>
      <c r="C486" s="63">
        <v>1</v>
      </c>
      <c r="D486" s="63" t="s">
        <v>203</v>
      </c>
      <c r="E486" s="65" t="s">
        <v>204</v>
      </c>
      <c r="F486" s="63" t="s">
        <v>166</v>
      </c>
      <c r="G486" s="63" t="s">
        <v>164</v>
      </c>
      <c r="H486" s="63">
        <v>58</v>
      </c>
      <c r="I486" s="65" t="s">
        <v>175</v>
      </c>
      <c r="J486" s="63">
        <v>4634</v>
      </c>
      <c r="K486" s="64">
        <v>994.46</v>
      </c>
      <c r="L486" s="63" t="s">
        <v>785</v>
      </c>
      <c r="M486" s="65" t="str">
        <f t="shared" si="7"/>
        <v>GRANORTEUA SAO LUISBRITA 0</v>
      </c>
      <c r="N486" s="85" t="s">
        <v>1063</v>
      </c>
    </row>
    <row r="487" spans="2:14" x14ac:dyDescent="0.25">
      <c r="B487" s="91">
        <v>46073</v>
      </c>
      <c r="C487" s="63">
        <v>1</v>
      </c>
      <c r="D487" s="63" t="s">
        <v>183</v>
      </c>
      <c r="E487" s="65" t="s">
        <v>506</v>
      </c>
      <c r="F487" s="63" t="s">
        <v>166</v>
      </c>
      <c r="G487" s="63" t="s">
        <v>111</v>
      </c>
      <c r="H487" s="63">
        <v>79</v>
      </c>
      <c r="I487" s="65" t="s">
        <v>185</v>
      </c>
      <c r="J487" s="63">
        <v>2732</v>
      </c>
      <c r="K487" s="64">
        <v>798.56</v>
      </c>
      <c r="L487" s="63" t="s">
        <v>786</v>
      </c>
      <c r="M487" s="65" t="str">
        <f t="shared" si="7"/>
        <v>GRANORTEBEIRA RIORACHÃOZINHO</v>
      </c>
      <c r="N487" s="85" t="s">
        <v>111</v>
      </c>
    </row>
    <row r="488" spans="2:14" x14ac:dyDescent="0.25">
      <c r="B488" s="91">
        <v>46073</v>
      </c>
      <c r="C488" s="63">
        <v>1</v>
      </c>
      <c r="D488" s="63" t="s">
        <v>183</v>
      </c>
      <c r="E488" s="65" t="s">
        <v>506</v>
      </c>
      <c r="F488" s="63" t="s">
        <v>166</v>
      </c>
      <c r="G488" s="63" t="s">
        <v>111</v>
      </c>
      <c r="H488" s="63">
        <v>79</v>
      </c>
      <c r="I488" s="65" t="s">
        <v>185</v>
      </c>
      <c r="J488" s="63">
        <v>274</v>
      </c>
      <c r="K488" s="64">
        <v>800.9</v>
      </c>
      <c r="L488" s="63" t="s">
        <v>787</v>
      </c>
      <c r="M488" s="65" t="str">
        <f t="shared" si="7"/>
        <v>GRANORTEBEIRA RIORACHÃOZINHO</v>
      </c>
      <c r="N488" s="85" t="s">
        <v>111</v>
      </c>
    </row>
    <row r="489" spans="2:14" x14ac:dyDescent="0.25">
      <c r="B489" s="91">
        <v>46073</v>
      </c>
      <c r="C489" s="63">
        <v>1</v>
      </c>
      <c r="D489" s="63" t="s">
        <v>183</v>
      </c>
      <c r="E489" s="65" t="s">
        <v>506</v>
      </c>
      <c r="F489" s="63" t="s">
        <v>166</v>
      </c>
      <c r="G489" s="63" t="s">
        <v>111</v>
      </c>
      <c r="H489" s="63">
        <v>79</v>
      </c>
      <c r="I489" s="65" t="s">
        <v>185</v>
      </c>
      <c r="J489" s="63">
        <v>2776</v>
      </c>
      <c r="K489" s="64">
        <v>811.42</v>
      </c>
      <c r="L489" s="63" t="s">
        <v>788</v>
      </c>
      <c r="M489" s="65" t="str">
        <f t="shared" si="7"/>
        <v>GRANORTEBEIRA RIORACHÃOZINHO</v>
      </c>
      <c r="N489" s="85" t="s">
        <v>111</v>
      </c>
    </row>
    <row r="490" spans="2:14" x14ac:dyDescent="0.25">
      <c r="B490" s="91">
        <v>46073</v>
      </c>
      <c r="C490" s="63">
        <v>2</v>
      </c>
      <c r="D490" s="63" t="s">
        <v>294</v>
      </c>
      <c r="E490" s="65" t="s">
        <v>295</v>
      </c>
      <c r="F490" s="63" t="s">
        <v>276</v>
      </c>
      <c r="G490" s="63" t="s">
        <v>277</v>
      </c>
      <c r="H490" s="63">
        <v>118</v>
      </c>
      <c r="I490" s="65" t="s">
        <v>165</v>
      </c>
      <c r="J490" s="63">
        <v>335</v>
      </c>
      <c r="K490" s="64">
        <v>1264.96</v>
      </c>
      <c r="L490" s="63" t="s">
        <v>1010</v>
      </c>
      <c r="M490" s="65" t="str">
        <f t="shared" si="7"/>
        <v>MINERADORA PORTO FRANCOCONCRENORTEPÓ DE BRITA</v>
      </c>
      <c r="N490" s="85" t="s">
        <v>1065</v>
      </c>
    </row>
    <row r="491" spans="2:14" x14ac:dyDescent="0.25">
      <c r="B491" s="91">
        <v>46073</v>
      </c>
      <c r="C491" s="63">
        <v>2</v>
      </c>
      <c r="D491" s="63" t="s">
        <v>298</v>
      </c>
      <c r="E491" s="65" t="s">
        <v>299</v>
      </c>
      <c r="F491" s="63" t="s">
        <v>291</v>
      </c>
      <c r="G491" s="63" t="s">
        <v>759</v>
      </c>
      <c r="H491" s="63">
        <v>289</v>
      </c>
      <c r="I491" s="65" t="s">
        <v>221</v>
      </c>
      <c r="J491" s="63">
        <v>5012</v>
      </c>
      <c r="K491" s="64">
        <v>5359.33</v>
      </c>
      <c r="L491" s="63" t="s">
        <v>1011</v>
      </c>
      <c r="M491" s="65" t="str">
        <f t="shared" si="7"/>
        <v>MINERADORA PORTO FRANCO - MAVF CONSTRUTORA KM39BGS</v>
      </c>
      <c r="N491" s="85" t="s">
        <v>1065</v>
      </c>
    </row>
    <row r="492" spans="2:14" x14ac:dyDescent="0.25">
      <c r="B492" s="91">
        <v>46073</v>
      </c>
      <c r="C492" s="63">
        <v>2</v>
      </c>
      <c r="D492" s="63" t="s">
        <v>298</v>
      </c>
      <c r="E492" s="65" t="s">
        <v>299</v>
      </c>
      <c r="F492" s="63" t="s">
        <v>291</v>
      </c>
      <c r="G492" s="63" t="s">
        <v>759</v>
      </c>
      <c r="H492" s="63">
        <v>289</v>
      </c>
      <c r="I492" s="65" t="s">
        <v>221</v>
      </c>
      <c r="J492" s="63">
        <v>5018</v>
      </c>
      <c r="K492" s="64">
        <v>5365.75</v>
      </c>
      <c r="L492" s="63" t="s">
        <v>1012</v>
      </c>
      <c r="M492" s="65" t="str">
        <f t="shared" si="7"/>
        <v>MINERADORA PORTO FRANCO - MAVF CONSTRUTORA KM39BGS</v>
      </c>
      <c r="N492" s="85" t="s">
        <v>1065</v>
      </c>
    </row>
    <row r="493" spans="2:14" x14ac:dyDescent="0.25">
      <c r="B493" s="91">
        <v>46073</v>
      </c>
      <c r="C493" s="63">
        <v>2</v>
      </c>
      <c r="D493" s="63" t="s">
        <v>310</v>
      </c>
      <c r="E493" s="65" t="s">
        <v>311</v>
      </c>
      <c r="F493" s="63" t="s">
        <v>291</v>
      </c>
      <c r="G493" s="63" t="s">
        <v>667</v>
      </c>
      <c r="H493" s="63">
        <v>302</v>
      </c>
      <c r="I493" s="65" t="s">
        <v>221</v>
      </c>
      <c r="J493" s="63">
        <v>3216</v>
      </c>
      <c r="K493" s="64">
        <v>3593.56</v>
      </c>
      <c r="L493" s="63" t="s">
        <v>1013</v>
      </c>
      <c r="M493" s="65" t="str">
        <f t="shared" si="7"/>
        <v>MINERADORA PORTO FRANCO - MAVF CONSTRUTORA KM52BGS</v>
      </c>
      <c r="N493" s="85" t="s">
        <v>1065</v>
      </c>
    </row>
    <row r="494" spans="2:14" x14ac:dyDescent="0.25">
      <c r="B494" s="91">
        <v>46073</v>
      </c>
      <c r="C494" s="63">
        <v>2</v>
      </c>
      <c r="D494" s="63" t="s">
        <v>296</v>
      </c>
      <c r="E494" s="65" t="s">
        <v>297</v>
      </c>
      <c r="F494" s="63" t="s">
        <v>291</v>
      </c>
      <c r="G494" s="63" t="s">
        <v>667</v>
      </c>
      <c r="H494" s="63">
        <v>302</v>
      </c>
      <c r="I494" s="65" t="s">
        <v>185</v>
      </c>
      <c r="J494" s="63">
        <v>3246</v>
      </c>
      <c r="K494" s="64">
        <v>3627.08</v>
      </c>
      <c r="L494" s="63" t="s">
        <v>1014</v>
      </c>
      <c r="M494" s="65" t="str">
        <f t="shared" si="7"/>
        <v>MINERADORA PORTO FRANCO - MAVF CONSTRUTORA KM52RACHÃOZINHO</v>
      </c>
      <c r="N494" s="85" t="s">
        <v>1065</v>
      </c>
    </row>
    <row r="495" spans="2:14" x14ac:dyDescent="0.25">
      <c r="B495" s="91">
        <v>46073</v>
      </c>
      <c r="C495" s="63">
        <v>2</v>
      </c>
      <c r="D495" s="63" t="s">
        <v>302</v>
      </c>
      <c r="E495" s="65" t="s">
        <v>303</v>
      </c>
      <c r="F495" s="63" t="s">
        <v>997</v>
      </c>
      <c r="G495" s="63" t="s">
        <v>1001</v>
      </c>
      <c r="H495" s="63">
        <v>255</v>
      </c>
      <c r="I495" s="65" t="s">
        <v>195</v>
      </c>
      <c r="J495" s="63">
        <v>5162</v>
      </c>
      <c r="K495" s="64">
        <v>4870.3500000000004</v>
      </c>
      <c r="L495" s="63" t="s">
        <v>1015</v>
      </c>
      <c r="M495" s="65" t="str">
        <f t="shared" si="7"/>
        <v>TAIPAS - TONOVO JARDIM - TOBRITA 1</v>
      </c>
      <c r="N495" s="85" t="s">
        <v>83</v>
      </c>
    </row>
    <row r="496" spans="2:14" x14ac:dyDescent="0.25">
      <c r="B496" s="91">
        <v>46073</v>
      </c>
      <c r="C496" s="63">
        <v>2</v>
      </c>
      <c r="D496" s="63" t="s">
        <v>300</v>
      </c>
      <c r="E496" s="65" t="s">
        <v>301</v>
      </c>
      <c r="F496" s="63" t="s">
        <v>291</v>
      </c>
      <c r="G496" s="63" t="s">
        <v>667</v>
      </c>
      <c r="H496" s="63">
        <v>302</v>
      </c>
      <c r="I496" s="65" t="s">
        <v>221</v>
      </c>
      <c r="J496" s="63">
        <v>508</v>
      </c>
      <c r="K496" s="64">
        <v>5676.39</v>
      </c>
      <c r="L496" s="63" t="s">
        <v>1016</v>
      </c>
      <c r="M496" s="65" t="str">
        <f t="shared" si="7"/>
        <v>MINERADORA PORTO FRANCO - MAVF CONSTRUTORA KM52BGS</v>
      </c>
      <c r="N496" s="85" t="s">
        <v>1065</v>
      </c>
    </row>
    <row r="497" spans="2:14" x14ac:dyDescent="0.25">
      <c r="B497" s="67">
        <v>46073</v>
      </c>
      <c r="C497" s="63">
        <v>1</v>
      </c>
      <c r="D497" s="63" t="s">
        <v>200</v>
      </c>
      <c r="E497" s="68" t="s">
        <v>1076</v>
      </c>
      <c r="F497" s="63" t="s">
        <v>1069</v>
      </c>
      <c r="G497" s="63" t="s">
        <v>1070</v>
      </c>
      <c r="H497" s="63">
        <v>52</v>
      </c>
      <c r="I497" s="68" t="s">
        <v>165</v>
      </c>
      <c r="J497" s="63">
        <v>45.74</v>
      </c>
      <c r="K497" s="64">
        <v>880.0376</v>
      </c>
      <c r="L497" s="63" t="s">
        <v>1098</v>
      </c>
      <c r="M497" s="65" t="str">
        <f t="shared" si="7"/>
        <v>BRASIL MINERAÇÃOUA-11 DistritoPÓ DE BRITA</v>
      </c>
      <c r="N497" s="78" t="s">
        <v>1063</v>
      </c>
    </row>
    <row r="498" spans="2:14" x14ac:dyDescent="0.25">
      <c r="B498" s="67">
        <v>46073</v>
      </c>
      <c r="C498" s="63">
        <v>1</v>
      </c>
      <c r="D498" s="63" t="s">
        <v>286</v>
      </c>
      <c r="E498" s="68" t="s">
        <v>1073</v>
      </c>
      <c r="F498" s="63" t="s">
        <v>1069</v>
      </c>
      <c r="G498" s="63" t="s">
        <v>1070</v>
      </c>
      <c r="H498" s="63">
        <v>52</v>
      </c>
      <c r="I498" s="68" t="s">
        <v>165</v>
      </c>
      <c r="J498" s="63">
        <v>45.1</v>
      </c>
      <c r="K498" s="64">
        <v>867.72399999999993</v>
      </c>
      <c r="L498" s="63" t="s">
        <v>1099</v>
      </c>
      <c r="M498" s="65" t="str">
        <f t="shared" si="7"/>
        <v>BRASIL MINERAÇÃOUA-11 DistritoPÓ DE BRITA</v>
      </c>
      <c r="N498" s="78" t="s">
        <v>1063</v>
      </c>
    </row>
    <row r="499" spans="2:14" x14ac:dyDescent="0.25">
      <c r="B499" s="67">
        <v>46073</v>
      </c>
      <c r="C499" s="63">
        <v>1</v>
      </c>
      <c r="D499" s="63" t="s">
        <v>202</v>
      </c>
      <c r="E499" s="68" t="s">
        <v>314</v>
      </c>
      <c r="F499" s="63" t="s">
        <v>1069</v>
      </c>
      <c r="G499" s="63" t="s">
        <v>1070</v>
      </c>
      <c r="H499" s="63">
        <v>52</v>
      </c>
      <c r="I499" s="68" t="s">
        <v>165</v>
      </c>
      <c r="J499" s="63">
        <v>68.2</v>
      </c>
      <c r="K499" s="64">
        <v>1312.1679999999999</v>
      </c>
      <c r="L499" s="63" t="s">
        <v>1100</v>
      </c>
      <c r="M499" s="65" t="str">
        <f t="shared" si="7"/>
        <v>BRASIL MINERAÇÃOUA-11 DistritoPÓ DE BRITA</v>
      </c>
      <c r="N499" s="78" t="s">
        <v>1063</v>
      </c>
    </row>
    <row r="500" spans="2:14" x14ac:dyDescent="0.25">
      <c r="B500" s="91">
        <v>46074</v>
      </c>
      <c r="C500" s="63">
        <v>1</v>
      </c>
      <c r="D500" s="63" t="s">
        <v>196</v>
      </c>
      <c r="E500" s="65" t="s">
        <v>197</v>
      </c>
      <c r="F500" s="63" t="s">
        <v>166</v>
      </c>
      <c r="G500" s="63" t="s">
        <v>164</v>
      </c>
      <c r="H500" s="63">
        <v>58</v>
      </c>
      <c r="I500" s="65" t="s">
        <v>165</v>
      </c>
      <c r="J500" s="63">
        <v>518</v>
      </c>
      <c r="K500" s="64">
        <v>1111.6300000000001</v>
      </c>
      <c r="L500" s="63" t="s">
        <v>789</v>
      </c>
      <c r="M500" s="65" t="str">
        <f t="shared" si="7"/>
        <v>GRANORTEUA SAO LUISPÓ DE BRITA</v>
      </c>
      <c r="N500" s="85" t="s">
        <v>1063</v>
      </c>
    </row>
    <row r="501" spans="2:14" x14ac:dyDescent="0.25">
      <c r="B501" s="91">
        <v>46074</v>
      </c>
      <c r="C501" s="63">
        <v>1</v>
      </c>
      <c r="D501" s="63" t="s">
        <v>188</v>
      </c>
      <c r="E501" s="65" t="s">
        <v>189</v>
      </c>
      <c r="F501" s="63" t="s">
        <v>166</v>
      </c>
      <c r="G501" s="63" t="s">
        <v>164</v>
      </c>
      <c r="H501" s="63">
        <v>58</v>
      </c>
      <c r="I501" s="65" t="s">
        <v>175</v>
      </c>
      <c r="J501" s="63">
        <v>7244</v>
      </c>
      <c r="K501" s="64">
        <v>1554.56</v>
      </c>
      <c r="L501" s="63" t="s">
        <v>790</v>
      </c>
      <c r="M501" s="65" t="str">
        <f t="shared" si="7"/>
        <v>GRANORTEUA SAO LUISBRITA 0</v>
      </c>
      <c r="N501" s="85" t="s">
        <v>1063</v>
      </c>
    </row>
    <row r="502" spans="2:14" x14ac:dyDescent="0.25">
      <c r="B502" s="91">
        <v>46074</v>
      </c>
      <c r="C502" s="63">
        <v>1</v>
      </c>
      <c r="D502" s="63" t="s">
        <v>170</v>
      </c>
      <c r="E502" s="65" t="s">
        <v>171</v>
      </c>
      <c r="F502" s="63" t="s">
        <v>163</v>
      </c>
      <c r="G502" s="63" t="s">
        <v>164</v>
      </c>
      <c r="H502" s="63">
        <v>52</v>
      </c>
      <c r="I502" s="65" t="s">
        <v>165</v>
      </c>
      <c r="J502" s="63">
        <v>248</v>
      </c>
      <c r="K502" s="64">
        <v>477.15</v>
      </c>
      <c r="L502" s="63" t="s">
        <v>791</v>
      </c>
      <c r="M502" s="65" t="str">
        <f t="shared" si="7"/>
        <v>BRASIL MINERACAOUA SAO LUISPÓ DE BRITA</v>
      </c>
      <c r="N502" s="85" t="s">
        <v>1063</v>
      </c>
    </row>
    <row r="503" spans="2:14" x14ac:dyDescent="0.25">
      <c r="B503" s="91">
        <v>46074</v>
      </c>
      <c r="C503" s="63">
        <v>1</v>
      </c>
      <c r="D503" s="63" t="s">
        <v>202</v>
      </c>
      <c r="E503" s="65" t="s">
        <v>214</v>
      </c>
      <c r="F503" s="63" t="s">
        <v>163</v>
      </c>
      <c r="G503" s="63" t="s">
        <v>164</v>
      </c>
      <c r="H503" s="63">
        <v>52</v>
      </c>
      <c r="I503" s="65" t="s">
        <v>165</v>
      </c>
      <c r="J503" s="63">
        <v>682</v>
      </c>
      <c r="K503" s="64">
        <v>1312.17</v>
      </c>
      <c r="L503" s="63" t="s">
        <v>792</v>
      </c>
      <c r="M503" s="65" t="str">
        <f t="shared" si="7"/>
        <v>BRASIL MINERACAOUA SAO LUISPÓ DE BRITA</v>
      </c>
      <c r="N503" s="85" t="s">
        <v>1063</v>
      </c>
    </row>
    <row r="504" spans="2:14" x14ac:dyDescent="0.25">
      <c r="B504" s="91">
        <v>46074</v>
      </c>
      <c r="C504" s="63">
        <v>1</v>
      </c>
      <c r="D504" s="63" t="s">
        <v>186</v>
      </c>
      <c r="E504" s="65" t="s">
        <v>187</v>
      </c>
      <c r="F504" s="63" t="s">
        <v>166</v>
      </c>
      <c r="G504" s="63" t="s">
        <v>164</v>
      </c>
      <c r="H504" s="63">
        <v>58</v>
      </c>
      <c r="I504" s="65" t="s">
        <v>165</v>
      </c>
      <c r="J504" s="63">
        <v>6044</v>
      </c>
      <c r="K504" s="64">
        <v>1297.04</v>
      </c>
      <c r="L504" s="63" t="s">
        <v>793</v>
      </c>
      <c r="M504" s="65" t="str">
        <f t="shared" si="7"/>
        <v>GRANORTEUA SAO LUISPÓ DE BRITA</v>
      </c>
      <c r="N504" s="85" t="s">
        <v>1063</v>
      </c>
    </row>
    <row r="505" spans="2:14" x14ac:dyDescent="0.25">
      <c r="B505" s="91">
        <v>46074</v>
      </c>
      <c r="C505" s="63">
        <v>1</v>
      </c>
      <c r="D505" s="63" t="s">
        <v>162</v>
      </c>
      <c r="E505" s="65" t="s">
        <v>281</v>
      </c>
      <c r="F505" s="63" t="s">
        <v>163</v>
      </c>
      <c r="G505" s="63" t="s">
        <v>164</v>
      </c>
      <c r="H505" s="63">
        <v>52</v>
      </c>
      <c r="I505" s="65" t="s">
        <v>185</v>
      </c>
      <c r="J505" s="63">
        <v>2468</v>
      </c>
      <c r="K505" s="64">
        <v>474.84</v>
      </c>
      <c r="L505" s="63" t="s">
        <v>794</v>
      </c>
      <c r="M505" s="65" t="str">
        <f t="shared" si="7"/>
        <v>BRASIL MINERACAOUA SAO LUISRACHÃOZINHO</v>
      </c>
      <c r="N505" s="85" t="s">
        <v>1063</v>
      </c>
    </row>
    <row r="506" spans="2:14" x14ac:dyDescent="0.25">
      <c r="B506" s="91">
        <v>46074</v>
      </c>
      <c r="C506" s="63">
        <v>1</v>
      </c>
      <c r="D506" s="63" t="s">
        <v>210</v>
      </c>
      <c r="E506" s="65" t="s">
        <v>211</v>
      </c>
      <c r="F506" s="63" t="s">
        <v>166</v>
      </c>
      <c r="G506" s="63" t="s">
        <v>164</v>
      </c>
      <c r="H506" s="63">
        <v>58</v>
      </c>
      <c r="I506" s="65" t="s">
        <v>165</v>
      </c>
      <c r="J506" s="63">
        <v>5202</v>
      </c>
      <c r="K506" s="64">
        <v>1116.3499999999999</v>
      </c>
      <c r="L506" s="63" t="s">
        <v>795</v>
      </c>
      <c r="M506" s="65" t="str">
        <f t="shared" si="7"/>
        <v>GRANORTEUA SAO LUISPÓ DE BRITA</v>
      </c>
      <c r="N506" s="85" t="s">
        <v>1063</v>
      </c>
    </row>
    <row r="507" spans="2:14" x14ac:dyDescent="0.25">
      <c r="B507" s="91">
        <v>46074</v>
      </c>
      <c r="C507" s="63">
        <v>1</v>
      </c>
      <c r="D507" s="63" t="s">
        <v>181</v>
      </c>
      <c r="E507" s="65" t="s">
        <v>182</v>
      </c>
      <c r="F507" s="63" t="s">
        <v>163</v>
      </c>
      <c r="G507" s="63" t="s">
        <v>111</v>
      </c>
      <c r="H507" s="63">
        <v>75</v>
      </c>
      <c r="I507" s="65" t="s">
        <v>169</v>
      </c>
      <c r="J507" s="63">
        <v>256</v>
      </c>
      <c r="K507" s="64">
        <v>710.4</v>
      </c>
      <c r="L507" s="63" t="s">
        <v>796</v>
      </c>
      <c r="M507" s="65" t="str">
        <f t="shared" si="7"/>
        <v>BRASIL MINERACAOBEIRA RIOPULMÃOZINHO</v>
      </c>
      <c r="N507" s="85" t="s">
        <v>111</v>
      </c>
    </row>
    <row r="508" spans="2:14" x14ac:dyDescent="0.25">
      <c r="B508" s="91">
        <v>46074</v>
      </c>
      <c r="C508" s="63">
        <v>1</v>
      </c>
      <c r="D508" s="63" t="s">
        <v>181</v>
      </c>
      <c r="E508" s="65" t="s">
        <v>182</v>
      </c>
      <c r="F508" s="63" t="s">
        <v>166</v>
      </c>
      <c r="G508" s="63" t="s">
        <v>111</v>
      </c>
      <c r="H508" s="63">
        <v>79</v>
      </c>
      <c r="I508" s="65" t="s">
        <v>169</v>
      </c>
      <c r="J508" s="63">
        <v>2632</v>
      </c>
      <c r="K508" s="64">
        <v>769.33</v>
      </c>
      <c r="L508" s="63" t="s">
        <v>796</v>
      </c>
      <c r="M508" s="65" t="str">
        <f t="shared" si="7"/>
        <v>GRANORTEBEIRA RIOPULMÃOZINHO</v>
      </c>
      <c r="N508" s="85" t="s">
        <v>111</v>
      </c>
    </row>
    <row r="509" spans="2:14" x14ac:dyDescent="0.25">
      <c r="B509" s="91">
        <v>46074</v>
      </c>
      <c r="C509" s="63">
        <v>1</v>
      </c>
      <c r="D509" s="63" t="s">
        <v>205</v>
      </c>
      <c r="E509" s="65" t="s">
        <v>206</v>
      </c>
      <c r="F509" s="63" t="s">
        <v>291</v>
      </c>
      <c r="G509" s="63" t="s">
        <v>783</v>
      </c>
      <c r="H509" s="63">
        <v>358</v>
      </c>
      <c r="I509" s="65" t="s">
        <v>221</v>
      </c>
      <c r="J509" s="63">
        <v>505</v>
      </c>
      <c r="K509" s="64">
        <v>6689.23</v>
      </c>
      <c r="L509" s="63" t="s">
        <v>797</v>
      </c>
      <c r="M509" s="65" t="str">
        <f t="shared" si="7"/>
        <v>MINERADORA PORTO FRANCO - MAVF CONSTRUTORA KM114BGS</v>
      </c>
      <c r="N509" s="85" t="s">
        <v>1065</v>
      </c>
    </row>
    <row r="510" spans="2:14" x14ac:dyDescent="0.25">
      <c r="B510" s="91">
        <v>46074</v>
      </c>
      <c r="C510" s="63">
        <v>1</v>
      </c>
      <c r="D510" s="63" t="s">
        <v>283</v>
      </c>
      <c r="E510" s="65" t="s">
        <v>215</v>
      </c>
      <c r="F510" s="63" t="s">
        <v>163</v>
      </c>
      <c r="G510" s="63" t="s">
        <v>164</v>
      </c>
      <c r="H510" s="63">
        <v>52</v>
      </c>
      <c r="I510" s="65" t="s">
        <v>165</v>
      </c>
      <c r="J510" s="63">
        <v>2586</v>
      </c>
      <c r="K510" s="64">
        <v>497.55</v>
      </c>
      <c r="L510" s="63" t="s">
        <v>798</v>
      </c>
      <c r="M510" s="65" t="str">
        <f t="shared" si="7"/>
        <v>BRASIL MINERACAOUA SAO LUISPÓ DE BRITA</v>
      </c>
      <c r="N510" s="85" t="s">
        <v>1063</v>
      </c>
    </row>
    <row r="511" spans="2:14" x14ac:dyDescent="0.25">
      <c r="B511" s="91">
        <v>46074</v>
      </c>
      <c r="C511" s="63">
        <v>1</v>
      </c>
      <c r="D511" s="63" t="s">
        <v>193</v>
      </c>
      <c r="E511" s="65" t="s">
        <v>285</v>
      </c>
      <c r="F511" s="63" t="s">
        <v>163</v>
      </c>
      <c r="G511" s="63" t="s">
        <v>111</v>
      </c>
      <c r="H511" s="63">
        <v>75</v>
      </c>
      <c r="I511" s="65" t="s">
        <v>185</v>
      </c>
      <c r="J511" s="63">
        <v>2686</v>
      </c>
      <c r="K511" s="64">
        <v>745.37</v>
      </c>
      <c r="L511" s="63" t="s">
        <v>799</v>
      </c>
      <c r="M511" s="65" t="str">
        <f t="shared" si="7"/>
        <v>BRASIL MINERACAOBEIRA RIORACHÃOZINHO</v>
      </c>
      <c r="N511" s="85" t="s">
        <v>111</v>
      </c>
    </row>
    <row r="512" spans="2:14" x14ac:dyDescent="0.25">
      <c r="B512" s="91">
        <v>46074</v>
      </c>
      <c r="C512" s="63">
        <v>1</v>
      </c>
      <c r="D512" s="63" t="s">
        <v>213</v>
      </c>
      <c r="E512" s="65" t="s">
        <v>178</v>
      </c>
      <c r="F512" s="63" t="s">
        <v>163</v>
      </c>
      <c r="G512" s="63" t="s">
        <v>111</v>
      </c>
      <c r="H512" s="63">
        <v>75</v>
      </c>
      <c r="I512" s="65" t="s">
        <v>185</v>
      </c>
      <c r="J512" s="63">
        <v>2542</v>
      </c>
      <c r="K512" s="64">
        <v>705.41</v>
      </c>
      <c r="L512" s="63" t="s">
        <v>800</v>
      </c>
      <c r="M512" s="65" t="str">
        <f t="shared" si="7"/>
        <v>BRASIL MINERACAOBEIRA RIORACHÃOZINHO</v>
      </c>
      <c r="N512" s="85" t="s">
        <v>111</v>
      </c>
    </row>
    <row r="513" spans="2:14" x14ac:dyDescent="0.25">
      <c r="B513" s="91">
        <v>46074</v>
      </c>
      <c r="C513" s="63">
        <v>1</v>
      </c>
      <c r="D513" s="63" t="s">
        <v>213</v>
      </c>
      <c r="E513" s="65" t="s">
        <v>178</v>
      </c>
      <c r="F513" s="63" t="s">
        <v>163</v>
      </c>
      <c r="G513" s="63" t="s">
        <v>164</v>
      </c>
      <c r="H513" s="63">
        <v>52</v>
      </c>
      <c r="I513" s="65" t="s">
        <v>165</v>
      </c>
      <c r="J513" s="63">
        <v>2582</v>
      </c>
      <c r="K513" s="64">
        <v>496.78</v>
      </c>
      <c r="L513" s="63" t="s">
        <v>801</v>
      </c>
      <c r="M513" s="65" t="str">
        <f t="shared" si="7"/>
        <v>BRASIL MINERACAOUA SAO LUISPÓ DE BRITA</v>
      </c>
      <c r="N513" s="85" t="s">
        <v>1063</v>
      </c>
    </row>
    <row r="514" spans="2:14" x14ac:dyDescent="0.25">
      <c r="B514" s="91">
        <v>46074</v>
      </c>
      <c r="C514" s="63">
        <v>1</v>
      </c>
      <c r="D514" s="63" t="s">
        <v>192</v>
      </c>
      <c r="E514" s="65" t="s">
        <v>287</v>
      </c>
      <c r="F514" s="63" t="s">
        <v>166</v>
      </c>
      <c r="G514" s="63" t="s">
        <v>164</v>
      </c>
      <c r="H514" s="63">
        <v>58</v>
      </c>
      <c r="I514" s="65" t="s">
        <v>165</v>
      </c>
      <c r="J514" s="63">
        <v>4744</v>
      </c>
      <c r="K514" s="64">
        <v>1018.06</v>
      </c>
      <c r="L514" s="63" t="s">
        <v>802</v>
      </c>
      <c r="M514" s="65" t="str">
        <f t="shared" si="7"/>
        <v>GRANORTEUA SAO LUISPÓ DE BRITA</v>
      </c>
      <c r="N514" s="85" t="s">
        <v>1063</v>
      </c>
    </row>
    <row r="515" spans="2:14" x14ac:dyDescent="0.25">
      <c r="B515" s="91">
        <v>46074</v>
      </c>
      <c r="C515" s="63">
        <v>1</v>
      </c>
      <c r="D515" s="63" t="s">
        <v>183</v>
      </c>
      <c r="E515" s="65" t="s">
        <v>506</v>
      </c>
      <c r="F515" s="63" t="s">
        <v>166</v>
      </c>
      <c r="G515" s="63" t="s">
        <v>111</v>
      </c>
      <c r="H515" s="63">
        <v>79</v>
      </c>
      <c r="I515" s="65" t="s">
        <v>185</v>
      </c>
      <c r="J515" s="63">
        <v>2764</v>
      </c>
      <c r="K515" s="64">
        <v>807.92</v>
      </c>
      <c r="L515" s="63" t="s">
        <v>803</v>
      </c>
      <c r="M515" s="65" t="str">
        <f t="shared" si="7"/>
        <v>GRANORTEBEIRA RIORACHÃOZINHO</v>
      </c>
      <c r="N515" s="85" t="s">
        <v>111</v>
      </c>
    </row>
    <row r="516" spans="2:14" x14ac:dyDescent="0.25">
      <c r="B516" s="91">
        <v>46074</v>
      </c>
      <c r="C516" s="63">
        <v>1</v>
      </c>
      <c r="D516" s="63" t="s">
        <v>186</v>
      </c>
      <c r="E516" s="65" t="s">
        <v>187</v>
      </c>
      <c r="F516" s="63" t="s">
        <v>166</v>
      </c>
      <c r="G516" s="63" t="s">
        <v>164</v>
      </c>
      <c r="H516" s="63">
        <v>58</v>
      </c>
      <c r="I516" s="65" t="s">
        <v>165</v>
      </c>
      <c r="J516" s="63">
        <v>6158</v>
      </c>
      <c r="K516" s="64">
        <v>1321.51</v>
      </c>
      <c r="L516" s="63" t="s">
        <v>804</v>
      </c>
      <c r="M516" s="65" t="str">
        <f t="shared" si="7"/>
        <v>GRANORTEUA SAO LUISPÓ DE BRITA</v>
      </c>
      <c r="N516" s="85" t="s">
        <v>1063</v>
      </c>
    </row>
    <row r="517" spans="2:14" x14ac:dyDescent="0.25">
      <c r="B517" s="91">
        <v>46074</v>
      </c>
      <c r="C517" s="63">
        <v>2</v>
      </c>
      <c r="D517" s="63" t="s">
        <v>296</v>
      </c>
      <c r="E517" s="65" t="s">
        <v>297</v>
      </c>
      <c r="F517" s="63" t="s">
        <v>291</v>
      </c>
      <c r="G517" s="63" t="s">
        <v>759</v>
      </c>
      <c r="H517" s="63">
        <v>289</v>
      </c>
      <c r="I517" s="65" t="s">
        <v>221</v>
      </c>
      <c r="J517" s="63">
        <v>3228</v>
      </c>
      <c r="K517" s="64">
        <v>3451.7</v>
      </c>
      <c r="L517" s="63" t="s">
        <v>1017</v>
      </c>
      <c r="M517" s="65" t="str">
        <f t="shared" ref="M517:M580" si="8">F517&amp;G517&amp;I517</f>
        <v>MINERADORA PORTO FRANCO - MAVF CONSTRUTORA KM39BGS</v>
      </c>
      <c r="N517" s="85" t="s">
        <v>1065</v>
      </c>
    </row>
    <row r="518" spans="2:14" x14ac:dyDescent="0.25">
      <c r="B518" s="91">
        <v>46074</v>
      </c>
      <c r="C518" s="63">
        <v>2</v>
      </c>
      <c r="D518" s="63" t="s">
        <v>294</v>
      </c>
      <c r="E518" s="65" t="s">
        <v>295</v>
      </c>
      <c r="F518" s="63" t="s">
        <v>276</v>
      </c>
      <c r="G518" s="63" t="s">
        <v>277</v>
      </c>
      <c r="H518" s="63">
        <v>118</v>
      </c>
      <c r="I518" s="65" t="s">
        <v>165</v>
      </c>
      <c r="J518" s="63">
        <v>3658</v>
      </c>
      <c r="K518" s="64">
        <v>1381.26</v>
      </c>
      <c r="L518" s="63" t="s">
        <v>1018</v>
      </c>
      <c r="M518" s="65" t="str">
        <f t="shared" si="8"/>
        <v>MINERADORA PORTO FRANCOCONCRENORTEPÓ DE BRITA</v>
      </c>
      <c r="N518" s="85" t="s">
        <v>1065</v>
      </c>
    </row>
    <row r="519" spans="2:14" x14ac:dyDescent="0.25">
      <c r="B519" s="91">
        <v>46074</v>
      </c>
      <c r="C519" s="63">
        <v>2</v>
      </c>
      <c r="D519" s="63" t="s">
        <v>308</v>
      </c>
      <c r="E519" s="65" t="s">
        <v>309</v>
      </c>
      <c r="F519" s="63" t="s">
        <v>291</v>
      </c>
      <c r="G519" s="63" t="s">
        <v>759</v>
      </c>
      <c r="H519" s="63">
        <v>289</v>
      </c>
      <c r="I519" s="65" t="s">
        <v>221</v>
      </c>
      <c r="J519" s="63">
        <v>5016</v>
      </c>
      <c r="K519" s="64">
        <v>5363.61</v>
      </c>
      <c r="L519" s="63" t="s">
        <v>1019</v>
      </c>
      <c r="M519" s="65" t="str">
        <f t="shared" si="8"/>
        <v>MINERADORA PORTO FRANCO - MAVF CONSTRUTORA KM39BGS</v>
      </c>
      <c r="N519" s="85" t="s">
        <v>1065</v>
      </c>
    </row>
    <row r="520" spans="2:14" x14ac:dyDescent="0.25">
      <c r="B520" s="91">
        <v>46074</v>
      </c>
      <c r="C520" s="63">
        <v>2</v>
      </c>
      <c r="D520" s="63" t="s">
        <v>310</v>
      </c>
      <c r="E520" s="65" t="s">
        <v>311</v>
      </c>
      <c r="F520" s="63" t="s">
        <v>291</v>
      </c>
      <c r="G520" s="63" t="s">
        <v>759</v>
      </c>
      <c r="H520" s="63">
        <v>289</v>
      </c>
      <c r="I520" s="65" t="s">
        <v>221</v>
      </c>
      <c r="J520" s="63">
        <v>3218</v>
      </c>
      <c r="K520" s="64">
        <v>3441.01</v>
      </c>
      <c r="L520" s="63" t="s">
        <v>1020</v>
      </c>
      <c r="M520" s="65" t="str">
        <f t="shared" si="8"/>
        <v>MINERADORA PORTO FRANCO - MAVF CONSTRUTORA KM39BGS</v>
      </c>
      <c r="N520" s="85" t="s">
        <v>1065</v>
      </c>
    </row>
    <row r="521" spans="2:14" x14ac:dyDescent="0.25">
      <c r="B521" s="91">
        <v>46074</v>
      </c>
      <c r="C521" s="63">
        <v>2</v>
      </c>
      <c r="D521" s="63" t="s">
        <v>298</v>
      </c>
      <c r="E521" s="65" t="s">
        <v>299</v>
      </c>
      <c r="F521" s="63" t="s">
        <v>291</v>
      </c>
      <c r="G521" s="63" t="s">
        <v>759</v>
      </c>
      <c r="H521" s="63">
        <v>289</v>
      </c>
      <c r="I521" s="65" t="s">
        <v>221</v>
      </c>
      <c r="J521" s="63">
        <v>485</v>
      </c>
      <c r="K521" s="64">
        <v>5186.1099999999997</v>
      </c>
      <c r="L521" s="63" t="s">
        <v>1021</v>
      </c>
      <c r="M521" s="65" t="str">
        <f t="shared" si="8"/>
        <v>MINERADORA PORTO FRANCO - MAVF CONSTRUTORA KM39BGS</v>
      </c>
      <c r="N521" s="85" t="s">
        <v>1065</v>
      </c>
    </row>
    <row r="522" spans="2:14" x14ac:dyDescent="0.25">
      <c r="B522" s="91">
        <v>46074</v>
      </c>
      <c r="C522" s="63">
        <v>2</v>
      </c>
      <c r="D522" s="63" t="s">
        <v>294</v>
      </c>
      <c r="E522" s="65" t="s">
        <v>295</v>
      </c>
      <c r="F522" s="63" t="s">
        <v>276</v>
      </c>
      <c r="G522" s="63" t="s">
        <v>307</v>
      </c>
      <c r="H522" s="63">
        <v>175</v>
      </c>
      <c r="I522" s="65" t="s">
        <v>175</v>
      </c>
      <c r="J522" s="63">
        <v>3956</v>
      </c>
      <c r="K522" s="64">
        <v>2215.36</v>
      </c>
      <c r="L522" s="63" t="s">
        <v>1022</v>
      </c>
      <c r="M522" s="65" t="str">
        <f t="shared" si="8"/>
        <v>MINERADORA PORTO FRANCOAUGUSTINOPOLIS TO (EDEC)BRITA 0</v>
      </c>
      <c r="N522" s="85" t="s">
        <v>1065</v>
      </c>
    </row>
    <row r="523" spans="2:14" x14ac:dyDescent="0.25">
      <c r="B523" s="91">
        <v>46074</v>
      </c>
      <c r="C523" s="63">
        <v>2</v>
      </c>
      <c r="D523" s="63" t="s">
        <v>310</v>
      </c>
      <c r="E523" s="65" t="s">
        <v>311</v>
      </c>
      <c r="F523" s="63" t="s">
        <v>276</v>
      </c>
      <c r="G523" s="63" t="s">
        <v>307</v>
      </c>
      <c r="H523" s="63">
        <v>175</v>
      </c>
      <c r="I523" s="65" t="s">
        <v>195</v>
      </c>
      <c r="J523" s="63">
        <v>392</v>
      </c>
      <c r="K523" s="64">
        <v>2195.1999999999998</v>
      </c>
      <c r="L523" s="63" t="s">
        <v>1023</v>
      </c>
      <c r="M523" s="65" t="str">
        <f t="shared" si="8"/>
        <v>MINERADORA PORTO FRANCOAUGUSTINOPOLIS TO (EDEC)BRITA 1</v>
      </c>
      <c r="N523" s="85" t="s">
        <v>1065</v>
      </c>
    </row>
    <row r="524" spans="2:14" x14ac:dyDescent="0.25">
      <c r="B524" s="91">
        <v>46074</v>
      </c>
      <c r="C524" s="63">
        <v>2</v>
      </c>
      <c r="D524" s="63" t="s">
        <v>296</v>
      </c>
      <c r="E524" s="65" t="s">
        <v>297</v>
      </c>
      <c r="F524" s="63" t="s">
        <v>291</v>
      </c>
      <c r="G524" s="63" t="s">
        <v>747</v>
      </c>
      <c r="H524" s="63">
        <v>145</v>
      </c>
      <c r="I524" s="65" t="s">
        <v>175</v>
      </c>
      <c r="J524" s="63">
        <v>3754</v>
      </c>
      <c r="K524" s="64">
        <v>2014.02</v>
      </c>
      <c r="L524" s="63" t="s">
        <v>1024</v>
      </c>
      <c r="M524" s="65" t="str">
        <f t="shared" si="8"/>
        <v>MINERADORA PORTO FRANCO - MAGRAJAU IDAN TORRESBRITA 0</v>
      </c>
      <c r="N524" s="85" t="s">
        <v>1065</v>
      </c>
    </row>
    <row r="525" spans="2:14" x14ac:dyDescent="0.25">
      <c r="B525" s="91">
        <v>46074</v>
      </c>
      <c r="C525" s="63">
        <v>2</v>
      </c>
      <c r="D525" s="63" t="s">
        <v>294</v>
      </c>
      <c r="E525" s="65" t="s">
        <v>295</v>
      </c>
      <c r="F525" s="63" t="s">
        <v>1025</v>
      </c>
      <c r="G525" s="63" t="s">
        <v>1026</v>
      </c>
      <c r="H525" s="63">
        <v>538</v>
      </c>
      <c r="I525" s="65" t="s">
        <v>1027</v>
      </c>
      <c r="J525" s="63">
        <v>1874</v>
      </c>
      <c r="K525" s="64">
        <v>3226.28</v>
      </c>
      <c r="L525" s="63" t="s">
        <v>1028</v>
      </c>
      <c r="M525" s="65" t="str">
        <f t="shared" si="8"/>
        <v xml:space="preserve">INPASA BALSASARAS FALCARFARELO </v>
      </c>
      <c r="N525" s="85" t="s">
        <v>280</v>
      </c>
    </row>
    <row r="526" spans="2:14" x14ac:dyDescent="0.25">
      <c r="B526" s="91">
        <v>46075</v>
      </c>
      <c r="C526" s="63">
        <v>1</v>
      </c>
      <c r="D526" s="63" t="s">
        <v>213</v>
      </c>
      <c r="E526" s="65" t="s">
        <v>178</v>
      </c>
      <c r="F526" s="63" t="s">
        <v>163</v>
      </c>
      <c r="G526" s="63" t="s">
        <v>111</v>
      </c>
      <c r="H526" s="63">
        <v>75</v>
      </c>
      <c r="I526" s="65" t="s">
        <v>185</v>
      </c>
      <c r="J526" s="63">
        <v>2588</v>
      </c>
      <c r="K526" s="64">
        <v>718.17</v>
      </c>
      <c r="L526" s="63" t="s">
        <v>805</v>
      </c>
      <c r="M526" s="65" t="str">
        <f t="shared" si="8"/>
        <v>BRASIL MINERACAOBEIRA RIORACHÃOZINHO</v>
      </c>
      <c r="N526" s="85" t="s">
        <v>111</v>
      </c>
    </row>
    <row r="527" spans="2:14" x14ac:dyDescent="0.25">
      <c r="B527" s="91">
        <v>46075</v>
      </c>
      <c r="C527" s="63">
        <v>2</v>
      </c>
      <c r="D527" s="63" t="s">
        <v>298</v>
      </c>
      <c r="E527" s="65" t="s">
        <v>299</v>
      </c>
      <c r="F527" s="63" t="s">
        <v>291</v>
      </c>
      <c r="G527" s="63" t="s">
        <v>667</v>
      </c>
      <c r="H527" s="63">
        <v>302</v>
      </c>
      <c r="I527" s="65" t="s">
        <v>185</v>
      </c>
      <c r="J527" s="63">
        <v>400</v>
      </c>
      <c r="K527" s="64">
        <v>4469.6000000000004</v>
      </c>
      <c r="L527" s="63" t="s">
        <v>1029</v>
      </c>
      <c r="M527" s="65" t="str">
        <f t="shared" si="8"/>
        <v>MINERADORA PORTO FRANCO - MAVF CONSTRUTORA KM52RACHÃOZINHO</v>
      </c>
      <c r="N527" s="85" t="s">
        <v>1065</v>
      </c>
    </row>
    <row r="528" spans="2:14" x14ac:dyDescent="0.25">
      <c r="B528" s="91">
        <v>46075</v>
      </c>
      <c r="C528" s="63">
        <v>2</v>
      </c>
      <c r="D528" s="63" t="s">
        <v>312</v>
      </c>
      <c r="E528" s="65" t="s">
        <v>313</v>
      </c>
      <c r="F528" s="63" t="s">
        <v>291</v>
      </c>
      <c r="G528" s="63" t="s">
        <v>759</v>
      </c>
      <c r="H528" s="63">
        <v>289</v>
      </c>
      <c r="I528" s="65" t="s">
        <v>279</v>
      </c>
      <c r="J528" s="63">
        <v>3138</v>
      </c>
      <c r="K528" s="64">
        <v>3355.46</v>
      </c>
      <c r="L528" s="63" t="s">
        <v>1030</v>
      </c>
      <c r="M528" s="65" t="str">
        <f t="shared" si="8"/>
        <v>MINERADORA PORTO FRANCO - MAVF CONSTRUTORA KM39MATACO</v>
      </c>
      <c r="N528" s="85" t="s">
        <v>1065</v>
      </c>
    </row>
    <row r="529" spans="2:14" x14ac:dyDescent="0.25">
      <c r="B529" s="91">
        <v>46075</v>
      </c>
      <c r="C529" s="63">
        <v>2</v>
      </c>
      <c r="D529" s="63" t="s">
        <v>312</v>
      </c>
      <c r="E529" s="65" t="s">
        <v>313</v>
      </c>
      <c r="F529" s="63" t="s">
        <v>291</v>
      </c>
      <c r="G529" s="63" t="s">
        <v>747</v>
      </c>
      <c r="H529" s="63">
        <v>145</v>
      </c>
      <c r="I529" s="65" t="s">
        <v>221</v>
      </c>
      <c r="J529" s="63">
        <v>3152</v>
      </c>
      <c r="K529" s="64">
        <v>1691.05</v>
      </c>
      <c r="L529" s="63" t="s">
        <v>1031</v>
      </c>
      <c r="M529" s="65" t="str">
        <f t="shared" si="8"/>
        <v>MINERADORA PORTO FRANCO - MAGRAJAU IDAN TORRESBGS</v>
      </c>
      <c r="N529" s="85" t="s">
        <v>1065</v>
      </c>
    </row>
    <row r="530" spans="2:14" x14ac:dyDescent="0.25">
      <c r="B530" s="91">
        <v>46075</v>
      </c>
      <c r="C530" s="63">
        <v>2</v>
      </c>
      <c r="D530" s="63" t="s">
        <v>310</v>
      </c>
      <c r="E530" s="65" t="s">
        <v>311</v>
      </c>
      <c r="F530" s="63" t="s">
        <v>291</v>
      </c>
      <c r="G530" s="63" t="s">
        <v>759</v>
      </c>
      <c r="H530" s="63">
        <v>289</v>
      </c>
      <c r="I530" s="65" t="s">
        <v>185</v>
      </c>
      <c r="J530" s="63">
        <v>3188</v>
      </c>
      <c r="K530" s="64">
        <v>3408.93</v>
      </c>
      <c r="L530" s="63" t="s">
        <v>1032</v>
      </c>
      <c r="M530" s="65" t="str">
        <f t="shared" si="8"/>
        <v>MINERADORA PORTO FRANCO - MAVF CONSTRUTORA KM39RACHÃOZINHO</v>
      </c>
      <c r="N530" s="85" t="s">
        <v>1065</v>
      </c>
    </row>
    <row r="531" spans="2:14" x14ac:dyDescent="0.25">
      <c r="B531" s="91">
        <v>46076</v>
      </c>
      <c r="C531" s="63">
        <v>1</v>
      </c>
      <c r="D531" s="63" t="s">
        <v>176</v>
      </c>
      <c r="E531" s="65" t="s">
        <v>177</v>
      </c>
      <c r="F531" s="63" t="s">
        <v>163</v>
      </c>
      <c r="G531" s="63" t="s">
        <v>164</v>
      </c>
      <c r="H531" s="63">
        <v>52</v>
      </c>
      <c r="I531" s="65" t="s">
        <v>165</v>
      </c>
      <c r="J531" s="63">
        <v>4534</v>
      </c>
      <c r="K531" s="64">
        <v>872.34</v>
      </c>
      <c r="L531" s="63" t="s">
        <v>806</v>
      </c>
      <c r="M531" s="65" t="str">
        <f t="shared" si="8"/>
        <v>BRASIL MINERACAOUA SAO LUISPÓ DE BRITA</v>
      </c>
      <c r="N531" s="85" t="s">
        <v>1063</v>
      </c>
    </row>
    <row r="532" spans="2:14" x14ac:dyDescent="0.25">
      <c r="B532" s="91">
        <v>46076</v>
      </c>
      <c r="C532" s="63">
        <v>1</v>
      </c>
      <c r="D532" s="63" t="s">
        <v>179</v>
      </c>
      <c r="E532" s="65" t="s">
        <v>282</v>
      </c>
      <c r="F532" s="63" t="s">
        <v>163</v>
      </c>
      <c r="G532" s="63" t="s">
        <v>111</v>
      </c>
      <c r="H532" s="63">
        <v>75</v>
      </c>
      <c r="I532" s="65" t="s">
        <v>185</v>
      </c>
      <c r="J532" s="63">
        <v>2708</v>
      </c>
      <c r="K532" s="64">
        <v>751.47</v>
      </c>
      <c r="L532" s="63" t="s">
        <v>807</v>
      </c>
      <c r="M532" s="65" t="str">
        <f t="shared" si="8"/>
        <v>BRASIL MINERACAOBEIRA RIORACHÃOZINHO</v>
      </c>
      <c r="N532" s="85" t="s">
        <v>111</v>
      </c>
    </row>
    <row r="533" spans="2:14" x14ac:dyDescent="0.25">
      <c r="B533" s="91">
        <v>46076</v>
      </c>
      <c r="C533" s="63">
        <v>1</v>
      </c>
      <c r="D533" s="63" t="s">
        <v>170</v>
      </c>
      <c r="E533" s="65" t="s">
        <v>171</v>
      </c>
      <c r="F533" s="63" t="s">
        <v>163</v>
      </c>
      <c r="G533" s="63" t="s">
        <v>111</v>
      </c>
      <c r="H533" s="63">
        <v>75</v>
      </c>
      <c r="I533" s="65" t="s">
        <v>185</v>
      </c>
      <c r="J533" s="63">
        <v>2518</v>
      </c>
      <c r="K533" s="64">
        <v>698.75</v>
      </c>
      <c r="L533" s="63" t="s">
        <v>808</v>
      </c>
      <c r="M533" s="65" t="str">
        <f t="shared" si="8"/>
        <v>BRASIL MINERACAOBEIRA RIORACHÃOZINHO</v>
      </c>
      <c r="N533" s="85" t="s">
        <v>111</v>
      </c>
    </row>
    <row r="534" spans="2:14" x14ac:dyDescent="0.25">
      <c r="B534" s="91">
        <v>46076</v>
      </c>
      <c r="C534" s="63">
        <v>1</v>
      </c>
      <c r="D534" s="63" t="s">
        <v>208</v>
      </c>
      <c r="E534" s="65" t="s">
        <v>209</v>
      </c>
      <c r="F534" s="63" t="s">
        <v>163</v>
      </c>
      <c r="G534" s="63" t="s">
        <v>164</v>
      </c>
      <c r="H534" s="63">
        <v>52</v>
      </c>
      <c r="I534" s="65" t="s">
        <v>165</v>
      </c>
      <c r="J534" s="63">
        <v>530</v>
      </c>
      <c r="K534" s="64">
        <v>1019.72</v>
      </c>
      <c r="L534" s="63" t="s">
        <v>809</v>
      </c>
      <c r="M534" s="65" t="str">
        <f t="shared" si="8"/>
        <v>BRASIL MINERACAOUA SAO LUISPÓ DE BRITA</v>
      </c>
      <c r="N534" s="85" t="s">
        <v>1063</v>
      </c>
    </row>
    <row r="535" spans="2:14" x14ac:dyDescent="0.25">
      <c r="B535" s="91">
        <v>46076</v>
      </c>
      <c r="C535" s="63">
        <v>1</v>
      </c>
      <c r="D535" s="63" t="s">
        <v>162</v>
      </c>
      <c r="E535" s="65" t="s">
        <v>281</v>
      </c>
      <c r="F535" s="63" t="s">
        <v>163</v>
      </c>
      <c r="G535" s="63" t="s">
        <v>164</v>
      </c>
      <c r="H535" s="63">
        <v>52</v>
      </c>
      <c r="I535" s="65" t="s">
        <v>185</v>
      </c>
      <c r="J535" s="63">
        <v>2542</v>
      </c>
      <c r="K535" s="64">
        <v>489.08</v>
      </c>
      <c r="L535" s="63" t="s">
        <v>810</v>
      </c>
      <c r="M535" s="65" t="str">
        <f t="shared" si="8"/>
        <v>BRASIL MINERACAOUA SAO LUISRACHÃOZINHO</v>
      </c>
      <c r="N535" s="85" t="s">
        <v>1063</v>
      </c>
    </row>
    <row r="536" spans="2:14" x14ac:dyDescent="0.25">
      <c r="B536" s="91">
        <v>46076</v>
      </c>
      <c r="C536" s="63">
        <v>1</v>
      </c>
      <c r="D536" s="63" t="s">
        <v>173</v>
      </c>
      <c r="E536" s="65" t="s">
        <v>174</v>
      </c>
      <c r="F536" s="63" t="s">
        <v>166</v>
      </c>
      <c r="G536" s="63" t="s">
        <v>111</v>
      </c>
      <c r="H536" s="63">
        <v>79</v>
      </c>
      <c r="I536" s="65" t="s">
        <v>169</v>
      </c>
      <c r="J536" s="63">
        <v>2544</v>
      </c>
      <c r="K536" s="64">
        <v>743.61</v>
      </c>
      <c r="L536" s="63" t="s">
        <v>811</v>
      </c>
      <c r="M536" s="65" t="str">
        <f t="shared" si="8"/>
        <v>GRANORTEBEIRA RIOPULMÃOZINHO</v>
      </c>
      <c r="N536" s="85" t="s">
        <v>111</v>
      </c>
    </row>
    <row r="537" spans="2:14" x14ac:dyDescent="0.25">
      <c r="B537" s="91">
        <v>46076</v>
      </c>
      <c r="C537" s="63">
        <v>1</v>
      </c>
      <c r="D537" s="63" t="s">
        <v>196</v>
      </c>
      <c r="E537" s="65" t="s">
        <v>197</v>
      </c>
      <c r="F537" s="63" t="s">
        <v>166</v>
      </c>
      <c r="G537" s="63" t="s">
        <v>164</v>
      </c>
      <c r="H537" s="63">
        <v>58</v>
      </c>
      <c r="I537" s="65" t="s">
        <v>165</v>
      </c>
      <c r="J537" s="63">
        <v>4926</v>
      </c>
      <c r="K537" s="64">
        <v>1057.1199999999999</v>
      </c>
      <c r="L537" s="63" t="s">
        <v>812</v>
      </c>
      <c r="M537" s="65" t="str">
        <f t="shared" si="8"/>
        <v>GRANORTEUA SAO LUISPÓ DE BRITA</v>
      </c>
      <c r="N537" s="85" t="s">
        <v>1063</v>
      </c>
    </row>
    <row r="538" spans="2:14" x14ac:dyDescent="0.25">
      <c r="B538" s="91">
        <v>46076</v>
      </c>
      <c r="C538" s="63">
        <v>1</v>
      </c>
      <c r="D538" s="63" t="s">
        <v>202</v>
      </c>
      <c r="E538" s="65" t="s">
        <v>214</v>
      </c>
      <c r="F538" s="63" t="s">
        <v>166</v>
      </c>
      <c r="G538" s="63" t="s">
        <v>164</v>
      </c>
      <c r="H538" s="63">
        <v>58</v>
      </c>
      <c r="I538" s="65" t="s">
        <v>165</v>
      </c>
      <c r="J538" s="63">
        <v>4884</v>
      </c>
      <c r="K538" s="64">
        <v>1048.1099999999999</v>
      </c>
      <c r="L538" s="63" t="s">
        <v>813</v>
      </c>
      <c r="M538" s="65" t="str">
        <f t="shared" si="8"/>
        <v>GRANORTEUA SAO LUISPÓ DE BRITA</v>
      </c>
      <c r="N538" s="85" t="s">
        <v>1063</v>
      </c>
    </row>
    <row r="539" spans="2:14" x14ac:dyDescent="0.25">
      <c r="B539" s="91">
        <v>46076</v>
      </c>
      <c r="C539" s="63">
        <v>1</v>
      </c>
      <c r="D539" s="63" t="s">
        <v>176</v>
      </c>
      <c r="E539" s="65" t="s">
        <v>177</v>
      </c>
      <c r="F539" s="63" t="s">
        <v>163</v>
      </c>
      <c r="G539" s="63" t="s">
        <v>164</v>
      </c>
      <c r="H539" s="63">
        <v>52</v>
      </c>
      <c r="I539" s="65" t="s">
        <v>175</v>
      </c>
      <c r="J539" s="63">
        <v>4616</v>
      </c>
      <c r="K539" s="64">
        <v>888.12</v>
      </c>
      <c r="L539" s="63" t="s">
        <v>814</v>
      </c>
      <c r="M539" s="65" t="str">
        <f t="shared" si="8"/>
        <v>BRASIL MINERACAOUA SAO LUISBRITA 0</v>
      </c>
      <c r="N539" s="85" t="s">
        <v>1063</v>
      </c>
    </row>
    <row r="540" spans="2:14" x14ac:dyDescent="0.25">
      <c r="B540" s="91">
        <v>46076</v>
      </c>
      <c r="C540" s="63">
        <v>1</v>
      </c>
      <c r="D540" s="63" t="s">
        <v>170</v>
      </c>
      <c r="E540" s="65" t="s">
        <v>171</v>
      </c>
      <c r="F540" s="63" t="s">
        <v>163</v>
      </c>
      <c r="G540" s="63" t="s">
        <v>111</v>
      </c>
      <c r="H540" s="63">
        <v>75</v>
      </c>
      <c r="I540" s="65" t="s">
        <v>185</v>
      </c>
      <c r="J540" s="63">
        <v>2512</v>
      </c>
      <c r="K540" s="64">
        <v>697.08</v>
      </c>
      <c r="L540" s="63" t="s">
        <v>815</v>
      </c>
      <c r="M540" s="65" t="str">
        <f t="shared" si="8"/>
        <v>BRASIL MINERACAOBEIRA RIORACHÃOZINHO</v>
      </c>
      <c r="N540" s="85" t="s">
        <v>111</v>
      </c>
    </row>
    <row r="541" spans="2:14" x14ac:dyDescent="0.25">
      <c r="B541" s="91">
        <v>46076</v>
      </c>
      <c r="C541" s="63">
        <v>1</v>
      </c>
      <c r="D541" s="63" t="s">
        <v>179</v>
      </c>
      <c r="E541" s="65" t="s">
        <v>282</v>
      </c>
      <c r="F541" s="63" t="s">
        <v>163</v>
      </c>
      <c r="G541" s="63" t="s">
        <v>111</v>
      </c>
      <c r="H541" s="63">
        <v>75</v>
      </c>
      <c r="I541" s="65" t="s">
        <v>185</v>
      </c>
      <c r="J541" s="63">
        <v>2502</v>
      </c>
      <c r="K541" s="64">
        <v>694.31</v>
      </c>
      <c r="L541" s="63" t="s">
        <v>816</v>
      </c>
      <c r="M541" s="65" t="str">
        <f t="shared" si="8"/>
        <v>BRASIL MINERACAOBEIRA RIORACHÃOZINHO</v>
      </c>
      <c r="N541" s="85" t="s">
        <v>111</v>
      </c>
    </row>
    <row r="542" spans="2:14" x14ac:dyDescent="0.25">
      <c r="B542" s="91">
        <v>46076</v>
      </c>
      <c r="C542" s="63">
        <v>1</v>
      </c>
      <c r="D542" s="63" t="s">
        <v>162</v>
      </c>
      <c r="E542" s="65" t="s">
        <v>281</v>
      </c>
      <c r="F542" s="63" t="s">
        <v>166</v>
      </c>
      <c r="G542" s="63" t="s">
        <v>164</v>
      </c>
      <c r="H542" s="63">
        <v>58</v>
      </c>
      <c r="I542" s="65" t="s">
        <v>169</v>
      </c>
      <c r="J542" s="63">
        <v>2518</v>
      </c>
      <c r="K542" s="64">
        <v>540.36</v>
      </c>
      <c r="L542" s="63" t="s">
        <v>817</v>
      </c>
      <c r="M542" s="65" t="str">
        <f t="shared" si="8"/>
        <v>GRANORTEUA SAO LUISPULMÃOZINHO</v>
      </c>
      <c r="N542" s="85" t="s">
        <v>1063</v>
      </c>
    </row>
    <row r="543" spans="2:14" x14ac:dyDescent="0.25">
      <c r="B543" s="91">
        <v>46076</v>
      </c>
      <c r="C543" s="63">
        <v>1</v>
      </c>
      <c r="D543" s="63" t="s">
        <v>173</v>
      </c>
      <c r="E543" s="65" t="s">
        <v>174</v>
      </c>
      <c r="F543" s="63" t="s">
        <v>166</v>
      </c>
      <c r="G543" s="63" t="s">
        <v>111</v>
      </c>
      <c r="H543" s="63">
        <v>79</v>
      </c>
      <c r="I543" s="65" t="s">
        <v>169</v>
      </c>
      <c r="J543" s="63">
        <v>2636</v>
      </c>
      <c r="K543" s="64">
        <v>770.5</v>
      </c>
      <c r="L543" s="63" t="s">
        <v>818</v>
      </c>
      <c r="M543" s="65" t="str">
        <f t="shared" si="8"/>
        <v>GRANORTEBEIRA RIOPULMÃOZINHO</v>
      </c>
      <c r="N543" s="85" t="s">
        <v>111</v>
      </c>
    </row>
    <row r="544" spans="2:14" x14ac:dyDescent="0.25">
      <c r="B544" s="91">
        <v>46076</v>
      </c>
      <c r="C544" s="63">
        <v>1</v>
      </c>
      <c r="D544" s="63" t="s">
        <v>173</v>
      </c>
      <c r="E544" s="65" t="s">
        <v>174</v>
      </c>
      <c r="F544" s="63" t="s">
        <v>163</v>
      </c>
      <c r="G544" s="63" t="s">
        <v>111</v>
      </c>
      <c r="H544" s="63">
        <v>75</v>
      </c>
      <c r="I544" s="65" t="s">
        <v>185</v>
      </c>
      <c r="J544" s="63">
        <v>2522</v>
      </c>
      <c r="K544" s="64">
        <v>699.86</v>
      </c>
      <c r="L544" s="63" t="s">
        <v>819</v>
      </c>
      <c r="M544" s="65" t="str">
        <f t="shared" si="8"/>
        <v>BRASIL MINERACAOBEIRA RIORACHÃOZINHO</v>
      </c>
      <c r="N544" s="85" t="s">
        <v>111</v>
      </c>
    </row>
    <row r="545" spans="2:14" x14ac:dyDescent="0.25">
      <c r="B545" s="91">
        <v>46076</v>
      </c>
      <c r="C545" s="63">
        <v>1</v>
      </c>
      <c r="D545" s="63" t="s">
        <v>208</v>
      </c>
      <c r="E545" s="65" t="s">
        <v>209</v>
      </c>
      <c r="F545" s="63" t="s">
        <v>163</v>
      </c>
      <c r="G545" s="63" t="s">
        <v>164</v>
      </c>
      <c r="H545" s="63">
        <v>52</v>
      </c>
      <c r="I545" s="65" t="s">
        <v>165</v>
      </c>
      <c r="J545" s="63">
        <v>540</v>
      </c>
      <c r="K545" s="64">
        <v>1038.96</v>
      </c>
      <c r="L545" s="63" t="s">
        <v>820</v>
      </c>
      <c r="M545" s="65" t="str">
        <f t="shared" si="8"/>
        <v>BRASIL MINERACAOUA SAO LUISPÓ DE BRITA</v>
      </c>
      <c r="N545" s="85" t="s">
        <v>1063</v>
      </c>
    </row>
    <row r="546" spans="2:14" x14ac:dyDescent="0.25">
      <c r="B546" s="91">
        <v>46076</v>
      </c>
      <c r="C546" s="63">
        <v>1</v>
      </c>
      <c r="D546" s="63" t="s">
        <v>196</v>
      </c>
      <c r="E546" s="65" t="s">
        <v>197</v>
      </c>
      <c r="F546" s="63" t="s">
        <v>166</v>
      </c>
      <c r="G546" s="63" t="s">
        <v>164</v>
      </c>
      <c r="H546" s="63">
        <v>58</v>
      </c>
      <c r="I546" s="65" t="s">
        <v>165</v>
      </c>
      <c r="J546" s="63">
        <v>493</v>
      </c>
      <c r="K546" s="64">
        <v>1057.98</v>
      </c>
      <c r="L546" s="63" t="s">
        <v>821</v>
      </c>
      <c r="M546" s="65" t="str">
        <f t="shared" si="8"/>
        <v>GRANORTEUA SAO LUISPÓ DE BRITA</v>
      </c>
      <c r="N546" s="85" t="s">
        <v>1063</v>
      </c>
    </row>
    <row r="547" spans="2:14" x14ac:dyDescent="0.25">
      <c r="B547" s="91">
        <v>46076</v>
      </c>
      <c r="C547" s="63">
        <v>1</v>
      </c>
      <c r="D547" s="63" t="s">
        <v>203</v>
      </c>
      <c r="E547" s="65" t="s">
        <v>204</v>
      </c>
      <c r="F547" s="63" t="s">
        <v>166</v>
      </c>
      <c r="G547" s="63" t="s">
        <v>164</v>
      </c>
      <c r="H547" s="63">
        <v>58</v>
      </c>
      <c r="I547" s="65" t="s">
        <v>165</v>
      </c>
      <c r="J547" s="63">
        <v>4574</v>
      </c>
      <c r="K547" s="64">
        <v>981.58</v>
      </c>
      <c r="L547" s="63" t="s">
        <v>822</v>
      </c>
      <c r="M547" s="65" t="str">
        <f t="shared" si="8"/>
        <v>GRANORTEUA SAO LUISPÓ DE BRITA</v>
      </c>
      <c r="N547" s="85" t="s">
        <v>1063</v>
      </c>
    </row>
    <row r="548" spans="2:14" x14ac:dyDescent="0.25">
      <c r="B548" s="91">
        <v>46076</v>
      </c>
      <c r="C548" s="63">
        <v>1</v>
      </c>
      <c r="D548" s="63" t="s">
        <v>202</v>
      </c>
      <c r="E548" s="65" t="s">
        <v>214</v>
      </c>
      <c r="F548" s="63" t="s">
        <v>166</v>
      </c>
      <c r="G548" s="63" t="s">
        <v>164</v>
      </c>
      <c r="H548" s="63">
        <v>58</v>
      </c>
      <c r="I548" s="65" t="s">
        <v>165</v>
      </c>
      <c r="J548" s="63">
        <v>5134</v>
      </c>
      <c r="K548" s="64">
        <v>1101.76</v>
      </c>
      <c r="L548" s="63" t="s">
        <v>823</v>
      </c>
      <c r="M548" s="65" t="str">
        <f t="shared" si="8"/>
        <v>GRANORTEUA SAO LUISPÓ DE BRITA</v>
      </c>
      <c r="N548" s="85" t="s">
        <v>1063</v>
      </c>
    </row>
    <row r="549" spans="2:14" x14ac:dyDescent="0.25">
      <c r="B549" s="91">
        <v>46076</v>
      </c>
      <c r="C549" s="63">
        <v>1</v>
      </c>
      <c r="D549" s="63" t="s">
        <v>181</v>
      </c>
      <c r="E549" s="65" t="s">
        <v>182</v>
      </c>
      <c r="F549" s="63" t="s">
        <v>166</v>
      </c>
      <c r="G549" s="63" t="s">
        <v>824</v>
      </c>
      <c r="H549" s="63">
        <v>78</v>
      </c>
      <c r="I549" s="65" t="s">
        <v>169</v>
      </c>
      <c r="J549" s="63">
        <v>2468</v>
      </c>
      <c r="K549" s="64">
        <v>712.26</v>
      </c>
      <c r="L549" s="63" t="s">
        <v>825</v>
      </c>
      <c r="M549" s="65" t="str">
        <f t="shared" si="8"/>
        <v>GRANORTECRUZAMENTO MA 201/202 (METROPOLITANA)PULMÃOZINHO</v>
      </c>
      <c r="N549" s="85" t="s">
        <v>11</v>
      </c>
    </row>
    <row r="550" spans="2:14" x14ac:dyDescent="0.25">
      <c r="B550" s="91">
        <v>46076</v>
      </c>
      <c r="C550" s="63">
        <v>1</v>
      </c>
      <c r="D550" s="63" t="s">
        <v>181</v>
      </c>
      <c r="E550" s="65" t="s">
        <v>182</v>
      </c>
      <c r="F550" s="63" t="s">
        <v>166</v>
      </c>
      <c r="G550" s="63" t="s">
        <v>824</v>
      </c>
      <c r="H550" s="63">
        <v>78</v>
      </c>
      <c r="I550" s="65" t="s">
        <v>169</v>
      </c>
      <c r="J550" s="63">
        <v>2576</v>
      </c>
      <c r="K550" s="64">
        <v>743.43</v>
      </c>
      <c r="L550" s="63" t="s">
        <v>826</v>
      </c>
      <c r="M550" s="65" t="str">
        <f t="shared" si="8"/>
        <v>GRANORTECRUZAMENTO MA 201/202 (METROPOLITANA)PULMÃOZINHO</v>
      </c>
      <c r="N550" s="85" t="s">
        <v>11</v>
      </c>
    </row>
    <row r="551" spans="2:14" x14ac:dyDescent="0.25">
      <c r="B551" s="91">
        <v>46076</v>
      </c>
      <c r="C551" s="63">
        <v>1</v>
      </c>
      <c r="D551" s="63" t="s">
        <v>188</v>
      </c>
      <c r="E551" s="65" t="s">
        <v>189</v>
      </c>
      <c r="F551" s="63" t="s">
        <v>163</v>
      </c>
      <c r="G551" s="63" t="s">
        <v>161</v>
      </c>
      <c r="H551" s="63">
        <v>368</v>
      </c>
      <c r="I551" s="65" t="s">
        <v>165</v>
      </c>
      <c r="J551" s="63">
        <v>6228</v>
      </c>
      <c r="K551" s="64">
        <v>7334.09</v>
      </c>
      <c r="L551" s="63" t="s">
        <v>827</v>
      </c>
      <c r="M551" s="65" t="str">
        <f t="shared" si="8"/>
        <v>BRASIL MINERACAOUA PINHEIROPÓ DE BRITA</v>
      </c>
      <c r="N551" s="85" t="s">
        <v>161</v>
      </c>
    </row>
    <row r="552" spans="2:14" x14ac:dyDescent="0.25">
      <c r="B552" s="91">
        <v>46076</v>
      </c>
      <c r="C552" s="63">
        <v>1</v>
      </c>
      <c r="D552" s="63" t="s">
        <v>183</v>
      </c>
      <c r="E552" s="65" t="s">
        <v>506</v>
      </c>
      <c r="F552" s="63" t="s">
        <v>166</v>
      </c>
      <c r="G552" s="63" t="s">
        <v>111</v>
      </c>
      <c r="H552" s="63">
        <v>79</v>
      </c>
      <c r="I552" s="65" t="s">
        <v>169</v>
      </c>
      <c r="J552" s="63">
        <v>2698</v>
      </c>
      <c r="K552" s="64">
        <v>788.63</v>
      </c>
      <c r="L552" s="63" t="s">
        <v>828</v>
      </c>
      <c r="M552" s="65" t="str">
        <f t="shared" si="8"/>
        <v>GRANORTEBEIRA RIOPULMÃOZINHO</v>
      </c>
      <c r="N552" s="85" t="s">
        <v>111</v>
      </c>
    </row>
    <row r="553" spans="2:14" x14ac:dyDescent="0.25">
      <c r="B553" s="91">
        <v>46076</v>
      </c>
      <c r="C553" s="63">
        <v>1</v>
      </c>
      <c r="D553" s="63" t="s">
        <v>289</v>
      </c>
      <c r="E553" s="65" t="s">
        <v>290</v>
      </c>
      <c r="F553" s="63" t="s">
        <v>291</v>
      </c>
      <c r="G553" s="63" t="s">
        <v>783</v>
      </c>
      <c r="H553" s="63">
        <v>358</v>
      </c>
      <c r="I553" s="65" t="s">
        <v>221</v>
      </c>
      <c r="J553" s="63">
        <v>3026</v>
      </c>
      <c r="K553" s="64">
        <v>4008.24</v>
      </c>
      <c r="L553" s="63" t="s">
        <v>829</v>
      </c>
      <c r="M553" s="65" t="str">
        <f t="shared" si="8"/>
        <v>MINERADORA PORTO FRANCO - MAVF CONSTRUTORA KM114BGS</v>
      </c>
      <c r="N553" s="85" t="s">
        <v>1065</v>
      </c>
    </row>
    <row r="554" spans="2:14" x14ac:dyDescent="0.25">
      <c r="B554" s="91">
        <v>46076</v>
      </c>
      <c r="C554" s="63">
        <v>1</v>
      </c>
      <c r="D554" s="63" t="s">
        <v>186</v>
      </c>
      <c r="E554" s="65" t="s">
        <v>187</v>
      </c>
      <c r="F554" s="63" t="s">
        <v>166</v>
      </c>
      <c r="G554" s="63" t="s">
        <v>164</v>
      </c>
      <c r="H554" s="63">
        <v>58</v>
      </c>
      <c r="I554" s="65" t="s">
        <v>165</v>
      </c>
      <c r="J554" s="63">
        <v>511</v>
      </c>
      <c r="K554" s="64">
        <v>1096.6099999999999</v>
      </c>
      <c r="L554" s="63" t="s">
        <v>830</v>
      </c>
      <c r="M554" s="65" t="str">
        <f t="shared" si="8"/>
        <v>GRANORTEUA SAO LUISPÓ DE BRITA</v>
      </c>
      <c r="N554" s="85" t="s">
        <v>1063</v>
      </c>
    </row>
    <row r="555" spans="2:14" x14ac:dyDescent="0.25">
      <c r="B555" s="91">
        <v>46076</v>
      </c>
      <c r="C555" s="63">
        <v>1</v>
      </c>
      <c r="D555" s="63" t="s">
        <v>183</v>
      </c>
      <c r="E555" s="65" t="s">
        <v>506</v>
      </c>
      <c r="F555" s="63" t="s">
        <v>166</v>
      </c>
      <c r="G555" s="63" t="s">
        <v>111</v>
      </c>
      <c r="H555" s="63">
        <v>79</v>
      </c>
      <c r="I555" s="65" t="s">
        <v>169</v>
      </c>
      <c r="J555" s="63">
        <v>2702</v>
      </c>
      <c r="K555" s="64">
        <v>789.79</v>
      </c>
      <c r="L555" s="63" t="s">
        <v>831</v>
      </c>
      <c r="M555" s="65" t="str">
        <f t="shared" si="8"/>
        <v>GRANORTEBEIRA RIOPULMÃOZINHO</v>
      </c>
      <c r="N555" s="85" t="s">
        <v>111</v>
      </c>
    </row>
    <row r="556" spans="2:14" x14ac:dyDescent="0.25">
      <c r="B556" s="91">
        <v>46076</v>
      </c>
      <c r="C556" s="63">
        <v>1</v>
      </c>
      <c r="D556" s="63" t="s">
        <v>193</v>
      </c>
      <c r="E556" s="65" t="s">
        <v>285</v>
      </c>
      <c r="F556" s="63" t="s">
        <v>163</v>
      </c>
      <c r="G556" s="63" t="s">
        <v>111</v>
      </c>
      <c r="H556" s="63">
        <v>75</v>
      </c>
      <c r="I556" s="65" t="s">
        <v>185</v>
      </c>
      <c r="J556" s="63">
        <v>2504</v>
      </c>
      <c r="K556" s="64">
        <v>694.86</v>
      </c>
      <c r="L556" s="63" t="s">
        <v>832</v>
      </c>
      <c r="M556" s="65" t="str">
        <f t="shared" si="8"/>
        <v>BRASIL MINERACAOBEIRA RIORACHÃOZINHO</v>
      </c>
      <c r="N556" s="85" t="s">
        <v>111</v>
      </c>
    </row>
    <row r="557" spans="2:14" x14ac:dyDescent="0.25">
      <c r="B557" s="91">
        <v>46076</v>
      </c>
      <c r="C557" s="63">
        <v>1</v>
      </c>
      <c r="D557" s="63" t="s">
        <v>193</v>
      </c>
      <c r="E557" s="65" t="s">
        <v>285</v>
      </c>
      <c r="F557" s="63" t="s">
        <v>166</v>
      </c>
      <c r="G557" s="63" t="s">
        <v>111</v>
      </c>
      <c r="H557" s="63">
        <v>79</v>
      </c>
      <c r="I557" s="65" t="s">
        <v>169</v>
      </c>
      <c r="J557" s="63">
        <v>2492</v>
      </c>
      <c r="K557" s="64">
        <v>728.41</v>
      </c>
      <c r="L557" s="63" t="s">
        <v>833</v>
      </c>
      <c r="M557" s="65" t="str">
        <f t="shared" si="8"/>
        <v>GRANORTEBEIRA RIOPULMÃOZINHO</v>
      </c>
      <c r="N557" s="85" t="s">
        <v>111</v>
      </c>
    </row>
    <row r="558" spans="2:14" x14ac:dyDescent="0.25">
      <c r="B558" s="91">
        <v>46076</v>
      </c>
      <c r="C558" s="63">
        <v>1</v>
      </c>
      <c r="D558" s="63" t="s">
        <v>210</v>
      </c>
      <c r="E558" s="65" t="s">
        <v>211</v>
      </c>
      <c r="F558" s="63" t="s">
        <v>166</v>
      </c>
      <c r="G558" s="63" t="s">
        <v>164</v>
      </c>
      <c r="H558" s="63">
        <v>58</v>
      </c>
      <c r="I558" s="65" t="s">
        <v>165</v>
      </c>
      <c r="J558" s="63">
        <v>5142</v>
      </c>
      <c r="K558" s="64">
        <v>1103.47</v>
      </c>
      <c r="L558" s="63" t="s">
        <v>834</v>
      </c>
      <c r="M558" s="65" t="str">
        <f t="shared" si="8"/>
        <v>GRANORTEUA SAO LUISPÓ DE BRITA</v>
      </c>
      <c r="N558" s="85" t="s">
        <v>1063</v>
      </c>
    </row>
    <row r="559" spans="2:14" x14ac:dyDescent="0.25">
      <c r="B559" s="91">
        <v>46076</v>
      </c>
      <c r="C559" s="63">
        <v>1</v>
      </c>
      <c r="D559" s="63" t="s">
        <v>210</v>
      </c>
      <c r="E559" s="65" t="s">
        <v>211</v>
      </c>
      <c r="F559" s="63" t="s">
        <v>166</v>
      </c>
      <c r="G559" s="63" t="s">
        <v>164</v>
      </c>
      <c r="H559" s="63">
        <v>58</v>
      </c>
      <c r="I559" s="65" t="s">
        <v>165</v>
      </c>
      <c r="J559" s="63">
        <v>4872</v>
      </c>
      <c r="K559" s="64">
        <v>1045.53</v>
      </c>
      <c r="L559" s="63" t="s">
        <v>835</v>
      </c>
      <c r="M559" s="65" t="str">
        <f t="shared" si="8"/>
        <v>GRANORTEUA SAO LUISPÓ DE BRITA</v>
      </c>
      <c r="N559" s="85" t="s">
        <v>1063</v>
      </c>
    </row>
    <row r="560" spans="2:14" x14ac:dyDescent="0.25">
      <c r="B560" s="91">
        <v>46076</v>
      </c>
      <c r="C560" s="63">
        <v>1</v>
      </c>
      <c r="D560" s="63" t="s">
        <v>192</v>
      </c>
      <c r="E560" s="65" t="s">
        <v>287</v>
      </c>
      <c r="F560" s="63" t="s">
        <v>163</v>
      </c>
      <c r="G560" s="63" t="s">
        <v>164</v>
      </c>
      <c r="H560" s="63">
        <v>52</v>
      </c>
      <c r="I560" s="65" t="s">
        <v>165</v>
      </c>
      <c r="J560" s="63">
        <v>470</v>
      </c>
      <c r="K560" s="64">
        <v>904.28</v>
      </c>
      <c r="L560" s="63" t="s">
        <v>836</v>
      </c>
      <c r="M560" s="65" t="str">
        <f t="shared" si="8"/>
        <v>BRASIL MINERACAOUA SAO LUISPÓ DE BRITA</v>
      </c>
      <c r="N560" s="85" t="s">
        <v>1063</v>
      </c>
    </row>
    <row r="561" spans="2:14" x14ac:dyDescent="0.25">
      <c r="B561" s="91">
        <v>46076</v>
      </c>
      <c r="C561" s="63">
        <v>1</v>
      </c>
      <c r="D561" s="63" t="s">
        <v>192</v>
      </c>
      <c r="E561" s="65" t="s">
        <v>287</v>
      </c>
      <c r="F561" s="63" t="s">
        <v>163</v>
      </c>
      <c r="G561" s="63" t="s">
        <v>164</v>
      </c>
      <c r="H561" s="63">
        <v>52</v>
      </c>
      <c r="I561" s="65" t="s">
        <v>165</v>
      </c>
      <c r="J561" s="63">
        <v>466</v>
      </c>
      <c r="K561" s="64">
        <v>896.58</v>
      </c>
      <c r="L561" s="63" t="s">
        <v>837</v>
      </c>
      <c r="M561" s="65" t="str">
        <f t="shared" si="8"/>
        <v>BRASIL MINERACAOUA SAO LUISPÓ DE BRITA</v>
      </c>
      <c r="N561" s="85" t="s">
        <v>1063</v>
      </c>
    </row>
    <row r="562" spans="2:14" x14ac:dyDescent="0.25">
      <c r="B562" s="91">
        <v>46076</v>
      </c>
      <c r="C562" s="63">
        <v>1</v>
      </c>
      <c r="D562" s="63" t="s">
        <v>192</v>
      </c>
      <c r="E562" s="65" t="s">
        <v>287</v>
      </c>
      <c r="F562" s="63" t="s">
        <v>163</v>
      </c>
      <c r="G562" s="63" t="s">
        <v>164</v>
      </c>
      <c r="H562" s="63">
        <v>52</v>
      </c>
      <c r="I562" s="65" t="s">
        <v>175</v>
      </c>
      <c r="J562" s="63">
        <v>594</v>
      </c>
      <c r="K562" s="64">
        <v>1142.8599999999999</v>
      </c>
      <c r="L562" s="63" t="s">
        <v>838</v>
      </c>
      <c r="M562" s="65" t="str">
        <f t="shared" si="8"/>
        <v>BRASIL MINERACAOUA SAO LUISBRITA 0</v>
      </c>
      <c r="N562" s="85" t="s">
        <v>1063</v>
      </c>
    </row>
    <row r="563" spans="2:14" x14ac:dyDescent="0.25">
      <c r="B563" s="91">
        <v>46076</v>
      </c>
      <c r="C563" s="63">
        <v>1</v>
      </c>
      <c r="D563" s="63" t="s">
        <v>286</v>
      </c>
      <c r="E563" s="65" t="s">
        <v>343</v>
      </c>
      <c r="F563" s="63" t="s">
        <v>163</v>
      </c>
      <c r="G563" s="63" t="s">
        <v>164</v>
      </c>
      <c r="H563" s="63">
        <v>52</v>
      </c>
      <c r="I563" s="65" t="s">
        <v>165</v>
      </c>
      <c r="J563" s="63">
        <v>4584</v>
      </c>
      <c r="K563" s="64">
        <v>881.96</v>
      </c>
      <c r="L563" s="63" t="s">
        <v>839</v>
      </c>
      <c r="M563" s="65" t="str">
        <f t="shared" si="8"/>
        <v>BRASIL MINERACAOUA SAO LUISPÓ DE BRITA</v>
      </c>
      <c r="N563" s="85" t="s">
        <v>1063</v>
      </c>
    </row>
    <row r="564" spans="2:14" x14ac:dyDescent="0.25">
      <c r="B564" s="91">
        <v>46076</v>
      </c>
      <c r="C564" s="63">
        <v>1</v>
      </c>
      <c r="D564" s="63" t="s">
        <v>286</v>
      </c>
      <c r="E564" s="65" t="s">
        <v>343</v>
      </c>
      <c r="F564" s="63" t="s">
        <v>163</v>
      </c>
      <c r="G564" s="63" t="s">
        <v>164</v>
      </c>
      <c r="H564" s="63">
        <v>52</v>
      </c>
      <c r="I564" s="65" t="s">
        <v>165</v>
      </c>
      <c r="J564" s="63">
        <v>4724</v>
      </c>
      <c r="K564" s="64">
        <v>908.9</v>
      </c>
      <c r="L564" s="63" t="s">
        <v>840</v>
      </c>
      <c r="M564" s="65" t="str">
        <f t="shared" si="8"/>
        <v>BRASIL MINERACAOUA SAO LUISPÓ DE BRITA</v>
      </c>
      <c r="N564" s="85" t="s">
        <v>1063</v>
      </c>
    </row>
    <row r="565" spans="2:14" x14ac:dyDescent="0.25">
      <c r="B565" s="91">
        <v>46076</v>
      </c>
      <c r="C565" s="63">
        <v>2</v>
      </c>
      <c r="D565" s="63" t="s">
        <v>312</v>
      </c>
      <c r="E565" s="65" t="s">
        <v>313</v>
      </c>
      <c r="F565" s="63" t="s">
        <v>276</v>
      </c>
      <c r="G565" s="63" t="s">
        <v>307</v>
      </c>
      <c r="H565" s="63">
        <v>175</v>
      </c>
      <c r="I565" s="65" t="s">
        <v>175</v>
      </c>
      <c r="J565" s="63">
        <v>4034</v>
      </c>
      <c r="K565" s="64">
        <v>2259.04</v>
      </c>
      <c r="L565" s="63" t="s">
        <v>1033</v>
      </c>
      <c r="M565" s="65" t="str">
        <f t="shared" si="8"/>
        <v>MINERADORA PORTO FRANCOAUGUSTINOPOLIS TO (EDEC)BRITA 0</v>
      </c>
      <c r="N565" s="85" t="s">
        <v>1065</v>
      </c>
    </row>
    <row r="566" spans="2:14" x14ac:dyDescent="0.25">
      <c r="B566" s="91">
        <v>46076</v>
      </c>
      <c r="C566" s="63">
        <v>2</v>
      </c>
      <c r="D566" s="63" t="s">
        <v>310</v>
      </c>
      <c r="E566" s="65" t="s">
        <v>311</v>
      </c>
      <c r="F566" s="63" t="s">
        <v>291</v>
      </c>
      <c r="G566" s="63" t="s">
        <v>783</v>
      </c>
      <c r="H566" s="63">
        <v>358</v>
      </c>
      <c r="I566" s="65" t="s">
        <v>221</v>
      </c>
      <c r="J566" s="63">
        <v>3152</v>
      </c>
      <c r="K566" s="64">
        <v>4175.1400000000003</v>
      </c>
      <c r="L566" s="63" t="s">
        <v>1034</v>
      </c>
      <c r="M566" s="65" t="str">
        <f t="shared" si="8"/>
        <v>MINERADORA PORTO FRANCO - MAVF CONSTRUTORA KM114BGS</v>
      </c>
      <c r="N566" s="85" t="s">
        <v>1065</v>
      </c>
    </row>
    <row r="567" spans="2:14" x14ac:dyDescent="0.25">
      <c r="B567" s="67">
        <v>46076</v>
      </c>
      <c r="C567" s="63">
        <v>1</v>
      </c>
      <c r="D567" s="63" t="s">
        <v>200</v>
      </c>
      <c r="E567" s="68" t="s">
        <v>1076</v>
      </c>
      <c r="F567" s="63" t="s">
        <v>1069</v>
      </c>
      <c r="G567" s="63" t="s">
        <v>1070</v>
      </c>
      <c r="H567" s="63">
        <v>52</v>
      </c>
      <c r="I567" s="68" t="s">
        <v>165</v>
      </c>
      <c r="J567" s="63">
        <v>45.94</v>
      </c>
      <c r="K567" s="64">
        <v>883.88559999999984</v>
      </c>
      <c r="L567" s="63" t="s">
        <v>1101</v>
      </c>
      <c r="M567" s="65" t="str">
        <f t="shared" si="8"/>
        <v>BRASIL MINERAÇÃOUA-11 DistritoPÓ DE BRITA</v>
      </c>
      <c r="N567" s="78" t="s">
        <v>1063</v>
      </c>
    </row>
    <row r="568" spans="2:14" x14ac:dyDescent="0.25">
      <c r="B568" s="67">
        <v>46076</v>
      </c>
      <c r="C568" s="63">
        <v>1</v>
      </c>
      <c r="D568" s="63" t="s">
        <v>270</v>
      </c>
      <c r="E568" s="68" t="s">
        <v>1077</v>
      </c>
      <c r="F568" s="63" t="s">
        <v>1069</v>
      </c>
      <c r="G568" s="63" t="s">
        <v>1070</v>
      </c>
      <c r="H568" s="63">
        <v>52</v>
      </c>
      <c r="I568" s="68" t="s">
        <v>175</v>
      </c>
      <c r="J568" s="63">
        <v>45.82</v>
      </c>
      <c r="K568" s="64">
        <v>881.57679999999993</v>
      </c>
      <c r="L568" s="63" t="s">
        <v>1102</v>
      </c>
      <c r="M568" s="65" t="str">
        <f t="shared" si="8"/>
        <v>BRASIL MINERAÇÃOUA-11 DistritoBRITA 0</v>
      </c>
      <c r="N568" s="78" t="s">
        <v>1063</v>
      </c>
    </row>
    <row r="569" spans="2:14" x14ac:dyDescent="0.25">
      <c r="B569" s="67">
        <v>46076</v>
      </c>
      <c r="C569" s="63">
        <v>1</v>
      </c>
      <c r="D569" s="63" t="s">
        <v>176</v>
      </c>
      <c r="E569" s="68" t="s">
        <v>1078</v>
      </c>
      <c r="F569" s="63" t="s">
        <v>1069</v>
      </c>
      <c r="G569" s="63" t="s">
        <v>1070</v>
      </c>
      <c r="H569" s="63">
        <v>52</v>
      </c>
      <c r="I569" s="68" t="s">
        <v>165</v>
      </c>
      <c r="J569" s="63">
        <v>45.34</v>
      </c>
      <c r="K569" s="64">
        <v>872.34159999999997</v>
      </c>
      <c r="L569" s="63" t="s">
        <v>1103</v>
      </c>
      <c r="M569" s="65" t="str">
        <f t="shared" si="8"/>
        <v>BRASIL MINERAÇÃOUA-11 DistritoPÓ DE BRITA</v>
      </c>
      <c r="N569" s="78" t="s">
        <v>1063</v>
      </c>
    </row>
    <row r="570" spans="2:14" x14ac:dyDescent="0.25">
      <c r="B570" s="67">
        <v>46076</v>
      </c>
      <c r="C570" s="63">
        <v>1</v>
      </c>
      <c r="D570" s="63" t="s">
        <v>176</v>
      </c>
      <c r="E570" s="68" t="s">
        <v>1078</v>
      </c>
      <c r="F570" s="63" t="s">
        <v>1069</v>
      </c>
      <c r="G570" s="63" t="s">
        <v>1070</v>
      </c>
      <c r="H570" s="63">
        <v>52</v>
      </c>
      <c r="I570" s="68" t="s">
        <v>175</v>
      </c>
      <c r="J570" s="63">
        <v>46.16</v>
      </c>
      <c r="K570" s="64">
        <v>888.11839999999984</v>
      </c>
      <c r="L570" s="63" t="s">
        <v>1104</v>
      </c>
      <c r="M570" s="65" t="str">
        <f t="shared" si="8"/>
        <v>BRASIL MINERAÇÃOUA-11 DistritoBRITA 0</v>
      </c>
      <c r="N570" s="78" t="s">
        <v>1063</v>
      </c>
    </row>
    <row r="571" spans="2:14" x14ac:dyDescent="0.25">
      <c r="B571" s="91">
        <v>46077</v>
      </c>
      <c r="C571" s="63">
        <v>1</v>
      </c>
      <c r="D571" s="63" t="s">
        <v>176</v>
      </c>
      <c r="E571" s="65" t="s">
        <v>177</v>
      </c>
      <c r="F571" s="63" t="s">
        <v>163</v>
      </c>
      <c r="G571" s="63" t="s">
        <v>164</v>
      </c>
      <c r="H571" s="63">
        <v>52</v>
      </c>
      <c r="I571" s="65" t="s">
        <v>175</v>
      </c>
      <c r="J571" s="63">
        <v>4572</v>
      </c>
      <c r="K571" s="64">
        <v>879.65</v>
      </c>
      <c r="L571" s="63" t="s">
        <v>841</v>
      </c>
      <c r="M571" s="65" t="str">
        <f t="shared" si="8"/>
        <v>BRASIL MINERACAOUA SAO LUISBRITA 0</v>
      </c>
      <c r="N571" s="85" t="s">
        <v>1063</v>
      </c>
    </row>
    <row r="572" spans="2:14" x14ac:dyDescent="0.25">
      <c r="B572" s="91">
        <v>46077</v>
      </c>
      <c r="C572" s="63">
        <v>1</v>
      </c>
      <c r="D572" s="63" t="s">
        <v>219</v>
      </c>
      <c r="E572" s="65" t="s">
        <v>220</v>
      </c>
      <c r="F572" s="63" t="s">
        <v>163</v>
      </c>
      <c r="G572" s="63" t="s">
        <v>164</v>
      </c>
      <c r="H572" s="63">
        <v>52</v>
      </c>
      <c r="I572" s="65" t="s">
        <v>165</v>
      </c>
      <c r="J572" s="63">
        <v>434</v>
      </c>
      <c r="K572" s="64">
        <v>835.02</v>
      </c>
      <c r="L572" s="63" t="s">
        <v>842</v>
      </c>
      <c r="M572" s="65" t="str">
        <f t="shared" si="8"/>
        <v>BRASIL MINERACAOUA SAO LUISPÓ DE BRITA</v>
      </c>
      <c r="N572" s="85" t="s">
        <v>1063</v>
      </c>
    </row>
    <row r="573" spans="2:14" x14ac:dyDescent="0.25">
      <c r="B573" s="91">
        <v>46077</v>
      </c>
      <c r="C573" s="63">
        <v>1</v>
      </c>
      <c r="D573" s="63" t="s">
        <v>219</v>
      </c>
      <c r="E573" s="65" t="s">
        <v>220</v>
      </c>
      <c r="F573" s="63" t="s">
        <v>163</v>
      </c>
      <c r="G573" s="63" t="s">
        <v>164</v>
      </c>
      <c r="H573" s="63">
        <v>52</v>
      </c>
      <c r="I573" s="65" t="s">
        <v>175</v>
      </c>
      <c r="J573" s="63">
        <v>631</v>
      </c>
      <c r="K573" s="64">
        <v>1214.04</v>
      </c>
      <c r="L573" s="63" t="s">
        <v>843</v>
      </c>
      <c r="M573" s="65" t="str">
        <f t="shared" si="8"/>
        <v>BRASIL MINERACAOUA SAO LUISBRITA 0</v>
      </c>
      <c r="N573" s="85" t="s">
        <v>1063</v>
      </c>
    </row>
    <row r="574" spans="2:14" x14ac:dyDescent="0.25">
      <c r="B574" s="91">
        <v>46077</v>
      </c>
      <c r="C574" s="63">
        <v>1</v>
      </c>
      <c r="D574" s="63" t="s">
        <v>219</v>
      </c>
      <c r="E574" s="65" t="s">
        <v>220</v>
      </c>
      <c r="F574" s="63" t="s">
        <v>166</v>
      </c>
      <c r="G574" s="63" t="s">
        <v>164</v>
      </c>
      <c r="H574" s="63">
        <v>58</v>
      </c>
      <c r="I574" s="65" t="s">
        <v>172</v>
      </c>
      <c r="J574" s="63">
        <v>394</v>
      </c>
      <c r="K574" s="64">
        <v>845.52</v>
      </c>
      <c r="L574" s="63" t="s">
        <v>844</v>
      </c>
      <c r="M574" s="65" t="str">
        <f t="shared" si="8"/>
        <v>GRANORTEUA SAO LUISBICA CORRIDA</v>
      </c>
      <c r="N574" s="85" t="s">
        <v>1063</v>
      </c>
    </row>
    <row r="575" spans="2:14" x14ac:dyDescent="0.25">
      <c r="B575" s="91">
        <v>46077</v>
      </c>
      <c r="C575" s="63">
        <v>1</v>
      </c>
      <c r="D575" s="63" t="s">
        <v>179</v>
      </c>
      <c r="E575" s="65" t="s">
        <v>282</v>
      </c>
      <c r="F575" s="63" t="s">
        <v>166</v>
      </c>
      <c r="G575" s="63" t="s">
        <v>111</v>
      </c>
      <c r="H575" s="63">
        <v>79</v>
      </c>
      <c r="I575" s="65" t="s">
        <v>169</v>
      </c>
      <c r="J575" s="63">
        <v>2504</v>
      </c>
      <c r="K575" s="64">
        <v>731.92</v>
      </c>
      <c r="L575" s="63" t="s">
        <v>845</v>
      </c>
      <c r="M575" s="65" t="str">
        <f t="shared" si="8"/>
        <v>GRANORTEBEIRA RIOPULMÃOZINHO</v>
      </c>
      <c r="N575" s="85" t="s">
        <v>111</v>
      </c>
    </row>
    <row r="576" spans="2:14" x14ac:dyDescent="0.25">
      <c r="B576" s="91">
        <v>46077</v>
      </c>
      <c r="C576" s="63">
        <v>1</v>
      </c>
      <c r="D576" s="63" t="s">
        <v>162</v>
      </c>
      <c r="E576" s="65" t="s">
        <v>281</v>
      </c>
      <c r="F576" s="63" t="s">
        <v>166</v>
      </c>
      <c r="G576" s="63" t="s">
        <v>164</v>
      </c>
      <c r="H576" s="63">
        <v>58</v>
      </c>
      <c r="I576" s="65" t="s">
        <v>169</v>
      </c>
      <c r="J576" s="63">
        <v>2442</v>
      </c>
      <c r="K576" s="64">
        <v>524.04999999999995</v>
      </c>
      <c r="L576" s="63" t="s">
        <v>846</v>
      </c>
      <c r="M576" s="65" t="str">
        <f t="shared" si="8"/>
        <v>GRANORTEUA SAO LUISPULMÃOZINHO</v>
      </c>
      <c r="N576" s="85" t="s">
        <v>1063</v>
      </c>
    </row>
    <row r="577" spans="2:14" x14ac:dyDescent="0.25">
      <c r="B577" s="91">
        <v>46077</v>
      </c>
      <c r="C577" s="63">
        <v>1</v>
      </c>
      <c r="D577" s="63" t="s">
        <v>170</v>
      </c>
      <c r="E577" s="65" t="s">
        <v>171</v>
      </c>
      <c r="F577" s="63" t="s">
        <v>166</v>
      </c>
      <c r="G577" s="63" t="s">
        <v>111</v>
      </c>
      <c r="H577" s="63">
        <v>79</v>
      </c>
      <c r="I577" s="65" t="s">
        <v>169</v>
      </c>
      <c r="J577" s="63">
        <v>2506</v>
      </c>
      <c r="K577" s="64">
        <v>732.5</v>
      </c>
      <c r="L577" s="63" t="s">
        <v>847</v>
      </c>
      <c r="M577" s="65" t="str">
        <f t="shared" si="8"/>
        <v>GRANORTEBEIRA RIOPULMÃOZINHO</v>
      </c>
      <c r="N577" s="85" t="s">
        <v>111</v>
      </c>
    </row>
    <row r="578" spans="2:14" x14ac:dyDescent="0.25">
      <c r="B578" s="91">
        <v>46077</v>
      </c>
      <c r="C578" s="63">
        <v>1</v>
      </c>
      <c r="D578" s="63" t="s">
        <v>173</v>
      </c>
      <c r="E578" s="65" t="s">
        <v>174</v>
      </c>
      <c r="F578" s="63" t="s">
        <v>166</v>
      </c>
      <c r="G578" s="63" t="s">
        <v>111</v>
      </c>
      <c r="H578" s="63">
        <v>79</v>
      </c>
      <c r="I578" s="65" t="s">
        <v>169</v>
      </c>
      <c r="J578" s="63">
        <v>252</v>
      </c>
      <c r="K578" s="64">
        <v>736.6</v>
      </c>
      <c r="L578" s="63" t="s">
        <v>848</v>
      </c>
      <c r="M578" s="65" t="str">
        <f t="shared" si="8"/>
        <v>GRANORTEBEIRA RIOPULMÃOZINHO</v>
      </c>
      <c r="N578" s="85" t="s">
        <v>111</v>
      </c>
    </row>
    <row r="579" spans="2:14" x14ac:dyDescent="0.25">
      <c r="B579" s="91">
        <v>46077</v>
      </c>
      <c r="C579" s="63">
        <v>1</v>
      </c>
      <c r="D579" s="63" t="s">
        <v>188</v>
      </c>
      <c r="E579" s="65" t="s">
        <v>189</v>
      </c>
      <c r="F579" s="63" t="s">
        <v>166</v>
      </c>
      <c r="G579" s="63" t="s">
        <v>164</v>
      </c>
      <c r="H579" s="63">
        <v>58</v>
      </c>
      <c r="I579" s="65" t="s">
        <v>175</v>
      </c>
      <c r="J579" s="63">
        <v>489</v>
      </c>
      <c r="K579" s="64">
        <v>1049.3900000000001</v>
      </c>
      <c r="L579" s="63" t="s">
        <v>849</v>
      </c>
      <c r="M579" s="65" t="str">
        <f t="shared" si="8"/>
        <v>GRANORTEUA SAO LUISBRITA 0</v>
      </c>
      <c r="N579" s="85" t="s">
        <v>1063</v>
      </c>
    </row>
    <row r="580" spans="2:14" x14ac:dyDescent="0.25">
      <c r="B580" s="91">
        <v>46077</v>
      </c>
      <c r="C580" s="63">
        <v>1</v>
      </c>
      <c r="D580" s="63" t="s">
        <v>205</v>
      </c>
      <c r="E580" s="65" t="s">
        <v>206</v>
      </c>
      <c r="F580" s="63" t="s">
        <v>291</v>
      </c>
      <c r="G580" s="63" t="s">
        <v>783</v>
      </c>
      <c r="H580" s="63">
        <v>358</v>
      </c>
      <c r="I580" s="65" t="s">
        <v>221</v>
      </c>
      <c r="J580" s="63">
        <v>5024</v>
      </c>
      <c r="K580" s="64">
        <v>6654.79</v>
      </c>
      <c r="L580" s="63" t="s">
        <v>850</v>
      </c>
      <c r="M580" s="65" t="str">
        <f t="shared" si="8"/>
        <v>MINERADORA PORTO FRANCO - MAVF CONSTRUTORA KM114BGS</v>
      </c>
      <c r="N580" s="85" t="s">
        <v>1065</v>
      </c>
    </row>
    <row r="581" spans="2:14" x14ac:dyDescent="0.25">
      <c r="B581" s="91">
        <v>46077</v>
      </c>
      <c r="C581" s="63">
        <v>1</v>
      </c>
      <c r="D581" s="63" t="s">
        <v>203</v>
      </c>
      <c r="E581" s="65" t="s">
        <v>204</v>
      </c>
      <c r="F581" s="63" t="s">
        <v>166</v>
      </c>
      <c r="G581" s="63" t="s">
        <v>164</v>
      </c>
      <c r="H581" s="63">
        <v>58</v>
      </c>
      <c r="I581" s="65" t="s">
        <v>165</v>
      </c>
      <c r="J581" s="63">
        <v>4936</v>
      </c>
      <c r="K581" s="64">
        <v>1059.27</v>
      </c>
      <c r="L581" s="63" t="s">
        <v>851</v>
      </c>
      <c r="M581" s="65" t="str">
        <f t="shared" ref="M581:M644" si="9">F581&amp;G581&amp;I581</f>
        <v>GRANORTEUA SAO LUISPÓ DE BRITA</v>
      </c>
      <c r="N581" s="85" t="s">
        <v>1063</v>
      </c>
    </row>
    <row r="582" spans="2:14" x14ac:dyDescent="0.25">
      <c r="B582" s="91">
        <v>46077</v>
      </c>
      <c r="C582" s="63">
        <v>1</v>
      </c>
      <c r="D582" s="63" t="s">
        <v>208</v>
      </c>
      <c r="E582" s="65" t="s">
        <v>209</v>
      </c>
      <c r="F582" s="63" t="s">
        <v>163</v>
      </c>
      <c r="G582" s="63" t="s">
        <v>164</v>
      </c>
      <c r="H582" s="63">
        <v>52</v>
      </c>
      <c r="I582" s="65" t="s">
        <v>165</v>
      </c>
      <c r="J582" s="63">
        <v>540</v>
      </c>
      <c r="K582" s="64">
        <v>1038.96</v>
      </c>
      <c r="L582" s="63" t="s">
        <v>852</v>
      </c>
      <c r="M582" s="65" t="str">
        <f t="shared" si="9"/>
        <v>BRASIL MINERACAOUA SAO LUISPÓ DE BRITA</v>
      </c>
      <c r="N582" s="85" t="s">
        <v>1063</v>
      </c>
    </row>
    <row r="583" spans="2:14" x14ac:dyDescent="0.25">
      <c r="B583" s="91">
        <v>46077</v>
      </c>
      <c r="C583" s="63">
        <v>1</v>
      </c>
      <c r="D583" s="63" t="s">
        <v>170</v>
      </c>
      <c r="E583" s="65" t="s">
        <v>171</v>
      </c>
      <c r="F583" s="63" t="s">
        <v>166</v>
      </c>
      <c r="G583" s="63" t="s">
        <v>111</v>
      </c>
      <c r="H583" s="63">
        <v>79</v>
      </c>
      <c r="I583" s="65" t="s">
        <v>169</v>
      </c>
      <c r="J583" s="63">
        <v>2422</v>
      </c>
      <c r="K583" s="64">
        <v>707.95</v>
      </c>
      <c r="L583" s="63" t="s">
        <v>853</v>
      </c>
      <c r="M583" s="65" t="str">
        <f t="shared" si="9"/>
        <v>GRANORTEBEIRA RIOPULMÃOZINHO</v>
      </c>
      <c r="N583" s="85" t="s">
        <v>111</v>
      </c>
    </row>
    <row r="584" spans="2:14" x14ac:dyDescent="0.25">
      <c r="B584" s="91">
        <v>46077</v>
      </c>
      <c r="C584" s="63">
        <v>1</v>
      </c>
      <c r="D584" s="63" t="s">
        <v>173</v>
      </c>
      <c r="E584" s="65" t="s">
        <v>174</v>
      </c>
      <c r="F584" s="63" t="s">
        <v>166</v>
      </c>
      <c r="G584" s="63" t="s">
        <v>111</v>
      </c>
      <c r="H584" s="63">
        <v>79</v>
      </c>
      <c r="I584" s="65" t="s">
        <v>169</v>
      </c>
      <c r="J584" s="63">
        <v>250</v>
      </c>
      <c r="K584" s="64">
        <v>730.75</v>
      </c>
      <c r="L584" s="63" t="s">
        <v>854</v>
      </c>
      <c r="M584" s="65" t="str">
        <f t="shared" si="9"/>
        <v>GRANORTEBEIRA RIOPULMÃOZINHO</v>
      </c>
      <c r="N584" s="85" t="s">
        <v>111</v>
      </c>
    </row>
    <row r="585" spans="2:14" x14ac:dyDescent="0.25">
      <c r="B585" s="91">
        <v>46077</v>
      </c>
      <c r="C585" s="63">
        <v>1</v>
      </c>
      <c r="D585" s="63" t="s">
        <v>162</v>
      </c>
      <c r="E585" s="65" t="s">
        <v>281</v>
      </c>
      <c r="F585" s="63" t="s">
        <v>166</v>
      </c>
      <c r="G585" s="63" t="s">
        <v>164</v>
      </c>
      <c r="H585" s="63">
        <v>58</v>
      </c>
      <c r="I585" s="65" t="s">
        <v>169</v>
      </c>
      <c r="J585" s="63">
        <v>244</v>
      </c>
      <c r="K585" s="64">
        <v>523.62</v>
      </c>
      <c r="L585" s="63" t="s">
        <v>855</v>
      </c>
      <c r="M585" s="65" t="str">
        <f t="shared" si="9"/>
        <v>GRANORTEUA SAO LUISPULMÃOZINHO</v>
      </c>
      <c r="N585" s="85" t="s">
        <v>1063</v>
      </c>
    </row>
    <row r="586" spans="2:14" x14ac:dyDescent="0.25">
      <c r="B586" s="91">
        <v>46077</v>
      </c>
      <c r="C586" s="63">
        <v>1</v>
      </c>
      <c r="D586" s="63" t="s">
        <v>199</v>
      </c>
      <c r="E586" s="65" t="s">
        <v>180</v>
      </c>
      <c r="F586" s="63" t="s">
        <v>166</v>
      </c>
      <c r="G586" s="63" t="s">
        <v>111</v>
      </c>
      <c r="H586" s="63">
        <v>79</v>
      </c>
      <c r="I586" s="65" t="s">
        <v>169</v>
      </c>
      <c r="J586" s="63">
        <v>2562</v>
      </c>
      <c r="K586" s="64">
        <v>748.87</v>
      </c>
      <c r="L586" s="63" t="s">
        <v>856</v>
      </c>
      <c r="M586" s="65" t="str">
        <f t="shared" si="9"/>
        <v>GRANORTEBEIRA RIOPULMÃOZINHO</v>
      </c>
      <c r="N586" s="85" t="s">
        <v>111</v>
      </c>
    </row>
    <row r="587" spans="2:14" x14ac:dyDescent="0.25">
      <c r="B587" s="91">
        <v>46077</v>
      </c>
      <c r="C587" s="63">
        <v>1</v>
      </c>
      <c r="D587" s="63" t="s">
        <v>188</v>
      </c>
      <c r="E587" s="65" t="s">
        <v>189</v>
      </c>
      <c r="F587" s="63" t="s">
        <v>166</v>
      </c>
      <c r="G587" s="63" t="s">
        <v>164</v>
      </c>
      <c r="H587" s="63">
        <v>58</v>
      </c>
      <c r="I587" s="65" t="s">
        <v>175</v>
      </c>
      <c r="J587" s="63">
        <v>453</v>
      </c>
      <c r="K587" s="64">
        <v>972.14</v>
      </c>
      <c r="L587" s="63" t="s">
        <v>857</v>
      </c>
      <c r="M587" s="65" t="str">
        <f t="shared" si="9"/>
        <v>GRANORTEUA SAO LUISBRITA 0</v>
      </c>
      <c r="N587" s="85" t="s">
        <v>1063</v>
      </c>
    </row>
    <row r="588" spans="2:14" x14ac:dyDescent="0.25">
      <c r="B588" s="91">
        <v>46077</v>
      </c>
      <c r="C588" s="63">
        <v>1</v>
      </c>
      <c r="D588" s="63" t="s">
        <v>208</v>
      </c>
      <c r="E588" s="65" t="s">
        <v>209</v>
      </c>
      <c r="F588" s="63" t="s">
        <v>163</v>
      </c>
      <c r="G588" s="63" t="s">
        <v>164</v>
      </c>
      <c r="H588" s="63">
        <v>52</v>
      </c>
      <c r="I588" s="65" t="s">
        <v>165</v>
      </c>
      <c r="J588" s="63">
        <v>450</v>
      </c>
      <c r="K588" s="64">
        <v>865.8</v>
      </c>
      <c r="L588" s="63" t="s">
        <v>858</v>
      </c>
      <c r="M588" s="65" t="str">
        <f t="shared" si="9"/>
        <v>BRASIL MINERACAOUA SAO LUISPÓ DE BRITA</v>
      </c>
      <c r="N588" s="85" t="s">
        <v>1063</v>
      </c>
    </row>
    <row r="589" spans="2:14" x14ac:dyDescent="0.25">
      <c r="B589" s="91">
        <v>46077</v>
      </c>
      <c r="C589" s="63">
        <v>1</v>
      </c>
      <c r="D589" s="63" t="s">
        <v>202</v>
      </c>
      <c r="E589" s="65" t="s">
        <v>214</v>
      </c>
      <c r="F589" s="63" t="s">
        <v>163</v>
      </c>
      <c r="G589" s="63" t="s">
        <v>191</v>
      </c>
      <c r="H589" s="63">
        <v>243</v>
      </c>
      <c r="I589" s="65" t="s">
        <v>165</v>
      </c>
      <c r="J589" s="63">
        <v>590</v>
      </c>
      <c r="K589" s="64">
        <v>5304.69</v>
      </c>
      <c r="L589" s="63" t="s">
        <v>859</v>
      </c>
      <c r="M589" s="65" t="str">
        <f t="shared" si="9"/>
        <v>BRASIL MINERACAOOLINDA NOVA - MAPÓ DE BRITA</v>
      </c>
      <c r="N589" s="85" t="s">
        <v>1064</v>
      </c>
    </row>
    <row r="590" spans="2:14" x14ac:dyDescent="0.25">
      <c r="B590" s="91">
        <v>46077</v>
      </c>
      <c r="C590" s="63">
        <v>1</v>
      </c>
      <c r="D590" s="63" t="s">
        <v>196</v>
      </c>
      <c r="E590" s="65" t="s">
        <v>197</v>
      </c>
      <c r="F590" s="63" t="s">
        <v>163</v>
      </c>
      <c r="G590" s="63" t="s">
        <v>191</v>
      </c>
      <c r="H590" s="63">
        <v>243</v>
      </c>
      <c r="I590" s="65" t="s">
        <v>165</v>
      </c>
      <c r="J590" s="63">
        <v>636</v>
      </c>
      <c r="K590" s="64">
        <v>5718.28</v>
      </c>
      <c r="L590" s="63" t="s">
        <v>860</v>
      </c>
      <c r="M590" s="65" t="str">
        <f t="shared" si="9"/>
        <v>BRASIL MINERACAOOLINDA NOVA - MAPÓ DE BRITA</v>
      </c>
      <c r="N590" s="85" t="s">
        <v>1064</v>
      </c>
    </row>
    <row r="591" spans="2:14" x14ac:dyDescent="0.25">
      <c r="B591" s="91">
        <v>46077</v>
      </c>
      <c r="C591" s="63">
        <v>1</v>
      </c>
      <c r="D591" s="63" t="s">
        <v>181</v>
      </c>
      <c r="E591" s="65" t="s">
        <v>182</v>
      </c>
      <c r="F591" s="63" t="s">
        <v>166</v>
      </c>
      <c r="G591" s="63" t="s">
        <v>824</v>
      </c>
      <c r="H591" s="63">
        <v>78</v>
      </c>
      <c r="I591" s="65" t="s">
        <v>169</v>
      </c>
      <c r="J591" s="63">
        <v>2512</v>
      </c>
      <c r="K591" s="64">
        <v>724.96</v>
      </c>
      <c r="L591" s="63" t="s">
        <v>861</v>
      </c>
      <c r="M591" s="65" t="str">
        <f t="shared" si="9"/>
        <v>GRANORTECRUZAMENTO MA 201/202 (METROPOLITANA)PULMÃOZINHO</v>
      </c>
      <c r="N591" s="85" t="s">
        <v>11</v>
      </c>
    </row>
    <row r="592" spans="2:14" x14ac:dyDescent="0.25">
      <c r="B592" s="91">
        <v>46077</v>
      </c>
      <c r="C592" s="63">
        <v>1</v>
      </c>
      <c r="D592" s="63" t="s">
        <v>181</v>
      </c>
      <c r="E592" s="65" t="s">
        <v>182</v>
      </c>
      <c r="F592" s="63" t="s">
        <v>166</v>
      </c>
      <c r="G592" s="63" t="s">
        <v>824</v>
      </c>
      <c r="H592" s="63">
        <v>78</v>
      </c>
      <c r="I592" s="65" t="s">
        <v>169</v>
      </c>
      <c r="J592" s="63">
        <v>2578</v>
      </c>
      <c r="K592" s="64">
        <v>744.01</v>
      </c>
      <c r="L592" s="63" t="s">
        <v>862</v>
      </c>
      <c r="M592" s="65" t="str">
        <f t="shared" si="9"/>
        <v>GRANORTECRUZAMENTO MA 201/202 (METROPOLITANA)PULMÃOZINHO</v>
      </c>
      <c r="N592" s="85" t="s">
        <v>11</v>
      </c>
    </row>
    <row r="593" spans="2:14" x14ac:dyDescent="0.25">
      <c r="B593" s="91">
        <v>46077</v>
      </c>
      <c r="C593" s="63">
        <v>1</v>
      </c>
      <c r="D593" s="63" t="s">
        <v>199</v>
      </c>
      <c r="E593" s="65" t="s">
        <v>180</v>
      </c>
      <c r="F593" s="63" t="s">
        <v>166</v>
      </c>
      <c r="G593" s="63" t="s">
        <v>111</v>
      </c>
      <c r="H593" s="63">
        <v>79</v>
      </c>
      <c r="I593" s="65" t="s">
        <v>169</v>
      </c>
      <c r="J593" s="63">
        <v>2622</v>
      </c>
      <c r="K593" s="64">
        <v>766.41</v>
      </c>
      <c r="L593" s="63" t="s">
        <v>863</v>
      </c>
      <c r="M593" s="65" t="str">
        <f t="shared" si="9"/>
        <v>GRANORTEBEIRA RIOPULMÃOZINHO</v>
      </c>
      <c r="N593" s="85" t="s">
        <v>111</v>
      </c>
    </row>
    <row r="594" spans="2:14" x14ac:dyDescent="0.25">
      <c r="B594" s="91">
        <v>46077</v>
      </c>
      <c r="C594" s="63">
        <v>1</v>
      </c>
      <c r="D594" s="63" t="s">
        <v>283</v>
      </c>
      <c r="E594" s="65" t="s">
        <v>215</v>
      </c>
      <c r="F594" s="63" t="s">
        <v>166</v>
      </c>
      <c r="G594" s="63" t="s">
        <v>824</v>
      </c>
      <c r="H594" s="63">
        <v>78</v>
      </c>
      <c r="I594" s="65" t="s">
        <v>169</v>
      </c>
      <c r="J594" s="63">
        <v>2612</v>
      </c>
      <c r="K594" s="64">
        <v>753.82</v>
      </c>
      <c r="L594" s="63" t="s">
        <v>864</v>
      </c>
      <c r="M594" s="65" t="str">
        <f t="shared" si="9"/>
        <v>GRANORTECRUZAMENTO MA 201/202 (METROPOLITANA)PULMÃOZINHO</v>
      </c>
      <c r="N594" s="85" t="s">
        <v>11</v>
      </c>
    </row>
    <row r="595" spans="2:14" x14ac:dyDescent="0.25">
      <c r="B595" s="91">
        <v>46077</v>
      </c>
      <c r="C595" s="63">
        <v>1</v>
      </c>
      <c r="D595" s="63" t="s">
        <v>283</v>
      </c>
      <c r="E595" s="65" t="s">
        <v>215</v>
      </c>
      <c r="F595" s="63" t="s">
        <v>166</v>
      </c>
      <c r="G595" s="63" t="s">
        <v>824</v>
      </c>
      <c r="H595" s="63">
        <v>78</v>
      </c>
      <c r="I595" s="65" t="s">
        <v>169</v>
      </c>
      <c r="J595" s="63">
        <v>2554</v>
      </c>
      <c r="K595" s="64">
        <v>737.08</v>
      </c>
      <c r="L595" s="63" t="s">
        <v>865</v>
      </c>
      <c r="M595" s="65" t="str">
        <f t="shared" si="9"/>
        <v>GRANORTECRUZAMENTO MA 201/202 (METROPOLITANA)PULMÃOZINHO</v>
      </c>
      <c r="N595" s="85" t="s">
        <v>11</v>
      </c>
    </row>
    <row r="596" spans="2:14" x14ac:dyDescent="0.25">
      <c r="B596" s="91">
        <v>46077</v>
      </c>
      <c r="C596" s="63">
        <v>1</v>
      </c>
      <c r="D596" s="63" t="s">
        <v>188</v>
      </c>
      <c r="E596" s="65" t="s">
        <v>189</v>
      </c>
      <c r="F596" s="63" t="s">
        <v>166</v>
      </c>
      <c r="G596" s="63" t="s">
        <v>164</v>
      </c>
      <c r="H596" s="63">
        <v>58</v>
      </c>
      <c r="I596" s="65" t="s">
        <v>175</v>
      </c>
      <c r="J596" s="63">
        <v>6776</v>
      </c>
      <c r="K596" s="64">
        <v>1454.13</v>
      </c>
      <c r="L596" s="63" t="s">
        <v>866</v>
      </c>
      <c r="M596" s="65" t="str">
        <f t="shared" si="9"/>
        <v>GRANORTEUA SAO LUISBRITA 0</v>
      </c>
      <c r="N596" s="85" t="s">
        <v>1063</v>
      </c>
    </row>
    <row r="597" spans="2:14" x14ac:dyDescent="0.25">
      <c r="B597" s="91">
        <v>46077</v>
      </c>
      <c r="C597" s="63">
        <v>1</v>
      </c>
      <c r="D597" s="63" t="s">
        <v>186</v>
      </c>
      <c r="E597" s="65" t="s">
        <v>187</v>
      </c>
      <c r="F597" s="63" t="s">
        <v>166</v>
      </c>
      <c r="G597" s="63" t="s">
        <v>164</v>
      </c>
      <c r="H597" s="63">
        <v>58</v>
      </c>
      <c r="I597" s="65" t="s">
        <v>165</v>
      </c>
      <c r="J597" s="63">
        <v>450</v>
      </c>
      <c r="K597" s="64">
        <v>965.7</v>
      </c>
      <c r="L597" s="63" t="s">
        <v>867</v>
      </c>
      <c r="M597" s="65" t="str">
        <f t="shared" si="9"/>
        <v>GRANORTEUA SAO LUISPÓ DE BRITA</v>
      </c>
      <c r="N597" s="85" t="s">
        <v>1063</v>
      </c>
    </row>
    <row r="598" spans="2:14" x14ac:dyDescent="0.25">
      <c r="B598" s="91">
        <v>46077</v>
      </c>
      <c r="C598" s="63">
        <v>1</v>
      </c>
      <c r="D598" s="63" t="s">
        <v>183</v>
      </c>
      <c r="E598" s="65" t="s">
        <v>506</v>
      </c>
      <c r="F598" s="63" t="s">
        <v>166</v>
      </c>
      <c r="G598" s="63" t="s">
        <v>111</v>
      </c>
      <c r="H598" s="63">
        <v>79</v>
      </c>
      <c r="I598" s="65" t="s">
        <v>169</v>
      </c>
      <c r="J598" s="63">
        <v>2672</v>
      </c>
      <c r="K598" s="64">
        <v>781.03</v>
      </c>
      <c r="L598" s="63" t="s">
        <v>868</v>
      </c>
      <c r="M598" s="65" t="str">
        <f t="shared" si="9"/>
        <v>GRANORTEBEIRA RIOPULMÃOZINHO</v>
      </c>
      <c r="N598" s="85" t="s">
        <v>111</v>
      </c>
    </row>
    <row r="599" spans="2:14" x14ac:dyDescent="0.25">
      <c r="B599" s="91">
        <v>46077</v>
      </c>
      <c r="C599" s="63">
        <v>1</v>
      </c>
      <c r="D599" s="63" t="s">
        <v>186</v>
      </c>
      <c r="E599" s="65" t="s">
        <v>187</v>
      </c>
      <c r="F599" s="63" t="s">
        <v>166</v>
      </c>
      <c r="G599" s="63" t="s">
        <v>164</v>
      </c>
      <c r="H599" s="63">
        <v>58</v>
      </c>
      <c r="I599" s="65" t="s">
        <v>165</v>
      </c>
      <c r="J599" s="63">
        <v>5024</v>
      </c>
      <c r="K599" s="64">
        <v>1078.1500000000001</v>
      </c>
      <c r="L599" s="63" t="s">
        <v>869</v>
      </c>
      <c r="M599" s="65" t="str">
        <f t="shared" si="9"/>
        <v>GRANORTEUA SAO LUISPÓ DE BRITA</v>
      </c>
      <c r="N599" s="85" t="s">
        <v>1063</v>
      </c>
    </row>
    <row r="600" spans="2:14" x14ac:dyDescent="0.25">
      <c r="B600" s="91">
        <v>46077</v>
      </c>
      <c r="C600" s="63">
        <v>1</v>
      </c>
      <c r="D600" s="63" t="s">
        <v>186</v>
      </c>
      <c r="E600" s="65" t="s">
        <v>187</v>
      </c>
      <c r="F600" s="63" t="s">
        <v>166</v>
      </c>
      <c r="G600" s="63" t="s">
        <v>164</v>
      </c>
      <c r="H600" s="63">
        <v>58</v>
      </c>
      <c r="I600" s="65" t="s">
        <v>165</v>
      </c>
      <c r="J600" s="63">
        <v>505</v>
      </c>
      <c r="K600" s="64">
        <v>1083.73</v>
      </c>
      <c r="L600" s="63" t="s">
        <v>870</v>
      </c>
      <c r="M600" s="65" t="str">
        <f t="shared" si="9"/>
        <v>GRANORTEUA SAO LUISPÓ DE BRITA</v>
      </c>
      <c r="N600" s="85" t="s">
        <v>1063</v>
      </c>
    </row>
    <row r="601" spans="2:14" x14ac:dyDescent="0.25">
      <c r="B601" s="91">
        <v>46077</v>
      </c>
      <c r="C601" s="63">
        <v>1</v>
      </c>
      <c r="D601" s="63" t="s">
        <v>203</v>
      </c>
      <c r="E601" s="65" t="s">
        <v>204</v>
      </c>
      <c r="F601" s="63" t="s">
        <v>166</v>
      </c>
      <c r="G601" s="63" t="s">
        <v>164</v>
      </c>
      <c r="H601" s="63">
        <v>58</v>
      </c>
      <c r="I601" s="65" t="s">
        <v>165</v>
      </c>
      <c r="J601" s="63">
        <v>4494</v>
      </c>
      <c r="K601" s="64">
        <v>964.41</v>
      </c>
      <c r="L601" s="63" t="s">
        <v>871</v>
      </c>
      <c r="M601" s="65" t="str">
        <f t="shared" si="9"/>
        <v>GRANORTEUA SAO LUISPÓ DE BRITA</v>
      </c>
      <c r="N601" s="85" t="s">
        <v>1063</v>
      </c>
    </row>
    <row r="602" spans="2:14" x14ac:dyDescent="0.25">
      <c r="B602" s="91">
        <v>46077</v>
      </c>
      <c r="C602" s="63">
        <v>1</v>
      </c>
      <c r="D602" s="63" t="s">
        <v>193</v>
      </c>
      <c r="E602" s="65" t="s">
        <v>285</v>
      </c>
      <c r="F602" s="63" t="s">
        <v>166</v>
      </c>
      <c r="G602" s="63" t="s">
        <v>111</v>
      </c>
      <c r="H602" s="63">
        <v>79</v>
      </c>
      <c r="I602" s="65" t="s">
        <v>169</v>
      </c>
      <c r="J602" s="63">
        <v>2532</v>
      </c>
      <c r="K602" s="64">
        <v>740.1</v>
      </c>
      <c r="L602" s="63" t="s">
        <v>872</v>
      </c>
      <c r="M602" s="65" t="str">
        <f t="shared" si="9"/>
        <v>GRANORTEBEIRA RIOPULMÃOZINHO</v>
      </c>
      <c r="N602" s="85" t="s">
        <v>111</v>
      </c>
    </row>
    <row r="603" spans="2:14" x14ac:dyDescent="0.25">
      <c r="B603" s="91">
        <v>46077</v>
      </c>
      <c r="C603" s="63">
        <v>1</v>
      </c>
      <c r="D603" s="63" t="s">
        <v>193</v>
      </c>
      <c r="E603" s="65" t="s">
        <v>285</v>
      </c>
      <c r="F603" s="63" t="s">
        <v>166</v>
      </c>
      <c r="G603" s="63" t="s">
        <v>111</v>
      </c>
      <c r="H603" s="63">
        <v>79</v>
      </c>
      <c r="I603" s="65" t="s">
        <v>169</v>
      </c>
      <c r="J603" s="63">
        <v>2622</v>
      </c>
      <c r="K603" s="64">
        <v>766.41</v>
      </c>
      <c r="L603" s="63" t="s">
        <v>873</v>
      </c>
      <c r="M603" s="65" t="str">
        <f t="shared" si="9"/>
        <v>GRANORTEBEIRA RIOPULMÃOZINHO</v>
      </c>
      <c r="N603" s="85" t="s">
        <v>111</v>
      </c>
    </row>
    <row r="604" spans="2:14" x14ac:dyDescent="0.25">
      <c r="B604" s="91">
        <v>46077</v>
      </c>
      <c r="C604" s="63">
        <v>1</v>
      </c>
      <c r="D604" s="63" t="s">
        <v>210</v>
      </c>
      <c r="E604" s="65" t="s">
        <v>211</v>
      </c>
      <c r="F604" s="63" t="s">
        <v>166</v>
      </c>
      <c r="G604" s="63" t="s">
        <v>164</v>
      </c>
      <c r="H604" s="63">
        <v>58</v>
      </c>
      <c r="I604" s="65" t="s">
        <v>195</v>
      </c>
      <c r="J604" s="63">
        <v>5078</v>
      </c>
      <c r="K604" s="64">
        <v>1089.74</v>
      </c>
      <c r="L604" s="63" t="s">
        <v>874</v>
      </c>
      <c r="M604" s="65" t="str">
        <f t="shared" si="9"/>
        <v>GRANORTEUA SAO LUISBRITA 1</v>
      </c>
      <c r="N604" s="85" t="s">
        <v>1063</v>
      </c>
    </row>
    <row r="605" spans="2:14" x14ac:dyDescent="0.25">
      <c r="B605" s="91">
        <v>46077</v>
      </c>
      <c r="C605" s="63">
        <v>1</v>
      </c>
      <c r="D605" s="63" t="s">
        <v>210</v>
      </c>
      <c r="E605" s="65" t="s">
        <v>211</v>
      </c>
      <c r="F605" s="63" t="s">
        <v>163</v>
      </c>
      <c r="G605" s="63" t="s">
        <v>875</v>
      </c>
      <c r="H605" s="63">
        <v>34</v>
      </c>
      <c r="I605" s="65" t="s">
        <v>165</v>
      </c>
      <c r="J605" s="63">
        <v>4672</v>
      </c>
      <c r="K605" s="64">
        <v>587.74</v>
      </c>
      <c r="L605" s="63" t="s">
        <v>876</v>
      </c>
      <c r="M605" s="65" t="str">
        <f t="shared" si="9"/>
        <v>BRASIL MINERACAOUSINA SANTA RITAPÓ DE BRITA</v>
      </c>
      <c r="N605" s="85" t="s">
        <v>1063</v>
      </c>
    </row>
    <row r="606" spans="2:14" x14ac:dyDescent="0.25">
      <c r="B606" s="91">
        <v>46077</v>
      </c>
      <c r="C606" s="63">
        <v>1</v>
      </c>
      <c r="D606" s="63" t="s">
        <v>176</v>
      </c>
      <c r="E606" s="65" t="s">
        <v>177</v>
      </c>
      <c r="F606" s="63" t="s">
        <v>166</v>
      </c>
      <c r="G606" s="63" t="s">
        <v>164</v>
      </c>
      <c r="H606" s="63">
        <v>58</v>
      </c>
      <c r="I606" s="65" t="s">
        <v>165</v>
      </c>
      <c r="J606" s="63">
        <v>4612</v>
      </c>
      <c r="K606" s="64">
        <v>989.74</v>
      </c>
      <c r="L606" s="63" t="s">
        <v>877</v>
      </c>
      <c r="M606" s="65" t="str">
        <f t="shared" si="9"/>
        <v>GRANORTEUA SAO LUISPÓ DE BRITA</v>
      </c>
      <c r="N606" s="85" t="s">
        <v>1063</v>
      </c>
    </row>
    <row r="607" spans="2:14" x14ac:dyDescent="0.25">
      <c r="B607" s="91">
        <v>46077</v>
      </c>
      <c r="C607" s="63">
        <v>1</v>
      </c>
      <c r="D607" s="63" t="s">
        <v>192</v>
      </c>
      <c r="E607" s="65" t="s">
        <v>287</v>
      </c>
      <c r="F607" s="63" t="s">
        <v>163</v>
      </c>
      <c r="G607" s="63" t="s">
        <v>164</v>
      </c>
      <c r="H607" s="63">
        <v>52</v>
      </c>
      <c r="I607" s="65" t="s">
        <v>165</v>
      </c>
      <c r="J607" s="63">
        <v>462</v>
      </c>
      <c r="K607" s="64">
        <v>888.89</v>
      </c>
      <c r="L607" s="63" t="s">
        <v>878</v>
      </c>
      <c r="M607" s="65" t="str">
        <f t="shared" si="9"/>
        <v>BRASIL MINERACAOUA SAO LUISPÓ DE BRITA</v>
      </c>
      <c r="N607" s="85" t="s">
        <v>1063</v>
      </c>
    </row>
    <row r="608" spans="2:14" x14ac:dyDescent="0.25">
      <c r="B608" s="91">
        <v>46077</v>
      </c>
      <c r="C608" s="63">
        <v>1</v>
      </c>
      <c r="D608" s="63" t="s">
        <v>192</v>
      </c>
      <c r="E608" s="65" t="s">
        <v>287</v>
      </c>
      <c r="F608" s="63" t="s">
        <v>163</v>
      </c>
      <c r="G608" s="63" t="s">
        <v>164</v>
      </c>
      <c r="H608" s="63">
        <v>52</v>
      </c>
      <c r="I608" s="65" t="s">
        <v>165</v>
      </c>
      <c r="J608" s="63">
        <v>4588</v>
      </c>
      <c r="K608" s="64">
        <v>882.73</v>
      </c>
      <c r="L608" s="63" t="s">
        <v>879</v>
      </c>
      <c r="M608" s="65" t="str">
        <f t="shared" si="9"/>
        <v>BRASIL MINERACAOUA SAO LUISPÓ DE BRITA</v>
      </c>
      <c r="N608" s="85" t="s">
        <v>1063</v>
      </c>
    </row>
    <row r="609" spans="2:14" x14ac:dyDescent="0.25">
      <c r="B609" s="91">
        <v>46077</v>
      </c>
      <c r="C609" s="63">
        <v>2</v>
      </c>
      <c r="D609" s="63" t="s">
        <v>296</v>
      </c>
      <c r="E609" s="65" t="s">
        <v>297</v>
      </c>
      <c r="F609" s="63" t="s">
        <v>276</v>
      </c>
      <c r="G609" s="63" t="s">
        <v>919</v>
      </c>
      <c r="H609" s="63">
        <v>358</v>
      </c>
      <c r="I609" s="65" t="s">
        <v>221</v>
      </c>
      <c r="J609" s="63">
        <v>434</v>
      </c>
      <c r="K609" s="64">
        <v>4971.8999999999996</v>
      </c>
      <c r="L609" s="63" t="s">
        <v>1035</v>
      </c>
      <c r="M609" s="65" t="str">
        <f t="shared" si="9"/>
        <v>MINERADORA PORTO FRANCOVALE NOVA VIDA KM356BGS</v>
      </c>
      <c r="N609" s="85" t="s">
        <v>1065</v>
      </c>
    </row>
    <row r="610" spans="2:14" x14ac:dyDescent="0.25">
      <c r="B610" s="91">
        <v>46077</v>
      </c>
      <c r="C610" s="63">
        <v>2</v>
      </c>
      <c r="D610" s="63" t="s">
        <v>308</v>
      </c>
      <c r="E610" s="65" t="s">
        <v>309</v>
      </c>
      <c r="F610" s="63" t="s">
        <v>276</v>
      </c>
      <c r="G610" s="63" t="s">
        <v>919</v>
      </c>
      <c r="H610" s="63">
        <v>358</v>
      </c>
      <c r="I610" s="65" t="s">
        <v>221</v>
      </c>
      <c r="J610" s="63">
        <v>6798</v>
      </c>
      <c r="K610" s="64">
        <v>7787.79</v>
      </c>
      <c r="L610" s="63" t="s">
        <v>1036</v>
      </c>
      <c r="M610" s="65" t="str">
        <f t="shared" si="9"/>
        <v>MINERADORA PORTO FRANCOVALE NOVA VIDA KM356BGS</v>
      </c>
      <c r="N610" s="85" t="s">
        <v>1065</v>
      </c>
    </row>
    <row r="611" spans="2:14" x14ac:dyDescent="0.25">
      <c r="B611" s="91">
        <v>46077</v>
      </c>
      <c r="C611" s="63">
        <v>2</v>
      </c>
      <c r="D611" s="63" t="s">
        <v>312</v>
      </c>
      <c r="E611" s="65" t="s">
        <v>313</v>
      </c>
      <c r="F611" s="63" t="s">
        <v>291</v>
      </c>
      <c r="G611" s="63" t="s">
        <v>783</v>
      </c>
      <c r="H611" s="63">
        <v>358</v>
      </c>
      <c r="I611" s="65" t="s">
        <v>221</v>
      </c>
      <c r="J611" s="63">
        <v>3026</v>
      </c>
      <c r="K611" s="64">
        <v>4008.24</v>
      </c>
      <c r="L611" s="63" t="s">
        <v>1037</v>
      </c>
      <c r="M611" s="65" t="str">
        <f t="shared" si="9"/>
        <v>MINERADORA PORTO FRANCO - MAVF CONSTRUTORA KM114BGS</v>
      </c>
      <c r="N611" s="85" t="s">
        <v>1065</v>
      </c>
    </row>
    <row r="612" spans="2:14" x14ac:dyDescent="0.25">
      <c r="B612" s="91">
        <v>46077</v>
      </c>
      <c r="C612" s="63">
        <v>2</v>
      </c>
      <c r="D612" s="63" t="s">
        <v>298</v>
      </c>
      <c r="E612" s="65" t="s">
        <v>299</v>
      </c>
      <c r="F612" s="63" t="s">
        <v>291</v>
      </c>
      <c r="G612" s="63" t="s">
        <v>783</v>
      </c>
      <c r="H612" s="63">
        <v>358</v>
      </c>
      <c r="I612" s="65" t="s">
        <v>221</v>
      </c>
      <c r="J612" s="63">
        <v>528</v>
      </c>
      <c r="K612" s="64">
        <v>6993.89</v>
      </c>
      <c r="L612" s="63" t="s">
        <v>1038</v>
      </c>
      <c r="M612" s="65" t="str">
        <f t="shared" si="9"/>
        <v>MINERADORA PORTO FRANCO - MAVF CONSTRUTORA KM114BGS</v>
      </c>
      <c r="N612" s="85" t="s">
        <v>1065</v>
      </c>
    </row>
    <row r="613" spans="2:14" x14ac:dyDescent="0.25">
      <c r="B613" s="91">
        <v>46077</v>
      </c>
      <c r="C613" s="63">
        <v>2</v>
      </c>
      <c r="D613" s="63" t="s">
        <v>310</v>
      </c>
      <c r="E613" s="65" t="s">
        <v>311</v>
      </c>
      <c r="F613" s="63" t="s">
        <v>276</v>
      </c>
      <c r="G613" s="63" t="s">
        <v>307</v>
      </c>
      <c r="H613" s="63">
        <v>175</v>
      </c>
      <c r="I613" s="65" t="s">
        <v>175</v>
      </c>
      <c r="J613" s="63">
        <v>4018</v>
      </c>
      <c r="K613" s="64">
        <v>2250.08</v>
      </c>
      <c r="L613" s="63" t="s">
        <v>1039</v>
      </c>
      <c r="M613" s="65" t="str">
        <f t="shared" si="9"/>
        <v>MINERADORA PORTO FRANCOAUGUSTINOPOLIS TO (EDEC)BRITA 0</v>
      </c>
      <c r="N613" s="85" t="s">
        <v>1065</v>
      </c>
    </row>
    <row r="614" spans="2:14" x14ac:dyDescent="0.25">
      <c r="B614" s="91">
        <v>46077</v>
      </c>
      <c r="C614" s="63">
        <v>2</v>
      </c>
      <c r="D614" s="63" t="s">
        <v>294</v>
      </c>
      <c r="E614" s="65" t="s">
        <v>295</v>
      </c>
      <c r="F614" s="63" t="s">
        <v>276</v>
      </c>
      <c r="G614" s="63" t="s">
        <v>307</v>
      </c>
      <c r="H614" s="63">
        <v>175</v>
      </c>
      <c r="I614" s="65" t="s">
        <v>175</v>
      </c>
      <c r="J614" s="63">
        <v>3884</v>
      </c>
      <c r="K614" s="64">
        <v>2175.04</v>
      </c>
      <c r="L614" s="63" t="s">
        <v>1040</v>
      </c>
      <c r="M614" s="65" t="str">
        <f t="shared" si="9"/>
        <v>MINERADORA PORTO FRANCOAUGUSTINOPOLIS TO (EDEC)BRITA 0</v>
      </c>
      <c r="N614" s="85" t="s">
        <v>1065</v>
      </c>
    </row>
    <row r="615" spans="2:14" x14ac:dyDescent="0.25">
      <c r="B615" s="91">
        <v>46077</v>
      </c>
      <c r="C615" s="63">
        <v>2</v>
      </c>
      <c r="D615" s="63" t="s">
        <v>302</v>
      </c>
      <c r="E615" s="65" t="s">
        <v>303</v>
      </c>
      <c r="F615" s="63" t="s">
        <v>997</v>
      </c>
      <c r="G615" s="63" t="s">
        <v>1001</v>
      </c>
      <c r="H615" s="63">
        <v>255</v>
      </c>
      <c r="I615" s="65" t="s">
        <v>175</v>
      </c>
      <c r="J615" s="63">
        <v>591</v>
      </c>
      <c r="K615" s="64">
        <v>5576.09</v>
      </c>
      <c r="L615" s="63" t="s">
        <v>1041</v>
      </c>
      <c r="M615" s="65" t="str">
        <f t="shared" si="9"/>
        <v>TAIPAS - TONOVO JARDIM - TOBRITA 0</v>
      </c>
      <c r="N615" s="85" t="s">
        <v>83</v>
      </c>
    </row>
    <row r="616" spans="2:14" x14ac:dyDescent="0.25">
      <c r="B616" s="91">
        <v>46077</v>
      </c>
      <c r="C616" s="63">
        <v>2</v>
      </c>
      <c r="D616" s="63" t="s">
        <v>305</v>
      </c>
      <c r="E616" s="65" t="s">
        <v>306</v>
      </c>
      <c r="F616" s="63" t="s">
        <v>276</v>
      </c>
      <c r="G616" s="63" t="s">
        <v>919</v>
      </c>
      <c r="H616" s="63">
        <v>358</v>
      </c>
      <c r="I616" s="65" t="s">
        <v>221</v>
      </c>
      <c r="J616" s="63">
        <v>6568</v>
      </c>
      <c r="K616" s="64">
        <v>7524.3</v>
      </c>
      <c r="L616" s="63" t="s">
        <v>1042</v>
      </c>
      <c r="M616" s="65" t="str">
        <f t="shared" si="9"/>
        <v>MINERADORA PORTO FRANCOVALE NOVA VIDA KM356BGS</v>
      </c>
      <c r="N616" s="85" t="s">
        <v>1065</v>
      </c>
    </row>
    <row r="617" spans="2:14" x14ac:dyDescent="0.25">
      <c r="B617" s="91">
        <v>46077</v>
      </c>
      <c r="C617" s="63">
        <v>2</v>
      </c>
      <c r="D617" s="63" t="s">
        <v>310</v>
      </c>
      <c r="E617" s="65" t="s">
        <v>311</v>
      </c>
      <c r="F617" s="63" t="s">
        <v>291</v>
      </c>
      <c r="G617" s="63" t="s">
        <v>747</v>
      </c>
      <c r="H617" s="63">
        <v>145</v>
      </c>
      <c r="I617" s="65" t="s">
        <v>165</v>
      </c>
      <c r="J617" s="63">
        <v>3832</v>
      </c>
      <c r="K617" s="64">
        <v>2055.87</v>
      </c>
      <c r="L617" s="63" t="s">
        <v>1043</v>
      </c>
      <c r="M617" s="65" t="str">
        <f t="shared" si="9"/>
        <v>MINERADORA PORTO FRANCO - MAGRAJAU IDAN TORRESPÓ DE BRITA</v>
      </c>
      <c r="N617" s="85" t="s">
        <v>1065</v>
      </c>
    </row>
    <row r="618" spans="2:14" x14ac:dyDescent="0.25">
      <c r="B618" s="91">
        <v>46077</v>
      </c>
      <c r="C618" s="63">
        <v>2</v>
      </c>
      <c r="D618" s="63" t="s">
        <v>300</v>
      </c>
      <c r="E618" s="65" t="s">
        <v>301</v>
      </c>
      <c r="F618" s="63" t="s">
        <v>291</v>
      </c>
      <c r="G618" s="63" t="s">
        <v>1044</v>
      </c>
      <c r="H618" s="63">
        <v>340</v>
      </c>
      <c r="I618" s="65" t="s">
        <v>221</v>
      </c>
      <c r="J618" s="63">
        <v>6384</v>
      </c>
      <c r="K618" s="64">
        <v>8031.07</v>
      </c>
      <c r="L618" s="63" t="s">
        <v>1045</v>
      </c>
      <c r="M618" s="65" t="str">
        <f t="shared" si="9"/>
        <v>MINERADORA PORTO FRANCO - MAPOVOADO VERONA - BURITICUPUBGS</v>
      </c>
      <c r="N618" s="85" t="s">
        <v>1065</v>
      </c>
    </row>
    <row r="619" spans="2:14" x14ac:dyDescent="0.25">
      <c r="B619" s="67">
        <v>46077</v>
      </c>
      <c r="C619" s="63">
        <v>1</v>
      </c>
      <c r="D619" s="63" t="s">
        <v>270</v>
      </c>
      <c r="E619" s="68" t="s">
        <v>1077</v>
      </c>
      <c r="F619" s="63" t="s">
        <v>1069</v>
      </c>
      <c r="G619" s="63" t="s">
        <v>1070</v>
      </c>
      <c r="H619" s="63">
        <v>52</v>
      </c>
      <c r="I619" s="68" t="s">
        <v>165</v>
      </c>
      <c r="J619" s="63">
        <v>44.5</v>
      </c>
      <c r="K619" s="64">
        <v>856.18</v>
      </c>
      <c r="L619" s="63" t="s">
        <v>1105</v>
      </c>
      <c r="M619" s="65" t="str">
        <f t="shared" si="9"/>
        <v>BRASIL MINERAÇÃOUA-11 DistritoPÓ DE BRITA</v>
      </c>
      <c r="N619" s="78" t="s">
        <v>1063</v>
      </c>
    </row>
    <row r="620" spans="2:14" x14ac:dyDescent="0.25">
      <c r="B620" s="67">
        <v>46077</v>
      </c>
      <c r="C620" s="63">
        <v>1</v>
      </c>
      <c r="D620" s="63" t="s">
        <v>213</v>
      </c>
      <c r="E620" s="68" t="s">
        <v>1079</v>
      </c>
      <c r="F620" s="63" t="s">
        <v>1069</v>
      </c>
      <c r="G620" s="63" t="s">
        <v>1070</v>
      </c>
      <c r="H620" s="63">
        <v>52</v>
      </c>
      <c r="I620" s="68" t="s">
        <v>165</v>
      </c>
      <c r="J620" s="63">
        <v>25.6</v>
      </c>
      <c r="K620" s="64">
        <v>492.54399999999998</v>
      </c>
      <c r="L620" s="63" t="s">
        <v>1106</v>
      </c>
      <c r="M620" s="65" t="str">
        <f t="shared" si="9"/>
        <v>BRASIL MINERAÇÃOUA-11 DistritoPÓ DE BRITA</v>
      </c>
      <c r="N620" s="78" t="s">
        <v>1063</v>
      </c>
    </row>
    <row r="621" spans="2:14" x14ac:dyDescent="0.25">
      <c r="B621" s="67">
        <v>46077</v>
      </c>
      <c r="C621" s="63">
        <v>1</v>
      </c>
      <c r="D621" s="63" t="s">
        <v>342</v>
      </c>
      <c r="E621" s="68" t="s">
        <v>1073</v>
      </c>
      <c r="F621" s="63" t="s">
        <v>1069</v>
      </c>
      <c r="G621" s="63" t="s">
        <v>1070</v>
      </c>
      <c r="H621" s="63">
        <v>52</v>
      </c>
      <c r="I621" s="68" t="s">
        <v>165</v>
      </c>
      <c r="J621" s="63">
        <v>47.42</v>
      </c>
      <c r="K621" s="64">
        <v>912.36079999999993</v>
      </c>
      <c r="L621" s="63" t="s">
        <v>1107</v>
      </c>
      <c r="M621" s="65" t="str">
        <f t="shared" si="9"/>
        <v>BRASIL MINERAÇÃOUA-11 DistritoPÓ DE BRITA</v>
      </c>
      <c r="N621" s="78" t="s">
        <v>1063</v>
      </c>
    </row>
    <row r="622" spans="2:14" x14ac:dyDescent="0.25">
      <c r="B622" s="67">
        <v>46077</v>
      </c>
      <c r="C622" s="63">
        <v>1</v>
      </c>
      <c r="D622" s="63" t="s">
        <v>203</v>
      </c>
      <c r="E622" s="68" t="s">
        <v>1080</v>
      </c>
      <c r="F622" s="63" t="s">
        <v>1069</v>
      </c>
      <c r="G622" s="63" t="s">
        <v>1070</v>
      </c>
      <c r="H622" s="63">
        <v>52</v>
      </c>
      <c r="I622" s="68" t="s">
        <v>165</v>
      </c>
      <c r="J622" s="63">
        <v>44.94</v>
      </c>
      <c r="K622" s="64">
        <v>864.64559999999983</v>
      </c>
      <c r="L622" s="63" t="s">
        <v>1108</v>
      </c>
      <c r="M622" s="65" t="str">
        <f t="shared" si="9"/>
        <v>BRASIL MINERAÇÃOUA-11 DistritoPÓ DE BRITA</v>
      </c>
      <c r="N622" s="78" t="s">
        <v>1063</v>
      </c>
    </row>
    <row r="623" spans="2:14" x14ac:dyDescent="0.25">
      <c r="B623" s="67">
        <v>46077</v>
      </c>
      <c r="C623" s="63">
        <v>1</v>
      </c>
      <c r="D623" s="63" t="s">
        <v>200</v>
      </c>
      <c r="E623" s="68" t="s">
        <v>1076</v>
      </c>
      <c r="F623" s="63" t="s">
        <v>1069</v>
      </c>
      <c r="G623" s="63" t="s">
        <v>1070</v>
      </c>
      <c r="H623" s="63">
        <v>52</v>
      </c>
      <c r="I623" s="68" t="s">
        <v>165</v>
      </c>
      <c r="J623" s="63">
        <v>45.2</v>
      </c>
      <c r="K623" s="64">
        <v>869.64800000000002</v>
      </c>
      <c r="L623" s="63" t="s">
        <v>1109</v>
      </c>
      <c r="M623" s="65" t="str">
        <f t="shared" si="9"/>
        <v>BRASIL MINERAÇÃOUA-11 DistritoPÓ DE BRITA</v>
      </c>
      <c r="N623" s="78" t="s">
        <v>1063</v>
      </c>
    </row>
    <row r="624" spans="2:14" x14ac:dyDescent="0.25">
      <c r="B624" s="67">
        <v>46077</v>
      </c>
      <c r="C624" s="63">
        <v>1</v>
      </c>
      <c r="D624" s="63" t="s">
        <v>219</v>
      </c>
      <c r="E624" s="68" t="s">
        <v>1079</v>
      </c>
      <c r="F624" s="63" t="s">
        <v>1069</v>
      </c>
      <c r="G624" s="63" t="s">
        <v>1070</v>
      </c>
      <c r="H624" s="63">
        <v>52</v>
      </c>
      <c r="I624" s="68" t="s">
        <v>165</v>
      </c>
      <c r="J624" s="63">
        <v>26.04</v>
      </c>
      <c r="K624" s="64">
        <v>501.00959999999992</v>
      </c>
      <c r="L624" s="63" t="s">
        <v>1110</v>
      </c>
      <c r="M624" s="65" t="str">
        <f t="shared" si="9"/>
        <v>BRASIL MINERAÇÃOUA-11 DistritoPÓ DE BRITA</v>
      </c>
      <c r="N624" s="78" t="s">
        <v>1063</v>
      </c>
    </row>
    <row r="625" spans="2:14" x14ac:dyDescent="0.25">
      <c r="B625" s="91">
        <v>46078</v>
      </c>
      <c r="C625" s="63">
        <v>1</v>
      </c>
      <c r="D625" s="63" t="s">
        <v>176</v>
      </c>
      <c r="E625" s="65" t="s">
        <v>177</v>
      </c>
      <c r="F625" s="63" t="s">
        <v>163</v>
      </c>
      <c r="G625" s="63" t="s">
        <v>164</v>
      </c>
      <c r="H625" s="63">
        <v>52</v>
      </c>
      <c r="I625" s="65" t="s">
        <v>175</v>
      </c>
      <c r="J625" s="63">
        <v>5116</v>
      </c>
      <c r="K625" s="64">
        <v>984.32</v>
      </c>
      <c r="L625" s="63" t="s">
        <v>880</v>
      </c>
      <c r="M625" s="65" t="str">
        <f t="shared" si="9"/>
        <v>BRASIL MINERACAOUA SAO LUISBRITA 0</v>
      </c>
      <c r="N625" s="85" t="s">
        <v>1063</v>
      </c>
    </row>
    <row r="626" spans="2:14" x14ac:dyDescent="0.25">
      <c r="B626" s="91">
        <v>46078</v>
      </c>
      <c r="C626" s="63">
        <v>1</v>
      </c>
      <c r="D626" s="63" t="s">
        <v>170</v>
      </c>
      <c r="E626" s="65" t="s">
        <v>171</v>
      </c>
      <c r="F626" s="63" t="s">
        <v>166</v>
      </c>
      <c r="G626" s="63" t="s">
        <v>111</v>
      </c>
      <c r="H626" s="63">
        <v>79</v>
      </c>
      <c r="I626" s="65" t="s">
        <v>169</v>
      </c>
      <c r="J626" s="63">
        <v>2512</v>
      </c>
      <c r="K626" s="64">
        <v>734.26</v>
      </c>
      <c r="L626" s="63" t="s">
        <v>881</v>
      </c>
      <c r="M626" s="65" t="str">
        <f t="shared" si="9"/>
        <v>GRANORTEBEIRA RIOPULMÃOZINHO</v>
      </c>
      <c r="N626" s="85" t="s">
        <v>111</v>
      </c>
    </row>
    <row r="627" spans="2:14" x14ac:dyDescent="0.25">
      <c r="B627" s="91">
        <v>46078</v>
      </c>
      <c r="C627" s="63">
        <v>1</v>
      </c>
      <c r="D627" s="63" t="s">
        <v>188</v>
      </c>
      <c r="E627" s="65" t="s">
        <v>189</v>
      </c>
      <c r="F627" s="63" t="s">
        <v>166</v>
      </c>
      <c r="G627" s="63" t="s">
        <v>164</v>
      </c>
      <c r="H627" s="63">
        <v>58</v>
      </c>
      <c r="I627" s="65" t="s">
        <v>175</v>
      </c>
      <c r="J627" s="63">
        <v>4994</v>
      </c>
      <c r="K627" s="64">
        <v>1071.71</v>
      </c>
      <c r="L627" s="63" t="s">
        <v>882</v>
      </c>
      <c r="M627" s="65" t="str">
        <f t="shared" si="9"/>
        <v>GRANORTEUA SAO LUISBRITA 0</v>
      </c>
      <c r="N627" s="85" t="s">
        <v>1063</v>
      </c>
    </row>
    <row r="628" spans="2:14" x14ac:dyDescent="0.25">
      <c r="B628" s="91">
        <v>46078</v>
      </c>
      <c r="C628" s="63">
        <v>1</v>
      </c>
      <c r="D628" s="63" t="s">
        <v>196</v>
      </c>
      <c r="E628" s="65" t="s">
        <v>197</v>
      </c>
      <c r="F628" s="63" t="s">
        <v>163</v>
      </c>
      <c r="G628" s="63" t="s">
        <v>164</v>
      </c>
      <c r="H628" s="63">
        <v>52</v>
      </c>
      <c r="I628" s="65" t="s">
        <v>165</v>
      </c>
      <c r="J628" s="63">
        <v>6904</v>
      </c>
      <c r="K628" s="64">
        <v>1328.33</v>
      </c>
      <c r="L628" s="63" t="s">
        <v>883</v>
      </c>
      <c r="M628" s="65" t="str">
        <f t="shared" si="9"/>
        <v>BRASIL MINERACAOUA SAO LUISPÓ DE BRITA</v>
      </c>
      <c r="N628" s="85" t="s">
        <v>1063</v>
      </c>
    </row>
    <row r="629" spans="2:14" x14ac:dyDescent="0.25">
      <c r="B629" s="91">
        <v>46078</v>
      </c>
      <c r="C629" s="63">
        <v>1</v>
      </c>
      <c r="D629" s="63" t="s">
        <v>202</v>
      </c>
      <c r="E629" s="65" t="s">
        <v>214</v>
      </c>
      <c r="F629" s="63" t="s">
        <v>163</v>
      </c>
      <c r="G629" s="63" t="s">
        <v>164</v>
      </c>
      <c r="H629" s="63">
        <v>52</v>
      </c>
      <c r="I629" s="65" t="s">
        <v>165</v>
      </c>
      <c r="J629" s="63">
        <v>698</v>
      </c>
      <c r="K629" s="64">
        <v>1342.95</v>
      </c>
      <c r="L629" s="63" t="s">
        <v>884</v>
      </c>
      <c r="M629" s="65" t="str">
        <f t="shared" si="9"/>
        <v>BRASIL MINERACAOUA SAO LUISPÓ DE BRITA</v>
      </c>
      <c r="N629" s="85" t="s">
        <v>1063</v>
      </c>
    </row>
    <row r="630" spans="2:14" x14ac:dyDescent="0.25">
      <c r="B630" s="91">
        <v>46078</v>
      </c>
      <c r="C630" s="63">
        <v>1</v>
      </c>
      <c r="D630" s="63" t="s">
        <v>173</v>
      </c>
      <c r="E630" s="65" t="s">
        <v>174</v>
      </c>
      <c r="F630" s="63" t="s">
        <v>166</v>
      </c>
      <c r="G630" s="63" t="s">
        <v>111</v>
      </c>
      <c r="H630" s="63">
        <v>79</v>
      </c>
      <c r="I630" s="65" t="s">
        <v>169</v>
      </c>
      <c r="J630" s="63">
        <v>2632</v>
      </c>
      <c r="K630" s="64">
        <v>769.33</v>
      </c>
      <c r="L630" s="63" t="s">
        <v>885</v>
      </c>
      <c r="M630" s="65" t="str">
        <f t="shared" si="9"/>
        <v>GRANORTEBEIRA RIOPULMÃOZINHO</v>
      </c>
      <c r="N630" s="85" t="s">
        <v>111</v>
      </c>
    </row>
    <row r="631" spans="2:14" x14ac:dyDescent="0.25">
      <c r="B631" s="91">
        <v>46078</v>
      </c>
      <c r="C631" s="63">
        <v>1</v>
      </c>
      <c r="D631" s="63" t="s">
        <v>199</v>
      </c>
      <c r="E631" s="65" t="s">
        <v>180</v>
      </c>
      <c r="F631" s="63" t="s">
        <v>166</v>
      </c>
      <c r="G631" s="63" t="s">
        <v>111</v>
      </c>
      <c r="H631" s="63">
        <v>79</v>
      </c>
      <c r="I631" s="65" t="s">
        <v>169</v>
      </c>
      <c r="J631" s="63">
        <v>263</v>
      </c>
      <c r="K631" s="64">
        <v>768.75</v>
      </c>
      <c r="L631" s="63" t="s">
        <v>886</v>
      </c>
      <c r="M631" s="65" t="str">
        <f t="shared" si="9"/>
        <v>GRANORTEBEIRA RIOPULMÃOZINHO</v>
      </c>
      <c r="N631" s="85" t="s">
        <v>111</v>
      </c>
    </row>
    <row r="632" spans="2:14" x14ac:dyDescent="0.25">
      <c r="B632" s="91">
        <v>46078</v>
      </c>
      <c r="C632" s="63">
        <v>1</v>
      </c>
      <c r="D632" s="63" t="s">
        <v>208</v>
      </c>
      <c r="E632" s="65" t="s">
        <v>209</v>
      </c>
      <c r="F632" s="63" t="s">
        <v>163</v>
      </c>
      <c r="G632" s="63" t="s">
        <v>164</v>
      </c>
      <c r="H632" s="63">
        <v>52</v>
      </c>
      <c r="I632" s="65" t="s">
        <v>165</v>
      </c>
      <c r="J632" s="63">
        <v>490</v>
      </c>
      <c r="K632" s="64">
        <v>942.76</v>
      </c>
      <c r="L632" s="63" t="s">
        <v>887</v>
      </c>
      <c r="M632" s="65" t="str">
        <f t="shared" si="9"/>
        <v>BRASIL MINERACAOUA SAO LUISPÓ DE BRITA</v>
      </c>
      <c r="N632" s="85" t="s">
        <v>1063</v>
      </c>
    </row>
    <row r="633" spans="2:14" x14ac:dyDescent="0.25">
      <c r="B633" s="91">
        <v>46078</v>
      </c>
      <c r="C633" s="63">
        <v>1</v>
      </c>
      <c r="D633" s="63" t="s">
        <v>203</v>
      </c>
      <c r="E633" s="65" t="s">
        <v>204</v>
      </c>
      <c r="F633" s="63" t="s">
        <v>166</v>
      </c>
      <c r="G633" s="63" t="s">
        <v>164</v>
      </c>
      <c r="H633" s="63">
        <v>58</v>
      </c>
      <c r="I633" s="65" t="s">
        <v>165</v>
      </c>
      <c r="J633" s="63">
        <v>4476</v>
      </c>
      <c r="K633" s="64">
        <v>960.55</v>
      </c>
      <c r="L633" s="63" t="s">
        <v>888</v>
      </c>
      <c r="M633" s="65" t="str">
        <f t="shared" si="9"/>
        <v>GRANORTEUA SAO LUISPÓ DE BRITA</v>
      </c>
      <c r="N633" s="85" t="s">
        <v>1063</v>
      </c>
    </row>
    <row r="634" spans="2:14" x14ac:dyDescent="0.25">
      <c r="B634" s="91">
        <v>46078</v>
      </c>
      <c r="C634" s="63">
        <v>1</v>
      </c>
      <c r="D634" s="63" t="s">
        <v>162</v>
      </c>
      <c r="E634" s="65" t="s">
        <v>281</v>
      </c>
      <c r="F634" s="63" t="s">
        <v>166</v>
      </c>
      <c r="G634" s="63" t="s">
        <v>164</v>
      </c>
      <c r="H634" s="63">
        <v>58</v>
      </c>
      <c r="I634" s="65" t="s">
        <v>169</v>
      </c>
      <c r="J634" s="63">
        <v>2534</v>
      </c>
      <c r="K634" s="64">
        <v>543.79999999999995</v>
      </c>
      <c r="L634" s="63" t="s">
        <v>889</v>
      </c>
      <c r="M634" s="65" t="str">
        <f t="shared" si="9"/>
        <v>GRANORTEUA SAO LUISPULMÃOZINHO</v>
      </c>
      <c r="N634" s="85" t="s">
        <v>1063</v>
      </c>
    </row>
    <row r="635" spans="2:14" x14ac:dyDescent="0.25">
      <c r="B635" s="91">
        <v>46078</v>
      </c>
      <c r="C635" s="63">
        <v>1</v>
      </c>
      <c r="D635" s="63" t="s">
        <v>170</v>
      </c>
      <c r="E635" s="65" t="s">
        <v>171</v>
      </c>
      <c r="F635" s="63" t="s">
        <v>166</v>
      </c>
      <c r="G635" s="63" t="s">
        <v>111</v>
      </c>
      <c r="H635" s="63">
        <v>79</v>
      </c>
      <c r="I635" s="65" t="s">
        <v>169</v>
      </c>
      <c r="J635" s="63">
        <v>2492</v>
      </c>
      <c r="K635" s="64">
        <v>728.41</v>
      </c>
      <c r="L635" s="63" t="s">
        <v>890</v>
      </c>
      <c r="M635" s="65" t="str">
        <f t="shared" si="9"/>
        <v>GRANORTEBEIRA RIOPULMÃOZINHO</v>
      </c>
      <c r="N635" s="85" t="s">
        <v>111</v>
      </c>
    </row>
    <row r="636" spans="2:14" x14ac:dyDescent="0.25">
      <c r="B636" s="91">
        <v>46078</v>
      </c>
      <c r="C636" s="63">
        <v>1</v>
      </c>
      <c r="D636" s="63" t="s">
        <v>176</v>
      </c>
      <c r="E636" s="65" t="s">
        <v>177</v>
      </c>
      <c r="F636" s="63" t="s">
        <v>163</v>
      </c>
      <c r="G636" s="63" t="s">
        <v>164</v>
      </c>
      <c r="H636" s="63">
        <v>52</v>
      </c>
      <c r="I636" s="65" t="s">
        <v>165</v>
      </c>
      <c r="J636" s="63">
        <v>4608</v>
      </c>
      <c r="K636" s="64">
        <v>886.58</v>
      </c>
      <c r="L636" s="63" t="s">
        <v>891</v>
      </c>
      <c r="M636" s="65" t="str">
        <f t="shared" si="9"/>
        <v>BRASIL MINERACAOUA SAO LUISPÓ DE BRITA</v>
      </c>
      <c r="N636" s="85" t="s">
        <v>1063</v>
      </c>
    </row>
    <row r="637" spans="2:14" x14ac:dyDescent="0.25">
      <c r="B637" s="91">
        <v>46078</v>
      </c>
      <c r="C637" s="63">
        <v>1</v>
      </c>
      <c r="D637" s="63" t="s">
        <v>162</v>
      </c>
      <c r="E637" s="65" t="s">
        <v>281</v>
      </c>
      <c r="F637" s="63" t="s">
        <v>166</v>
      </c>
      <c r="G637" s="63" t="s">
        <v>164</v>
      </c>
      <c r="H637" s="63">
        <v>58</v>
      </c>
      <c r="I637" s="65" t="s">
        <v>169</v>
      </c>
      <c r="J637" s="63">
        <v>2516</v>
      </c>
      <c r="K637" s="64">
        <v>539.92999999999995</v>
      </c>
      <c r="L637" s="63" t="s">
        <v>892</v>
      </c>
      <c r="M637" s="65" t="str">
        <f t="shared" si="9"/>
        <v>GRANORTEUA SAO LUISPULMÃOZINHO</v>
      </c>
      <c r="N637" s="85" t="s">
        <v>1063</v>
      </c>
    </row>
    <row r="638" spans="2:14" x14ac:dyDescent="0.25">
      <c r="B638" s="91">
        <v>46078</v>
      </c>
      <c r="C638" s="63">
        <v>1</v>
      </c>
      <c r="D638" s="63" t="s">
        <v>199</v>
      </c>
      <c r="E638" s="65" t="s">
        <v>180</v>
      </c>
      <c r="F638" s="63" t="s">
        <v>166</v>
      </c>
      <c r="G638" s="63" t="s">
        <v>111</v>
      </c>
      <c r="H638" s="63">
        <v>79</v>
      </c>
      <c r="I638" s="65" t="s">
        <v>169</v>
      </c>
      <c r="J638" s="63">
        <v>2662</v>
      </c>
      <c r="K638" s="64">
        <v>778.1</v>
      </c>
      <c r="L638" s="63" t="s">
        <v>893</v>
      </c>
      <c r="M638" s="65" t="str">
        <f t="shared" si="9"/>
        <v>GRANORTEBEIRA RIOPULMÃOZINHO</v>
      </c>
      <c r="N638" s="85" t="s">
        <v>111</v>
      </c>
    </row>
    <row r="639" spans="2:14" x14ac:dyDescent="0.25">
      <c r="B639" s="91">
        <v>46078</v>
      </c>
      <c r="C639" s="63">
        <v>1</v>
      </c>
      <c r="D639" s="63" t="s">
        <v>188</v>
      </c>
      <c r="E639" s="65" t="s">
        <v>189</v>
      </c>
      <c r="F639" s="63" t="s">
        <v>166</v>
      </c>
      <c r="G639" s="63" t="s">
        <v>164</v>
      </c>
      <c r="H639" s="63">
        <v>58</v>
      </c>
      <c r="I639" s="65" t="s">
        <v>175</v>
      </c>
      <c r="J639" s="63">
        <v>4886</v>
      </c>
      <c r="K639" s="64">
        <v>1048.54</v>
      </c>
      <c r="L639" s="63" t="s">
        <v>894</v>
      </c>
      <c r="M639" s="65" t="str">
        <f t="shared" si="9"/>
        <v>GRANORTEUA SAO LUISBRITA 0</v>
      </c>
      <c r="N639" s="85" t="s">
        <v>1063</v>
      </c>
    </row>
    <row r="640" spans="2:14" x14ac:dyDescent="0.25">
      <c r="B640" s="91">
        <v>46078</v>
      </c>
      <c r="C640" s="63">
        <v>1</v>
      </c>
      <c r="D640" s="63" t="s">
        <v>196</v>
      </c>
      <c r="E640" s="65" t="s">
        <v>197</v>
      </c>
      <c r="F640" s="63" t="s">
        <v>163</v>
      </c>
      <c r="G640" s="63" t="s">
        <v>164</v>
      </c>
      <c r="H640" s="63">
        <v>52</v>
      </c>
      <c r="I640" s="65" t="s">
        <v>165</v>
      </c>
      <c r="J640" s="63">
        <v>4874</v>
      </c>
      <c r="K640" s="64">
        <v>937.76</v>
      </c>
      <c r="L640" s="63" t="s">
        <v>895</v>
      </c>
      <c r="M640" s="65" t="str">
        <f t="shared" si="9"/>
        <v>BRASIL MINERACAOUA SAO LUISPÓ DE BRITA</v>
      </c>
      <c r="N640" s="85" t="s">
        <v>1063</v>
      </c>
    </row>
    <row r="641" spans="2:14" x14ac:dyDescent="0.25">
      <c r="B641" s="91">
        <v>46078</v>
      </c>
      <c r="C641" s="63">
        <v>1</v>
      </c>
      <c r="D641" s="63" t="s">
        <v>173</v>
      </c>
      <c r="E641" s="65" t="s">
        <v>174</v>
      </c>
      <c r="F641" s="63" t="s">
        <v>166</v>
      </c>
      <c r="G641" s="63" t="s">
        <v>111</v>
      </c>
      <c r="H641" s="63">
        <v>79</v>
      </c>
      <c r="I641" s="65" t="s">
        <v>169</v>
      </c>
      <c r="J641" s="63">
        <v>2572</v>
      </c>
      <c r="K641" s="64">
        <v>751.8</v>
      </c>
      <c r="L641" s="63" t="s">
        <v>896</v>
      </c>
      <c r="M641" s="65" t="str">
        <f t="shared" si="9"/>
        <v>GRANORTEBEIRA RIOPULMÃOZINHO</v>
      </c>
      <c r="N641" s="85" t="s">
        <v>111</v>
      </c>
    </row>
    <row r="642" spans="2:14" x14ac:dyDescent="0.25">
      <c r="B642" s="91">
        <v>46078</v>
      </c>
      <c r="C642" s="63">
        <v>1</v>
      </c>
      <c r="D642" s="63" t="s">
        <v>208</v>
      </c>
      <c r="E642" s="65" t="s">
        <v>209</v>
      </c>
      <c r="F642" s="63" t="s">
        <v>166</v>
      </c>
      <c r="G642" s="63" t="s">
        <v>164</v>
      </c>
      <c r="H642" s="63">
        <v>58</v>
      </c>
      <c r="I642" s="65" t="s">
        <v>195</v>
      </c>
      <c r="J642" s="63">
        <v>500</v>
      </c>
      <c r="K642" s="64">
        <v>1073</v>
      </c>
      <c r="L642" s="63" t="s">
        <v>897</v>
      </c>
      <c r="M642" s="65" t="str">
        <f t="shared" si="9"/>
        <v>GRANORTEUA SAO LUISBRITA 1</v>
      </c>
      <c r="N642" s="85" t="s">
        <v>1063</v>
      </c>
    </row>
    <row r="643" spans="2:14" x14ac:dyDescent="0.25">
      <c r="B643" s="91">
        <v>46078</v>
      </c>
      <c r="C643" s="63">
        <v>1</v>
      </c>
      <c r="D643" s="63" t="s">
        <v>202</v>
      </c>
      <c r="E643" s="65" t="s">
        <v>214</v>
      </c>
      <c r="F643" s="63" t="s">
        <v>163</v>
      </c>
      <c r="G643" s="63" t="s">
        <v>164</v>
      </c>
      <c r="H643" s="63">
        <v>52</v>
      </c>
      <c r="I643" s="65" t="s">
        <v>165</v>
      </c>
      <c r="J643" s="63">
        <v>4692</v>
      </c>
      <c r="K643" s="64">
        <v>902.74</v>
      </c>
      <c r="L643" s="63" t="s">
        <v>898</v>
      </c>
      <c r="M643" s="65" t="str">
        <f t="shared" si="9"/>
        <v>BRASIL MINERACAOUA SAO LUISPÓ DE BRITA</v>
      </c>
      <c r="N643" s="85" t="s">
        <v>1063</v>
      </c>
    </row>
    <row r="644" spans="2:14" x14ac:dyDescent="0.25">
      <c r="B644" s="91">
        <v>46078</v>
      </c>
      <c r="C644" s="63">
        <v>1</v>
      </c>
      <c r="D644" s="63" t="s">
        <v>205</v>
      </c>
      <c r="E644" s="65" t="s">
        <v>206</v>
      </c>
      <c r="F644" s="63" t="s">
        <v>291</v>
      </c>
      <c r="G644" s="63" t="s">
        <v>783</v>
      </c>
      <c r="H644" s="63">
        <v>358</v>
      </c>
      <c r="I644" s="65" t="s">
        <v>221</v>
      </c>
      <c r="J644" s="63">
        <v>5004</v>
      </c>
      <c r="K644" s="64">
        <v>6628.3</v>
      </c>
      <c r="L644" s="63" t="s">
        <v>899</v>
      </c>
      <c r="M644" s="65" t="str">
        <f t="shared" si="9"/>
        <v>MINERADORA PORTO FRANCO - MAVF CONSTRUTORA KM114BGS</v>
      </c>
      <c r="N644" s="85" t="s">
        <v>1065</v>
      </c>
    </row>
    <row r="645" spans="2:14" x14ac:dyDescent="0.25">
      <c r="B645" s="91">
        <v>46078</v>
      </c>
      <c r="C645" s="63">
        <v>1</v>
      </c>
      <c r="D645" s="63" t="s">
        <v>188</v>
      </c>
      <c r="E645" s="65" t="s">
        <v>189</v>
      </c>
      <c r="F645" s="63" t="s">
        <v>166</v>
      </c>
      <c r="G645" s="63" t="s">
        <v>164</v>
      </c>
      <c r="H645" s="63">
        <v>58</v>
      </c>
      <c r="I645" s="65" t="s">
        <v>175</v>
      </c>
      <c r="J645" s="63">
        <v>4922</v>
      </c>
      <c r="K645" s="64">
        <v>1056.26</v>
      </c>
      <c r="L645" s="63" t="s">
        <v>900</v>
      </c>
      <c r="M645" s="65" t="str">
        <f t="shared" ref="M645:M708" si="10">F645&amp;G645&amp;I645</f>
        <v>GRANORTEUA SAO LUISBRITA 0</v>
      </c>
      <c r="N645" s="85" t="s">
        <v>1063</v>
      </c>
    </row>
    <row r="646" spans="2:14" x14ac:dyDescent="0.25">
      <c r="B646" s="91">
        <v>46078</v>
      </c>
      <c r="C646" s="63">
        <v>1</v>
      </c>
      <c r="D646" s="63" t="s">
        <v>193</v>
      </c>
      <c r="E646" s="65" t="s">
        <v>285</v>
      </c>
      <c r="F646" s="63" t="s">
        <v>166</v>
      </c>
      <c r="G646" s="63" t="s">
        <v>111</v>
      </c>
      <c r="H646" s="63">
        <v>79</v>
      </c>
      <c r="I646" s="65" t="s">
        <v>169</v>
      </c>
      <c r="J646" s="63">
        <v>2614</v>
      </c>
      <c r="K646" s="64">
        <v>764.07</v>
      </c>
      <c r="L646" s="63" t="s">
        <v>901</v>
      </c>
      <c r="M646" s="65" t="str">
        <f t="shared" si="10"/>
        <v>GRANORTEBEIRA RIOPULMÃOZINHO</v>
      </c>
      <c r="N646" s="85" t="s">
        <v>111</v>
      </c>
    </row>
    <row r="647" spans="2:14" x14ac:dyDescent="0.25">
      <c r="B647" s="91">
        <v>46078</v>
      </c>
      <c r="C647" s="63">
        <v>1</v>
      </c>
      <c r="D647" s="63" t="s">
        <v>193</v>
      </c>
      <c r="E647" s="65" t="s">
        <v>285</v>
      </c>
      <c r="F647" s="63" t="s">
        <v>166</v>
      </c>
      <c r="G647" s="63" t="s">
        <v>111</v>
      </c>
      <c r="H647" s="63">
        <v>79</v>
      </c>
      <c r="I647" s="65" t="s">
        <v>169</v>
      </c>
      <c r="J647" s="63">
        <v>2562</v>
      </c>
      <c r="K647" s="64">
        <v>748.87</v>
      </c>
      <c r="L647" s="63" t="s">
        <v>902</v>
      </c>
      <c r="M647" s="65" t="str">
        <f t="shared" si="10"/>
        <v>GRANORTEBEIRA RIOPULMÃOZINHO</v>
      </c>
      <c r="N647" s="85" t="s">
        <v>111</v>
      </c>
    </row>
    <row r="648" spans="2:14" x14ac:dyDescent="0.25">
      <c r="B648" s="91">
        <v>46078</v>
      </c>
      <c r="C648" s="63">
        <v>1</v>
      </c>
      <c r="D648" s="63" t="s">
        <v>283</v>
      </c>
      <c r="E648" s="65" t="s">
        <v>215</v>
      </c>
      <c r="F648" s="63" t="s">
        <v>166</v>
      </c>
      <c r="G648" s="63" t="s">
        <v>824</v>
      </c>
      <c r="H648" s="63">
        <v>78</v>
      </c>
      <c r="I648" s="65" t="s">
        <v>169</v>
      </c>
      <c r="J648" s="63">
        <v>2708</v>
      </c>
      <c r="K648" s="64">
        <v>781.53</v>
      </c>
      <c r="L648" s="63" t="s">
        <v>903</v>
      </c>
      <c r="M648" s="65" t="str">
        <f t="shared" si="10"/>
        <v>GRANORTECRUZAMENTO MA 201/202 (METROPOLITANA)PULMÃOZINHO</v>
      </c>
      <c r="N648" s="85" t="s">
        <v>11</v>
      </c>
    </row>
    <row r="649" spans="2:14" x14ac:dyDescent="0.25">
      <c r="B649" s="91">
        <v>46078</v>
      </c>
      <c r="C649" s="63">
        <v>1</v>
      </c>
      <c r="D649" s="63" t="s">
        <v>283</v>
      </c>
      <c r="E649" s="65" t="s">
        <v>215</v>
      </c>
      <c r="F649" s="63" t="s">
        <v>166</v>
      </c>
      <c r="G649" s="63" t="s">
        <v>164</v>
      </c>
      <c r="H649" s="63">
        <v>58</v>
      </c>
      <c r="I649" s="65" t="s">
        <v>175</v>
      </c>
      <c r="J649" s="63">
        <v>2686</v>
      </c>
      <c r="K649" s="64">
        <v>576.41999999999996</v>
      </c>
      <c r="L649" s="63" t="s">
        <v>904</v>
      </c>
      <c r="M649" s="65" t="str">
        <f t="shared" si="10"/>
        <v>GRANORTEUA SAO LUISBRITA 0</v>
      </c>
      <c r="N649" s="85" t="s">
        <v>1063</v>
      </c>
    </row>
    <row r="650" spans="2:14" x14ac:dyDescent="0.25">
      <c r="B650" s="91">
        <v>46078</v>
      </c>
      <c r="C650" s="63">
        <v>1</v>
      </c>
      <c r="D650" s="63" t="s">
        <v>283</v>
      </c>
      <c r="E650" s="65" t="s">
        <v>215</v>
      </c>
      <c r="F650" s="63" t="s">
        <v>166</v>
      </c>
      <c r="G650" s="63" t="s">
        <v>164</v>
      </c>
      <c r="H650" s="63">
        <v>58</v>
      </c>
      <c r="I650" s="65" t="s">
        <v>175</v>
      </c>
      <c r="J650" s="63">
        <v>2644</v>
      </c>
      <c r="K650" s="64">
        <v>567.4</v>
      </c>
      <c r="L650" s="63" t="s">
        <v>905</v>
      </c>
      <c r="M650" s="65" t="str">
        <f t="shared" si="10"/>
        <v>GRANORTEUA SAO LUISBRITA 0</v>
      </c>
      <c r="N650" s="85" t="s">
        <v>1063</v>
      </c>
    </row>
    <row r="651" spans="2:14" x14ac:dyDescent="0.25">
      <c r="B651" s="91">
        <v>46078</v>
      </c>
      <c r="C651" s="63">
        <v>1</v>
      </c>
      <c r="D651" s="63" t="s">
        <v>210</v>
      </c>
      <c r="E651" s="65" t="s">
        <v>211</v>
      </c>
      <c r="F651" s="63" t="s">
        <v>166</v>
      </c>
      <c r="G651" s="63" t="s">
        <v>164</v>
      </c>
      <c r="H651" s="63">
        <v>58</v>
      </c>
      <c r="I651" s="65" t="s">
        <v>195</v>
      </c>
      <c r="J651" s="63">
        <v>5144</v>
      </c>
      <c r="K651" s="64">
        <v>1103.9000000000001</v>
      </c>
      <c r="L651" s="63" t="s">
        <v>906</v>
      </c>
      <c r="M651" s="65" t="str">
        <f t="shared" si="10"/>
        <v>GRANORTEUA SAO LUISBRITA 1</v>
      </c>
      <c r="N651" s="85" t="s">
        <v>1063</v>
      </c>
    </row>
    <row r="652" spans="2:14" x14ac:dyDescent="0.25">
      <c r="B652" s="91">
        <v>46078</v>
      </c>
      <c r="C652" s="63">
        <v>1</v>
      </c>
      <c r="D652" s="63" t="s">
        <v>210</v>
      </c>
      <c r="E652" s="65" t="s">
        <v>211</v>
      </c>
      <c r="F652" s="63" t="s">
        <v>166</v>
      </c>
      <c r="G652" s="63" t="s">
        <v>164</v>
      </c>
      <c r="H652" s="63">
        <v>58</v>
      </c>
      <c r="I652" s="65" t="s">
        <v>165</v>
      </c>
      <c r="J652" s="63">
        <v>4568</v>
      </c>
      <c r="K652" s="64">
        <v>980.29</v>
      </c>
      <c r="L652" s="63" t="s">
        <v>907</v>
      </c>
      <c r="M652" s="65" t="str">
        <f t="shared" si="10"/>
        <v>GRANORTEUA SAO LUISPÓ DE BRITA</v>
      </c>
      <c r="N652" s="85" t="s">
        <v>1063</v>
      </c>
    </row>
    <row r="653" spans="2:14" x14ac:dyDescent="0.25">
      <c r="B653" s="91">
        <v>46078</v>
      </c>
      <c r="C653" s="63">
        <v>1</v>
      </c>
      <c r="D653" s="63" t="s">
        <v>186</v>
      </c>
      <c r="E653" s="65" t="s">
        <v>187</v>
      </c>
      <c r="F653" s="63" t="s">
        <v>166</v>
      </c>
      <c r="G653" s="63" t="s">
        <v>164</v>
      </c>
      <c r="H653" s="63">
        <v>58</v>
      </c>
      <c r="I653" s="65" t="s">
        <v>165</v>
      </c>
      <c r="J653" s="63">
        <v>509</v>
      </c>
      <c r="K653" s="64">
        <v>1092.31</v>
      </c>
      <c r="L653" s="63" t="s">
        <v>908</v>
      </c>
      <c r="M653" s="65" t="str">
        <f t="shared" si="10"/>
        <v>GRANORTEUA SAO LUISPÓ DE BRITA</v>
      </c>
      <c r="N653" s="85" t="s">
        <v>1063</v>
      </c>
    </row>
    <row r="654" spans="2:14" x14ac:dyDescent="0.25">
      <c r="B654" s="91">
        <v>46078</v>
      </c>
      <c r="C654" s="63">
        <v>1</v>
      </c>
      <c r="D654" s="63" t="s">
        <v>186</v>
      </c>
      <c r="E654" s="65" t="s">
        <v>187</v>
      </c>
      <c r="F654" s="63" t="s">
        <v>166</v>
      </c>
      <c r="G654" s="63" t="s">
        <v>164</v>
      </c>
      <c r="H654" s="63">
        <v>58</v>
      </c>
      <c r="I654" s="65" t="s">
        <v>165</v>
      </c>
      <c r="J654" s="63">
        <v>503</v>
      </c>
      <c r="K654" s="64">
        <v>1079.44</v>
      </c>
      <c r="L654" s="63" t="s">
        <v>909</v>
      </c>
      <c r="M654" s="65" t="str">
        <f t="shared" si="10"/>
        <v>GRANORTEUA SAO LUISPÓ DE BRITA</v>
      </c>
      <c r="N654" s="85" t="s">
        <v>1063</v>
      </c>
    </row>
    <row r="655" spans="2:14" x14ac:dyDescent="0.25">
      <c r="B655" s="91">
        <v>46078</v>
      </c>
      <c r="C655" s="63">
        <v>1</v>
      </c>
      <c r="D655" s="63" t="s">
        <v>181</v>
      </c>
      <c r="E655" s="65" t="s">
        <v>182</v>
      </c>
      <c r="F655" s="63" t="s">
        <v>910</v>
      </c>
      <c r="G655" s="63" t="s">
        <v>911</v>
      </c>
      <c r="H655" s="63">
        <v>104</v>
      </c>
      <c r="I655" s="65" t="s">
        <v>912</v>
      </c>
      <c r="J655" s="63">
        <v>250</v>
      </c>
      <c r="K655" s="64">
        <v>832</v>
      </c>
      <c r="L655" s="63" t="s">
        <v>913</v>
      </c>
      <c r="M655" s="65" t="str">
        <f t="shared" si="10"/>
        <v>CANTEIRO ARACAGYFRIGORIFICO HC AXIXAFRESA DE ASFALTO</v>
      </c>
      <c r="N655" s="85" t="s">
        <v>1063</v>
      </c>
    </row>
    <row r="656" spans="2:14" x14ac:dyDescent="0.25">
      <c r="B656" s="91">
        <v>46078</v>
      </c>
      <c r="C656" s="63">
        <v>1</v>
      </c>
      <c r="D656" s="63" t="s">
        <v>181</v>
      </c>
      <c r="E656" s="65" t="s">
        <v>182</v>
      </c>
      <c r="F656" s="63" t="s">
        <v>166</v>
      </c>
      <c r="G656" s="63" t="s">
        <v>111</v>
      </c>
      <c r="H656" s="63">
        <v>79</v>
      </c>
      <c r="I656" s="65" t="s">
        <v>169</v>
      </c>
      <c r="J656" s="63">
        <v>2652</v>
      </c>
      <c r="K656" s="64">
        <v>775.18</v>
      </c>
      <c r="L656" s="63" t="s">
        <v>914</v>
      </c>
      <c r="M656" s="65" t="str">
        <f t="shared" si="10"/>
        <v>GRANORTEBEIRA RIOPULMÃOZINHO</v>
      </c>
      <c r="N656" s="85" t="s">
        <v>111</v>
      </c>
    </row>
    <row r="657" spans="2:14" x14ac:dyDescent="0.25">
      <c r="B657" s="91">
        <v>46078</v>
      </c>
      <c r="C657" s="63">
        <v>1</v>
      </c>
      <c r="D657" s="63" t="s">
        <v>192</v>
      </c>
      <c r="E657" s="65" t="s">
        <v>287</v>
      </c>
      <c r="F657" s="63" t="s">
        <v>163</v>
      </c>
      <c r="G657" s="63" t="s">
        <v>164</v>
      </c>
      <c r="H657" s="63">
        <v>52</v>
      </c>
      <c r="I657" s="65" t="s">
        <v>165</v>
      </c>
      <c r="J657" s="63">
        <v>4788</v>
      </c>
      <c r="K657" s="64">
        <v>921.21</v>
      </c>
      <c r="L657" s="63" t="s">
        <v>880</v>
      </c>
      <c r="M657" s="65" t="str">
        <f t="shared" si="10"/>
        <v>BRASIL MINERACAOUA SAO LUISPÓ DE BRITA</v>
      </c>
      <c r="N657" s="85" t="s">
        <v>1063</v>
      </c>
    </row>
    <row r="658" spans="2:14" x14ac:dyDescent="0.25">
      <c r="B658" s="91">
        <v>46078</v>
      </c>
      <c r="C658" s="63">
        <v>1</v>
      </c>
      <c r="D658" s="63" t="s">
        <v>192</v>
      </c>
      <c r="E658" s="65" t="s">
        <v>287</v>
      </c>
      <c r="F658" s="63" t="s">
        <v>163</v>
      </c>
      <c r="G658" s="63" t="s">
        <v>164</v>
      </c>
      <c r="H658" s="63">
        <v>52</v>
      </c>
      <c r="I658" s="65" t="s">
        <v>195</v>
      </c>
      <c r="J658" s="63">
        <v>4648</v>
      </c>
      <c r="K658" s="64">
        <v>894.28</v>
      </c>
      <c r="L658" s="63" t="s">
        <v>915</v>
      </c>
      <c r="M658" s="65" t="str">
        <f t="shared" si="10"/>
        <v>BRASIL MINERACAOUA SAO LUISBRITA 1</v>
      </c>
      <c r="N658" s="85" t="s">
        <v>1063</v>
      </c>
    </row>
    <row r="659" spans="2:14" x14ac:dyDescent="0.25">
      <c r="B659" s="91">
        <v>46078</v>
      </c>
      <c r="C659" s="63">
        <v>1</v>
      </c>
      <c r="D659" s="63" t="s">
        <v>183</v>
      </c>
      <c r="E659" s="65" t="s">
        <v>506</v>
      </c>
      <c r="F659" s="63" t="s">
        <v>166</v>
      </c>
      <c r="G659" s="63" t="s">
        <v>111</v>
      </c>
      <c r="H659" s="63">
        <v>79</v>
      </c>
      <c r="I659" s="65" t="s">
        <v>169</v>
      </c>
      <c r="J659" s="63">
        <v>2736</v>
      </c>
      <c r="K659" s="64">
        <v>799.73</v>
      </c>
      <c r="L659" s="63" t="s">
        <v>916</v>
      </c>
      <c r="M659" s="65" t="str">
        <f t="shared" si="10"/>
        <v>GRANORTEBEIRA RIOPULMÃOZINHO</v>
      </c>
      <c r="N659" s="85" t="s">
        <v>111</v>
      </c>
    </row>
    <row r="660" spans="2:14" x14ac:dyDescent="0.25">
      <c r="B660" s="91">
        <v>46078</v>
      </c>
      <c r="C660" s="63">
        <v>1</v>
      </c>
      <c r="D660" s="63" t="s">
        <v>183</v>
      </c>
      <c r="E660" s="65" t="s">
        <v>506</v>
      </c>
      <c r="F660" s="63" t="s">
        <v>166</v>
      </c>
      <c r="G660" s="63" t="s">
        <v>111</v>
      </c>
      <c r="H660" s="63">
        <v>79</v>
      </c>
      <c r="I660" s="65" t="s">
        <v>169</v>
      </c>
      <c r="J660" s="63">
        <v>2738</v>
      </c>
      <c r="K660" s="64">
        <v>800.32</v>
      </c>
      <c r="L660" s="63" t="s">
        <v>917</v>
      </c>
      <c r="M660" s="65" t="str">
        <f t="shared" si="10"/>
        <v>GRANORTEBEIRA RIOPULMÃOZINHO</v>
      </c>
      <c r="N660" s="85" t="s">
        <v>111</v>
      </c>
    </row>
    <row r="661" spans="2:14" x14ac:dyDescent="0.25">
      <c r="B661" s="91">
        <v>46078</v>
      </c>
      <c r="C661" s="63">
        <v>1</v>
      </c>
      <c r="D661" s="63" t="s">
        <v>183</v>
      </c>
      <c r="E661" s="65" t="s">
        <v>506</v>
      </c>
      <c r="F661" s="63" t="s">
        <v>166</v>
      </c>
      <c r="G661" s="63" t="s">
        <v>111</v>
      </c>
      <c r="H661" s="63">
        <v>79</v>
      </c>
      <c r="I661" s="65" t="s">
        <v>169</v>
      </c>
      <c r="J661" s="63">
        <v>2644</v>
      </c>
      <c r="K661" s="64">
        <v>772.84</v>
      </c>
      <c r="L661" s="63" t="s">
        <v>918</v>
      </c>
      <c r="M661" s="65" t="str">
        <f t="shared" si="10"/>
        <v>GRANORTEBEIRA RIOPULMÃOZINHO</v>
      </c>
      <c r="N661" s="85" t="s">
        <v>111</v>
      </c>
    </row>
    <row r="662" spans="2:14" x14ac:dyDescent="0.25">
      <c r="B662" s="91">
        <v>46078</v>
      </c>
      <c r="C662" s="63">
        <v>1</v>
      </c>
      <c r="D662" s="63" t="s">
        <v>289</v>
      </c>
      <c r="E662" s="65" t="s">
        <v>290</v>
      </c>
      <c r="F662" s="63" t="s">
        <v>276</v>
      </c>
      <c r="G662" s="63" t="s">
        <v>919</v>
      </c>
      <c r="H662" s="63">
        <v>358</v>
      </c>
      <c r="I662" s="65" t="s">
        <v>172</v>
      </c>
      <c r="J662" s="63">
        <v>3884</v>
      </c>
      <c r="K662" s="64">
        <v>4449.51</v>
      </c>
      <c r="L662" s="63" t="s">
        <v>920</v>
      </c>
      <c r="M662" s="65" t="str">
        <f t="shared" si="10"/>
        <v>MINERADORA PORTO FRANCOVALE NOVA VIDA KM356BICA CORRIDA</v>
      </c>
      <c r="N662" s="85" t="s">
        <v>1065</v>
      </c>
    </row>
    <row r="663" spans="2:14" x14ac:dyDescent="0.25">
      <c r="B663" s="91">
        <v>46078</v>
      </c>
      <c r="C663" s="63">
        <v>2</v>
      </c>
      <c r="D663" s="63" t="s">
        <v>296</v>
      </c>
      <c r="E663" s="65" t="s">
        <v>297</v>
      </c>
      <c r="F663" s="63" t="s">
        <v>276</v>
      </c>
      <c r="G663" s="63" t="s">
        <v>277</v>
      </c>
      <c r="H663" s="63">
        <v>118</v>
      </c>
      <c r="I663" s="65" t="s">
        <v>165</v>
      </c>
      <c r="J663" s="63">
        <v>3826</v>
      </c>
      <c r="K663" s="64">
        <v>1444.7</v>
      </c>
      <c r="L663" s="63" t="s">
        <v>1046</v>
      </c>
      <c r="M663" s="65" t="str">
        <f t="shared" si="10"/>
        <v>MINERADORA PORTO FRANCOCONCRENORTEPÓ DE BRITA</v>
      </c>
      <c r="N663" s="85" t="s">
        <v>1065</v>
      </c>
    </row>
    <row r="664" spans="2:14" x14ac:dyDescent="0.25">
      <c r="B664" s="91">
        <v>46078</v>
      </c>
      <c r="C664" s="63">
        <v>2</v>
      </c>
      <c r="D664" s="63" t="s">
        <v>298</v>
      </c>
      <c r="E664" s="65" t="s">
        <v>299</v>
      </c>
      <c r="F664" s="63" t="s">
        <v>291</v>
      </c>
      <c r="G664" s="63" t="s">
        <v>783</v>
      </c>
      <c r="H664" s="63">
        <v>358</v>
      </c>
      <c r="I664" s="65" t="s">
        <v>221</v>
      </c>
      <c r="J664" s="63">
        <v>5012</v>
      </c>
      <c r="K664" s="64">
        <v>6638.9</v>
      </c>
      <c r="L664" s="63" t="s">
        <v>1047</v>
      </c>
      <c r="M664" s="65" t="str">
        <f t="shared" si="10"/>
        <v>MINERADORA PORTO FRANCO - MAVF CONSTRUTORA KM114BGS</v>
      </c>
      <c r="N664" s="85" t="s">
        <v>1065</v>
      </c>
    </row>
    <row r="665" spans="2:14" x14ac:dyDescent="0.25">
      <c r="B665" s="91">
        <v>46078</v>
      </c>
      <c r="C665" s="63">
        <v>2</v>
      </c>
      <c r="D665" s="63" t="s">
        <v>294</v>
      </c>
      <c r="E665" s="65" t="s">
        <v>295</v>
      </c>
      <c r="F665" s="63" t="s">
        <v>291</v>
      </c>
      <c r="G665" s="63" t="s">
        <v>783</v>
      </c>
      <c r="H665" s="63">
        <v>358</v>
      </c>
      <c r="I665" s="65" t="s">
        <v>221</v>
      </c>
      <c r="J665" s="63">
        <v>3204</v>
      </c>
      <c r="K665" s="64">
        <v>4244.0200000000004</v>
      </c>
      <c r="L665" s="63" t="s">
        <v>1048</v>
      </c>
      <c r="M665" s="65" t="str">
        <f t="shared" si="10"/>
        <v>MINERADORA PORTO FRANCO - MAVF CONSTRUTORA KM114BGS</v>
      </c>
      <c r="N665" s="85" t="s">
        <v>1065</v>
      </c>
    </row>
    <row r="666" spans="2:14" x14ac:dyDescent="0.25">
      <c r="B666" s="91">
        <v>46078</v>
      </c>
      <c r="C666" s="63">
        <v>2</v>
      </c>
      <c r="D666" s="63" t="s">
        <v>310</v>
      </c>
      <c r="E666" s="65" t="s">
        <v>311</v>
      </c>
      <c r="F666" s="63" t="s">
        <v>291</v>
      </c>
      <c r="G666" s="63" t="s">
        <v>783</v>
      </c>
      <c r="H666" s="63">
        <v>358</v>
      </c>
      <c r="I666" s="65" t="s">
        <v>221</v>
      </c>
      <c r="J666" s="63">
        <v>3236</v>
      </c>
      <c r="K666" s="64">
        <v>4286.41</v>
      </c>
      <c r="L666" s="63" t="s">
        <v>1049</v>
      </c>
      <c r="M666" s="65" t="str">
        <f t="shared" si="10"/>
        <v>MINERADORA PORTO FRANCO - MAVF CONSTRUTORA KM114BGS</v>
      </c>
      <c r="N666" s="85" t="s">
        <v>1065</v>
      </c>
    </row>
    <row r="667" spans="2:14" x14ac:dyDescent="0.25">
      <c r="B667" s="91">
        <v>46078</v>
      </c>
      <c r="C667" s="63">
        <v>2</v>
      </c>
      <c r="D667" s="63" t="s">
        <v>302</v>
      </c>
      <c r="E667" s="65" t="s">
        <v>303</v>
      </c>
      <c r="F667" s="63" t="s">
        <v>997</v>
      </c>
      <c r="G667" s="63" t="s">
        <v>1001</v>
      </c>
      <c r="H667" s="63">
        <v>255</v>
      </c>
      <c r="I667" s="65" t="s">
        <v>175</v>
      </c>
      <c r="J667" s="63">
        <v>529</v>
      </c>
      <c r="K667" s="64">
        <v>4991.12</v>
      </c>
      <c r="L667" s="63" t="s">
        <v>1050</v>
      </c>
      <c r="M667" s="65" t="str">
        <f t="shared" si="10"/>
        <v>TAIPAS - TONOVO JARDIM - TOBRITA 0</v>
      </c>
      <c r="N667" s="85" t="s">
        <v>83</v>
      </c>
    </row>
    <row r="668" spans="2:14" x14ac:dyDescent="0.25">
      <c r="B668" s="67">
        <v>46078</v>
      </c>
      <c r="C668" s="63">
        <v>1</v>
      </c>
      <c r="D668" s="63" t="s">
        <v>270</v>
      </c>
      <c r="E668" s="68" t="s">
        <v>1077</v>
      </c>
      <c r="F668" s="63" t="s">
        <v>1069</v>
      </c>
      <c r="G668" s="63" t="s">
        <v>1070</v>
      </c>
      <c r="H668" s="63">
        <v>52</v>
      </c>
      <c r="I668" s="68" t="s">
        <v>165</v>
      </c>
      <c r="J668" s="63">
        <v>43.38</v>
      </c>
      <c r="K668" s="64">
        <v>834.63120000000004</v>
      </c>
      <c r="L668" s="63" t="s">
        <v>1111</v>
      </c>
      <c r="M668" s="65" t="str">
        <f t="shared" si="10"/>
        <v>BRASIL MINERAÇÃOUA-11 DistritoPÓ DE BRITA</v>
      </c>
      <c r="N668" s="78" t="s">
        <v>1063</v>
      </c>
    </row>
    <row r="669" spans="2:14" x14ac:dyDescent="0.25">
      <c r="B669" s="67">
        <v>46078</v>
      </c>
      <c r="C669" s="63">
        <v>1</v>
      </c>
      <c r="D669" s="63" t="s">
        <v>270</v>
      </c>
      <c r="E669" s="68" t="s">
        <v>1077</v>
      </c>
      <c r="F669" s="63" t="s">
        <v>1069</v>
      </c>
      <c r="G669" s="63" t="s">
        <v>1070</v>
      </c>
      <c r="H669" s="63">
        <v>52</v>
      </c>
      <c r="I669" s="68" t="s">
        <v>165</v>
      </c>
      <c r="J669" s="63">
        <v>44.1</v>
      </c>
      <c r="K669" s="64">
        <v>848.48399999999992</v>
      </c>
      <c r="L669" s="63" t="s">
        <v>1112</v>
      </c>
      <c r="M669" s="65" t="str">
        <f t="shared" si="10"/>
        <v>BRASIL MINERAÇÃOUA-11 DistritoPÓ DE BRITA</v>
      </c>
      <c r="N669" s="78" t="s">
        <v>1063</v>
      </c>
    </row>
    <row r="670" spans="2:14" x14ac:dyDescent="0.25">
      <c r="B670" s="67">
        <v>46078</v>
      </c>
      <c r="C670" s="63">
        <v>1</v>
      </c>
      <c r="D670" s="63" t="s">
        <v>196</v>
      </c>
      <c r="E670" s="68" t="s">
        <v>315</v>
      </c>
      <c r="F670" s="63" t="s">
        <v>1069</v>
      </c>
      <c r="G670" s="63" t="s">
        <v>1070</v>
      </c>
      <c r="H670" s="63">
        <v>52</v>
      </c>
      <c r="I670" s="68" t="s">
        <v>165</v>
      </c>
      <c r="J670" s="63">
        <v>48.74</v>
      </c>
      <c r="K670" s="64">
        <v>937.75759999999991</v>
      </c>
      <c r="L670" s="63" t="s">
        <v>1113</v>
      </c>
      <c r="M670" s="65" t="str">
        <f t="shared" si="10"/>
        <v>BRASIL MINERAÇÃOUA-11 DistritoPÓ DE BRITA</v>
      </c>
      <c r="N670" s="78" t="s">
        <v>1063</v>
      </c>
    </row>
    <row r="671" spans="2:14" x14ac:dyDescent="0.25">
      <c r="B671" s="67">
        <v>46078</v>
      </c>
      <c r="C671" s="63">
        <v>1</v>
      </c>
      <c r="D671" s="63" t="s">
        <v>202</v>
      </c>
      <c r="E671" s="68" t="s">
        <v>314</v>
      </c>
      <c r="F671" s="63" t="s">
        <v>1069</v>
      </c>
      <c r="G671" s="63" t="s">
        <v>1070</v>
      </c>
      <c r="H671" s="63">
        <v>52</v>
      </c>
      <c r="I671" s="68" t="s">
        <v>165</v>
      </c>
      <c r="J671" s="63">
        <v>69.8</v>
      </c>
      <c r="K671" s="64">
        <v>1342.9519999999998</v>
      </c>
      <c r="L671" s="63" t="s">
        <v>1114</v>
      </c>
      <c r="M671" s="65" t="str">
        <f t="shared" si="10"/>
        <v>BRASIL MINERAÇÃOUA-11 DistritoPÓ DE BRITA</v>
      </c>
      <c r="N671" s="78" t="s">
        <v>1063</v>
      </c>
    </row>
    <row r="672" spans="2:14" x14ac:dyDescent="0.25">
      <c r="B672" s="91">
        <v>46079</v>
      </c>
      <c r="C672" s="63">
        <v>1</v>
      </c>
      <c r="D672" s="63" t="s">
        <v>188</v>
      </c>
      <c r="E672" s="65" t="s">
        <v>189</v>
      </c>
      <c r="F672" s="63" t="s">
        <v>166</v>
      </c>
      <c r="G672" s="63" t="s">
        <v>164</v>
      </c>
      <c r="H672" s="63">
        <v>58</v>
      </c>
      <c r="I672" s="65" t="s">
        <v>175</v>
      </c>
      <c r="J672" s="63">
        <v>785</v>
      </c>
      <c r="K672" s="64">
        <v>1684.61</v>
      </c>
      <c r="L672" s="63" t="s">
        <v>921</v>
      </c>
      <c r="M672" s="65" t="str">
        <f t="shared" si="10"/>
        <v>GRANORTEUA SAO LUISBRITA 0</v>
      </c>
      <c r="N672" s="85" t="s">
        <v>1063</v>
      </c>
    </row>
    <row r="673" spans="2:14" x14ac:dyDescent="0.25">
      <c r="B673" s="91">
        <v>46079</v>
      </c>
      <c r="C673" s="63">
        <v>1</v>
      </c>
      <c r="D673" s="63" t="s">
        <v>176</v>
      </c>
      <c r="E673" s="65" t="s">
        <v>177</v>
      </c>
      <c r="F673" s="63" t="s">
        <v>166</v>
      </c>
      <c r="G673" s="63" t="s">
        <v>164</v>
      </c>
      <c r="H673" s="63">
        <v>58</v>
      </c>
      <c r="I673" s="65" t="s">
        <v>165</v>
      </c>
      <c r="J673" s="63">
        <v>4618</v>
      </c>
      <c r="K673" s="64">
        <v>991.02</v>
      </c>
      <c r="L673" s="63" t="s">
        <v>922</v>
      </c>
      <c r="M673" s="65" t="str">
        <f t="shared" si="10"/>
        <v>GRANORTEUA SAO LUISPÓ DE BRITA</v>
      </c>
      <c r="N673" s="85" t="s">
        <v>1063</v>
      </c>
    </row>
    <row r="674" spans="2:14" x14ac:dyDescent="0.25">
      <c r="B674" s="91">
        <v>46079</v>
      </c>
      <c r="C674" s="63">
        <v>1</v>
      </c>
      <c r="D674" s="63" t="s">
        <v>196</v>
      </c>
      <c r="E674" s="65" t="s">
        <v>197</v>
      </c>
      <c r="F674" s="63" t="s">
        <v>163</v>
      </c>
      <c r="G674" s="63" t="s">
        <v>164</v>
      </c>
      <c r="H674" s="63">
        <v>52</v>
      </c>
      <c r="I674" s="65" t="s">
        <v>195</v>
      </c>
      <c r="J674" s="63">
        <v>6883</v>
      </c>
      <c r="K674" s="64">
        <v>1324.29</v>
      </c>
      <c r="L674" s="63" t="s">
        <v>923</v>
      </c>
      <c r="M674" s="65" t="str">
        <f t="shared" si="10"/>
        <v>BRASIL MINERACAOUA SAO LUISBRITA 1</v>
      </c>
      <c r="N674" s="85" t="s">
        <v>1063</v>
      </c>
    </row>
    <row r="675" spans="2:14" x14ac:dyDescent="0.25">
      <c r="B675" s="91">
        <v>46079</v>
      </c>
      <c r="C675" s="63">
        <v>1</v>
      </c>
      <c r="D675" s="63" t="s">
        <v>162</v>
      </c>
      <c r="E675" s="65" t="s">
        <v>281</v>
      </c>
      <c r="F675" s="63" t="s">
        <v>166</v>
      </c>
      <c r="G675" s="63" t="s">
        <v>164</v>
      </c>
      <c r="H675" s="63">
        <v>58</v>
      </c>
      <c r="I675" s="65" t="s">
        <v>169</v>
      </c>
      <c r="J675" s="63">
        <v>2556</v>
      </c>
      <c r="K675" s="64">
        <v>548.52</v>
      </c>
      <c r="L675" s="63" t="s">
        <v>924</v>
      </c>
      <c r="M675" s="65" t="str">
        <f t="shared" si="10"/>
        <v>GRANORTEUA SAO LUISPULMÃOZINHO</v>
      </c>
      <c r="N675" s="85" t="s">
        <v>1063</v>
      </c>
    </row>
    <row r="676" spans="2:14" x14ac:dyDescent="0.25">
      <c r="B676" s="91">
        <v>46079</v>
      </c>
      <c r="C676" s="63">
        <v>1</v>
      </c>
      <c r="D676" s="63" t="s">
        <v>170</v>
      </c>
      <c r="E676" s="65" t="s">
        <v>171</v>
      </c>
      <c r="F676" s="63" t="s">
        <v>166</v>
      </c>
      <c r="G676" s="63" t="s">
        <v>111</v>
      </c>
      <c r="H676" s="63">
        <v>79</v>
      </c>
      <c r="I676" s="65" t="s">
        <v>169</v>
      </c>
      <c r="J676" s="63">
        <v>258</v>
      </c>
      <c r="K676" s="64">
        <v>754.13</v>
      </c>
      <c r="L676" s="63" t="s">
        <v>925</v>
      </c>
      <c r="M676" s="65" t="str">
        <f t="shared" si="10"/>
        <v>GRANORTEBEIRA RIOPULMÃOZINHO</v>
      </c>
      <c r="N676" s="85" t="s">
        <v>111</v>
      </c>
    </row>
    <row r="677" spans="2:14" x14ac:dyDescent="0.25">
      <c r="B677" s="91">
        <v>46079</v>
      </c>
      <c r="C677" s="63">
        <v>1</v>
      </c>
      <c r="D677" s="63" t="s">
        <v>188</v>
      </c>
      <c r="E677" s="65" t="s">
        <v>189</v>
      </c>
      <c r="F677" s="63" t="s">
        <v>166</v>
      </c>
      <c r="G677" s="63" t="s">
        <v>164</v>
      </c>
      <c r="H677" s="63">
        <v>58</v>
      </c>
      <c r="I677" s="65" t="s">
        <v>175</v>
      </c>
      <c r="J677" s="63">
        <v>476</v>
      </c>
      <c r="K677" s="64">
        <v>1021.5</v>
      </c>
      <c r="L677" s="63" t="s">
        <v>926</v>
      </c>
      <c r="M677" s="65" t="str">
        <f t="shared" si="10"/>
        <v>GRANORTEUA SAO LUISBRITA 0</v>
      </c>
      <c r="N677" s="85" t="s">
        <v>1063</v>
      </c>
    </row>
    <row r="678" spans="2:14" x14ac:dyDescent="0.25">
      <c r="B678" s="91">
        <v>46079</v>
      </c>
      <c r="C678" s="63">
        <v>1</v>
      </c>
      <c r="D678" s="63" t="s">
        <v>208</v>
      </c>
      <c r="E678" s="65" t="s">
        <v>209</v>
      </c>
      <c r="F678" s="63" t="s">
        <v>163</v>
      </c>
      <c r="G678" s="63" t="s">
        <v>164</v>
      </c>
      <c r="H678" s="63">
        <v>52</v>
      </c>
      <c r="I678" s="65" t="s">
        <v>195</v>
      </c>
      <c r="J678" s="63">
        <v>520</v>
      </c>
      <c r="K678" s="64">
        <v>1000.48</v>
      </c>
      <c r="L678" s="63" t="s">
        <v>927</v>
      </c>
      <c r="M678" s="65" t="str">
        <f t="shared" si="10"/>
        <v>BRASIL MINERACAOUA SAO LUISBRITA 1</v>
      </c>
      <c r="N678" s="85" t="s">
        <v>1063</v>
      </c>
    </row>
    <row r="679" spans="2:14" x14ac:dyDescent="0.25">
      <c r="B679" s="91">
        <v>46079</v>
      </c>
      <c r="C679" s="63">
        <v>1</v>
      </c>
      <c r="D679" s="63" t="s">
        <v>199</v>
      </c>
      <c r="E679" s="65" t="s">
        <v>180</v>
      </c>
      <c r="F679" s="63" t="s">
        <v>166</v>
      </c>
      <c r="G679" s="63" t="s">
        <v>111</v>
      </c>
      <c r="H679" s="63">
        <v>79</v>
      </c>
      <c r="I679" s="65" t="s">
        <v>169</v>
      </c>
      <c r="J679" s="63">
        <v>273</v>
      </c>
      <c r="K679" s="64">
        <v>797.98</v>
      </c>
      <c r="L679" s="63" t="s">
        <v>928</v>
      </c>
      <c r="M679" s="65" t="str">
        <f t="shared" si="10"/>
        <v>GRANORTEBEIRA RIOPULMÃOZINHO</v>
      </c>
      <c r="N679" s="85" t="s">
        <v>111</v>
      </c>
    </row>
    <row r="680" spans="2:14" x14ac:dyDescent="0.25">
      <c r="B680" s="91">
        <v>46079</v>
      </c>
      <c r="C680" s="63">
        <v>1</v>
      </c>
      <c r="D680" s="63" t="s">
        <v>203</v>
      </c>
      <c r="E680" s="65" t="s">
        <v>204</v>
      </c>
      <c r="F680" s="63" t="s">
        <v>166</v>
      </c>
      <c r="G680" s="63" t="s">
        <v>164</v>
      </c>
      <c r="H680" s="63">
        <v>58</v>
      </c>
      <c r="I680" s="65" t="s">
        <v>165</v>
      </c>
      <c r="J680" s="63">
        <v>473</v>
      </c>
      <c r="K680" s="64">
        <v>1015.06</v>
      </c>
      <c r="L680" s="63" t="s">
        <v>929</v>
      </c>
      <c r="M680" s="65" t="str">
        <f t="shared" si="10"/>
        <v>GRANORTEUA SAO LUISPÓ DE BRITA</v>
      </c>
      <c r="N680" s="85" t="s">
        <v>1063</v>
      </c>
    </row>
    <row r="681" spans="2:14" x14ac:dyDescent="0.25">
      <c r="B681" s="91">
        <v>46079</v>
      </c>
      <c r="C681" s="63">
        <v>1</v>
      </c>
      <c r="D681" s="63" t="s">
        <v>210</v>
      </c>
      <c r="E681" s="65" t="s">
        <v>211</v>
      </c>
      <c r="F681" s="63" t="s">
        <v>166</v>
      </c>
      <c r="G681" s="63" t="s">
        <v>164</v>
      </c>
      <c r="H681" s="63">
        <v>58</v>
      </c>
      <c r="I681" s="65" t="s">
        <v>195</v>
      </c>
      <c r="J681" s="63">
        <v>4784</v>
      </c>
      <c r="K681" s="64">
        <v>1026.6500000000001</v>
      </c>
      <c r="L681" s="63" t="s">
        <v>930</v>
      </c>
      <c r="M681" s="65" t="str">
        <f t="shared" si="10"/>
        <v>GRANORTEUA SAO LUISBRITA 1</v>
      </c>
      <c r="N681" s="85" t="s">
        <v>1063</v>
      </c>
    </row>
    <row r="682" spans="2:14" x14ac:dyDescent="0.25">
      <c r="B682" s="91">
        <v>46079</v>
      </c>
      <c r="C682" s="63">
        <v>1</v>
      </c>
      <c r="D682" s="63" t="s">
        <v>176</v>
      </c>
      <c r="E682" s="65" t="s">
        <v>177</v>
      </c>
      <c r="F682" s="63" t="s">
        <v>166</v>
      </c>
      <c r="G682" s="63" t="s">
        <v>164</v>
      </c>
      <c r="H682" s="63">
        <v>58</v>
      </c>
      <c r="I682" s="65" t="s">
        <v>165</v>
      </c>
      <c r="J682" s="63">
        <v>4623</v>
      </c>
      <c r="K682" s="64">
        <v>992.1</v>
      </c>
      <c r="L682" s="63" t="s">
        <v>931</v>
      </c>
      <c r="M682" s="65" t="str">
        <f t="shared" si="10"/>
        <v>GRANORTEUA SAO LUISPÓ DE BRITA</v>
      </c>
      <c r="N682" s="85" t="s">
        <v>1063</v>
      </c>
    </row>
    <row r="683" spans="2:14" x14ac:dyDescent="0.25">
      <c r="B683" s="91">
        <v>46079</v>
      </c>
      <c r="C683" s="63">
        <v>1</v>
      </c>
      <c r="D683" s="63" t="s">
        <v>196</v>
      </c>
      <c r="E683" s="65" t="s">
        <v>197</v>
      </c>
      <c r="F683" s="63" t="s">
        <v>163</v>
      </c>
      <c r="G683" s="63" t="s">
        <v>164</v>
      </c>
      <c r="H683" s="63">
        <v>52</v>
      </c>
      <c r="I683" s="65" t="s">
        <v>165</v>
      </c>
      <c r="J683" s="63">
        <v>4912</v>
      </c>
      <c r="K683" s="64">
        <v>945.07</v>
      </c>
      <c r="L683" s="63" t="s">
        <v>932</v>
      </c>
      <c r="M683" s="65" t="str">
        <f t="shared" si="10"/>
        <v>BRASIL MINERACAOUA SAO LUISPÓ DE BRITA</v>
      </c>
      <c r="N683" s="85" t="s">
        <v>1063</v>
      </c>
    </row>
    <row r="684" spans="2:14" x14ac:dyDescent="0.25">
      <c r="B684" s="91">
        <v>46079</v>
      </c>
      <c r="C684" s="63">
        <v>1</v>
      </c>
      <c r="D684" s="63" t="s">
        <v>186</v>
      </c>
      <c r="E684" s="65" t="s">
        <v>187</v>
      </c>
      <c r="F684" s="63" t="s">
        <v>166</v>
      </c>
      <c r="G684" s="63" t="s">
        <v>164</v>
      </c>
      <c r="H684" s="63">
        <v>58</v>
      </c>
      <c r="I684" s="65" t="s">
        <v>165</v>
      </c>
      <c r="J684" s="63">
        <v>5116</v>
      </c>
      <c r="K684" s="64">
        <v>1097.8900000000001</v>
      </c>
      <c r="L684" s="63" t="s">
        <v>933</v>
      </c>
      <c r="M684" s="65" t="str">
        <f t="shared" si="10"/>
        <v>GRANORTEUA SAO LUISPÓ DE BRITA</v>
      </c>
      <c r="N684" s="85" t="s">
        <v>1063</v>
      </c>
    </row>
    <row r="685" spans="2:14" x14ac:dyDescent="0.25">
      <c r="B685" s="91">
        <v>46079</v>
      </c>
      <c r="C685" s="63">
        <v>1</v>
      </c>
      <c r="D685" s="63" t="s">
        <v>210</v>
      </c>
      <c r="E685" s="65" t="s">
        <v>211</v>
      </c>
      <c r="F685" s="63" t="s">
        <v>163</v>
      </c>
      <c r="G685" s="63" t="s">
        <v>164</v>
      </c>
      <c r="H685" s="63">
        <v>52</v>
      </c>
      <c r="I685" s="65" t="s">
        <v>195</v>
      </c>
      <c r="J685" s="63">
        <v>451</v>
      </c>
      <c r="K685" s="64">
        <v>867.72</v>
      </c>
      <c r="L685" s="63" t="s">
        <v>934</v>
      </c>
      <c r="M685" s="65" t="str">
        <f t="shared" si="10"/>
        <v>BRASIL MINERACAOUA SAO LUISBRITA 1</v>
      </c>
      <c r="N685" s="85" t="s">
        <v>1063</v>
      </c>
    </row>
    <row r="686" spans="2:14" x14ac:dyDescent="0.25">
      <c r="B686" s="91">
        <v>46079</v>
      </c>
      <c r="C686" s="63">
        <v>1</v>
      </c>
      <c r="D686" s="63" t="s">
        <v>219</v>
      </c>
      <c r="E686" s="65" t="s">
        <v>220</v>
      </c>
      <c r="F686" s="63" t="s">
        <v>163</v>
      </c>
      <c r="G686" s="63" t="s">
        <v>164</v>
      </c>
      <c r="H686" s="63">
        <v>52</v>
      </c>
      <c r="I686" s="65" t="s">
        <v>175</v>
      </c>
      <c r="J686" s="63">
        <v>970</v>
      </c>
      <c r="K686" s="64">
        <v>1866.28</v>
      </c>
      <c r="L686" s="63" t="s">
        <v>935</v>
      </c>
      <c r="M686" s="65" t="str">
        <f t="shared" si="10"/>
        <v>BRASIL MINERACAOUA SAO LUISBRITA 0</v>
      </c>
      <c r="N686" s="85" t="s">
        <v>1063</v>
      </c>
    </row>
    <row r="687" spans="2:14" x14ac:dyDescent="0.25">
      <c r="B687" s="91">
        <v>46079</v>
      </c>
      <c r="C687" s="63">
        <v>1</v>
      </c>
      <c r="D687" s="63" t="s">
        <v>188</v>
      </c>
      <c r="E687" s="65" t="s">
        <v>189</v>
      </c>
      <c r="F687" s="63" t="s">
        <v>166</v>
      </c>
      <c r="G687" s="63" t="s">
        <v>164</v>
      </c>
      <c r="H687" s="63">
        <v>58</v>
      </c>
      <c r="I687" s="65" t="s">
        <v>175</v>
      </c>
      <c r="J687" s="63">
        <v>4986</v>
      </c>
      <c r="K687" s="64">
        <v>1070</v>
      </c>
      <c r="L687" s="63" t="s">
        <v>936</v>
      </c>
      <c r="M687" s="65" t="str">
        <f t="shared" si="10"/>
        <v>GRANORTEUA SAO LUISBRITA 0</v>
      </c>
      <c r="N687" s="85" t="s">
        <v>1063</v>
      </c>
    </row>
    <row r="688" spans="2:14" x14ac:dyDescent="0.25">
      <c r="B688" s="91">
        <v>46079</v>
      </c>
      <c r="C688" s="63">
        <v>1</v>
      </c>
      <c r="D688" s="63" t="s">
        <v>202</v>
      </c>
      <c r="E688" s="65" t="s">
        <v>214</v>
      </c>
      <c r="F688" s="63" t="s">
        <v>163</v>
      </c>
      <c r="G688" s="63" t="s">
        <v>164</v>
      </c>
      <c r="H688" s="63">
        <v>52</v>
      </c>
      <c r="I688" s="65" t="s">
        <v>195</v>
      </c>
      <c r="J688" s="63">
        <v>697</v>
      </c>
      <c r="K688" s="64">
        <v>1341.03</v>
      </c>
      <c r="L688" s="63" t="s">
        <v>937</v>
      </c>
      <c r="M688" s="65" t="str">
        <f t="shared" si="10"/>
        <v>BRASIL MINERACAOUA SAO LUISBRITA 1</v>
      </c>
      <c r="N688" s="85" t="s">
        <v>1063</v>
      </c>
    </row>
    <row r="689" spans="2:14" x14ac:dyDescent="0.25">
      <c r="B689" s="91">
        <v>46079</v>
      </c>
      <c r="C689" s="63">
        <v>1</v>
      </c>
      <c r="D689" s="63" t="s">
        <v>202</v>
      </c>
      <c r="E689" s="65" t="s">
        <v>214</v>
      </c>
      <c r="F689" s="63" t="s">
        <v>163</v>
      </c>
      <c r="G689" s="63" t="s">
        <v>164</v>
      </c>
      <c r="H689" s="63">
        <v>52</v>
      </c>
      <c r="I689" s="65" t="s">
        <v>165</v>
      </c>
      <c r="J689" s="63">
        <v>4966</v>
      </c>
      <c r="K689" s="64">
        <v>955.46</v>
      </c>
      <c r="L689" s="63" t="s">
        <v>938</v>
      </c>
      <c r="M689" s="65" t="str">
        <f t="shared" si="10"/>
        <v>BRASIL MINERACAOUA SAO LUISPÓ DE BRITA</v>
      </c>
      <c r="N689" s="85" t="s">
        <v>1063</v>
      </c>
    </row>
    <row r="690" spans="2:14" x14ac:dyDescent="0.25">
      <c r="B690" s="91">
        <v>46079</v>
      </c>
      <c r="C690" s="63">
        <v>1</v>
      </c>
      <c r="D690" s="63" t="s">
        <v>199</v>
      </c>
      <c r="E690" s="65" t="s">
        <v>180</v>
      </c>
      <c r="F690" s="63" t="s">
        <v>166</v>
      </c>
      <c r="G690" s="63" t="s">
        <v>111</v>
      </c>
      <c r="H690" s="63">
        <v>79</v>
      </c>
      <c r="I690" s="65" t="s">
        <v>169</v>
      </c>
      <c r="J690" s="63">
        <v>2668</v>
      </c>
      <c r="K690" s="64">
        <v>779.86</v>
      </c>
      <c r="L690" s="63" t="s">
        <v>939</v>
      </c>
      <c r="M690" s="65" t="str">
        <f t="shared" si="10"/>
        <v>GRANORTEBEIRA RIOPULMÃOZINHO</v>
      </c>
      <c r="N690" s="85" t="s">
        <v>111</v>
      </c>
    </row>
    <row r="691" spans="2:14" x14ac:dyDescent="0.25">
      <c r="B691" s="91">
        <v>46079</v>
      </c>
      <c r="C691" s="63">
        <v>1</v>
      </c>
      <c r="D691" s="63" t="s">
        <v>181</v>
      </c>
      <c r="E691" s="65" t="s">
        <v>182</v>
      </c>
      <c r="F691" s="63" t="s">
        <v>166</v>
      </c>
      <c r="G691" s="63" t="s">
        <v>824</v>
      </c>
      <c r="H691" s="63">
        <v>78</v>
      </c>
      <c r="I691" s="65" t="s">
        <v>169</v>
      </c>
      <c r="J691" s="63">
        <v>2524</v>
      </c>
      <c r="K691" s="64">
        <v>728.43</v>
      </c>
      <c r="L691" s="63" t="s">
        <v>882</v>
      </c>
      <c r="M691" s="65" t="str">
        <f t="shared" si="10"/>
        <v>GRANORTECRUZAMENTO MA 201/202 (METROPOLITANA)PULMÃOZINHO</v>
      </c>
      <c r="N691" s="85" t="s">
        <v>11</v>
      </c>
    </row>
    <row r="692" spans="2:14" x14ac:dyDescent="0.25">
      <c r="B692" s="91">
        <v>46079</v>
      </c>
      <c r="C692" s="63">
        <v>1</v>
      </c>
      <c r="D692" s="63" t="s">
        <v>181</v>
      </c>
      <c r="E692" s="65" t="s">
        <v>182</v>
      </c>
      <c r="F692" s="63" t="s">
        <v>166</v>
      </c>
      <c r="G692" s="63" t="s">
        <v>164</v>
      </c>
      <c r="H692" s="63">
        <v>58</v>
      </c>
      <c r="I692" s="65" t="s">
        <v>165</v>
      </c>
      <c r="J692" s="63">
        <v>2702</v>
      </c>
      <c r="K692" s="64">
        <v>579.85</v>
      </c>
      <c r="L692" s="63" t="s">
        <v>940</v>
      </c>
      <c r="M692" s="65" t="str">
        <f t="shared" si="10"/>
        <v>GRANORTEUA SAO LUISPÓ DE BRITA</v>
      </c>
      <c r="N692" s="85" t="s">
        <v>1063</v>
      </c>
    </row>
    <row r="693" spans="2:14" x14ac:dyDescent="0.25">
      <c r="B693" s="91">
        <v>46079</v>
      </c>
      <c r="C693" s="63">
        <v>1</v>
      </c>
      <c r="D693" s="63" t="s">
        <v>181</v>
      </c>
      <c r="E693" s="65" t="s">
        <v>182</v>
      </c>
      <c r="F693" s="63" t="s">
        <v>166</v>
      </c>
      <c r="G693" s="63" t="s">
        <v>824</v>
      </c>
      <c r="H693" s="63">
        <v>78</v>
      </c>
      <c r="I693" s="65" t="s">
        <v>292</v>
      </c>
      <c r="J693" s="63">
        <v>2574</v>
      </c>
      <c r="K693" s="64">
        <v>742.86</v>
      </c>
      <c r="L693" s="63" t="s">
        <v>941</v>
      </c>
      <c r="M693" s="65" t="str">
        <f t="shared" si="10"/>
        <v>GRANORTECRUZAMENTO MA 201/202 (METROPOLITANA)PEDRA PULMÃO</v>
      </c>
      <c r="N693" s="85" t="s">
        <v>11</v>
      </c>
    </row>
    <row r="694" spans="2:14" x14ac:dyDescent="0.25">
      <c r="B694" s="91">
        <v>46079</v>
      </c>
      <c r="C694" s="63">
        <v>1</v>
      </c>
      <c r="D694" s="63" t="s">
        <v>203</v>
      </c>
      <c r="E694" s="65" t="s">
        <v>204</v>
      </c>
      <c r="F694" s="63" t="s">
        <v>166</v>
      </c>
      <c r="G694" s="63" t="s">
        <v>164</v>
      </c>
      <c r="H694" s="63">
        <v>58</v>
      </c>
      <c r="I694" s="65" t="s">
        <v>165</v>
      </c>
      <c r="J694" s="63">
        <v>4538</v>
      </c>
      <c r="K694" s="64">
        <v>973.85</v>
      </c>
      <c r="L694" s="63" t="s">
        <v>942</v>
      </c>
      <c r="M694" s="65" t="str">
        <f t="shared" si="10"/>
        <v>GRANORTEUA SAO LUISPÓ DE BRITA</v>
      </c>
      <c r="N694" s="85" t="s">
        <v>1063</v>
      </c>
    </row>
    <row r="695" spans="2:14" x14ac:dyDescent="0.25">
      <c r="B695" s="91">
        <v>46079</v>
      </c>
      <c r="C695" s="63">
        <v>1</v>
      </c>
      <c r="D695" s="63" t="s">
        <v>162</v>
      </c>
      <c r="E695" s="65" t="s">
        <v>281</v>
      </c>
      <c r="F695" s="63" t="s">
        <v>163</v>
      </c>
      <c r="G695" s="63" t="s">
        <v>164</v>
      </c>
      <c r="H695" s="63">
        <v>52</v>
      </c>
      <c r="I695" s="65" t="s">
        <v>165</v>
      </c>
      <c r="J695" s="63">
        <v>248</v>
      </c>
      <c r="K695" s="64">
        <v>477.15</v>
      </c>
      <c r="L695" s="63" t="s">
        <v>943</v>
      </c>
      <c r="M695" s="65" t="str">
        <f t="shared" si="10"/>
        <v>BRASIL MINERACAOUA SAO LUISPÓ DE BRITA</v>
      </c>
      <c r="N695" s="85" t="s">
        <v>1063</v>
      </c>
    </row>
    <row r="696" spans="2:14" x14ac:dyDescent="0.25">
      <c r="B696" s="91">
        <v>46079</v>
      </c>
      <c r="C696" s="63">
        <v>1</v>
      </c>
      <c r="D696" s="63" t="s">
        <v>192</v>
      </c>
      <c r="E696" s="65" t="s">
        <v>287</v>
      </c>
      <c r="F696" s="63" t="s">
        <v>163</v>
      </c>
      <c r="G696" s="63" t="s">
        <v>164</v>
      </c>
      <c r="H696" s="63">
        <v>52</v>
      </c>
      <c r="I696" s="65" t="s">
        <v>195</v>
      </c>
      <c r="J696" s="63">
        <v>4712</v>
      </c>
      <c r="K696" s="64">
        <v>906.59</v>
      </c>
      <c r="L696" s="63" t="s">
        <v>944</v>
      </c>
      <c r="M696" s="65" t="str">
        <f t="shared" si="10"/>
        <v>BRASIL MINERACAOUA SAO LUISBRITA 1</v>
      </c>
      <c r="N696" s="85" t="s">
        <v>1063</v>
      </c>
    </row>
    <row r="697" spans="2:14" x14ac:dyDescent="0.25">
      <c r="B697" s="91">
        <v>46079</v>
      </c>
      <c r="C697" s="63">
        <v>1</v>
      </c>
      <c r="D697" s="63" t="s">
        <v>192</v>
      </c>
      <c r="E697" s="65" t="s">
        <v>287</v>
      </c>
      <c r="F697" s="63" t="s">
        <v>163</v>
      </c>
      <c r="G697" s="63" t="s">
        <v>164</v>
      </c>
      <c r="H697" s="63">
        <v>52</v>
      </c>
      <c r="I697" s="65" t="s">
        <v>165</v>
      </c>
      <c r="J697" s="63">
        <v>4646</v>
      </c>
      <c r="K697" s="64">
        <v>893.89</v>
      </c>
      <c r="L697" s="63" t="s">
        <v>945</v>
      </c>
      <c r="M697" s="65" t="str">
        <f t="shared" si="10"/>
        <v>BRASIL MINERACAOUA SAO LUISPÓ DE BRITA</v>
      </c>
      <c r="N697" s="85" t="s">
        <v>1063</v>
      </c>
    </row>
    <row r="698" spans="2:14" x14ac:dyDescent="0.25">
      <c r="B698" s="91">
        <v>46079</v>
      </c>
      <c r="C698" s="63">
        <v>1</v>
      </c>
      <c r="D698" s="63" t="s">
        <v>202</v>
      </c>
      <c r="E698" s="65" t="s">
        <v>214</v>
      </c>
      <c r="F698" s="63" t="s">
        <v>163</v>
      </c>
      <c r="G698" s="63" t="s">
        <v>164</v>
      </c>
      <c r="H698" s="63">
        <v>52</v>
      </c>
      <c r="I698" s="65" t="s">
        <v>165</v>
      </c>
      <c r="J698" s="63">
        <v>4964</v>
      </c>
      <c r="K698" s="64">
        <v>955.07</v>
      </c>
      <c r="L698" s="63" t="s">
        <v>946</v>
      </c>
      <c r="M698" s="65" t="str">
        <f t="shared" si="10"/>
        <v>BRASIL MINERACAOUA SAO LUISPÓ DE BRITA</v>
      </c>
      <c r="N698" s="85" t="s">
        <v>1063</v>
      </c>
    </row>
    <row r="699" spans="2:14" x14ac:dyDescent="0.25">
      <c r="B699" s="91">
        <v>46079</v>
      </c>
      <c r="C699" s="63">
        <v>1</v>
      </c>
      <c r="D699" s="63" t="s">
        <v>188</v>
      </c>
      <c r="E699" s="65" t="s">
        <v>189</v>
      </c>
      <c r="F699" s="63" t="s">
        <v>166</v>
      </c>
      <c r="G699" s="63" t="s">
        <v>164</v>
      </c>
      <c r="H699" s="63">
        <v>58</v>
      </c>
      <c r="I699" s="65" t="s">
        <v>175</v>
      </c>
      <c r="J699" s="63">
        <v>4974</v>
      </c>
      <c r="K699" s="64">
        <v>1067.42</v>
      </c>
      <c r="L699" s="63" t="s">
        <v>947</v>
      </c>
      <c r="M699" s="65" t="str">
        <f t="shared" si="10"/>
        <v>GRANORTEUA SAO LUISBRITA 0</v>
      </c>
      <c r="N699" s="85" t="s">
        <v>1063</v>
      </c>
    </row>
    <row r="700" spans="2:14" x14ac:dyDescent="0.25">
      <c r="B700" s="91">
        <v>46079</v>
      </c>
      <c r="C700" s="63">
        <v>1</v>
      </c>
      <c r="D700" s="63" t="s">
        <v>199</v>
      </c>
      <c r="E700" s="65" t="s">
        <v>180</v>
      </c>
      <c r="F700" s="63" t="s">
        <v>166</v>
      </c>
      <c r="G700" s="63" t="s">
        <v>111</v>
      </c>
      <c r="H700" s="63">
        <v>79</v>
      </c>
      <c r="I700" s="65" t="s">
        <v>169</v>
      </c>
      <c r="J700" s="63">
        <v>2652</v>
      </c>
      <c r="K700" s="64">
        <v>775.18</v>
      </c>
      <c r="L700" s="63" t="s">
        <v>948</v>
      </c>
      <c r="M700" s="65" t="str">
        <f t="shared" si="10"/>
        <v>GRANORTEBEIRA RIOPULMÃOZINHO</v>
      </c>
      <c r="N700" s="85" t="s">
        <v>111</v>
      </c>
    </row>
    <row r="701" spans="2:14" x14ac:dyDescent="0.25">
      <c r="B701" s="91">
        <v>46079</v>
      </c>
      <c r="C701" s="63">
        <v>1</v>
      </c>
      <c r="D701" s="63" t="s">
        <v>210</v>
      </c>
      <c r="E701" s="65" t="s">
        <v>211</v>
      </c>
      <c r="F701" s="63" t="s">
        <v>163</v>
      </c>
      <c r="G701" s="63" t="s">
        <v>164</v>
      </c>
      <c r="H701" s="63">
        <v>52</v>
      </c>
      <c r="I701" s="65" t="s">
        <v>165</v>
      </c>
      <c r="J701" s="63">
        <v>473</v>
      </c>
      <c r="K701" s="64">
        <v>910.05</v>
      </c>
      <c r="L701" s="63" t="s">
        <v>949</v>
      </c>
      <c r="M701" s="65" t="str">
        <f t="shared" si="10"/>
        <v>BRASIL MINERACAOUA SAO LUISPÓ DE BRITA</v>
      </c>
      <c r="N701" s="85" t="s">
        <v>1063</v>
      </c>
    </row>
    <row r="702" spans="2:14" x14ac:dyDescent="0.25">
      <c r="B702" s="91">
        <v>46079</v>
      </c>
      <c r="C702" s="63">
        <v>1</v>
      </c>
      <c r="D702" s="63" t="s">
        <v>196</v>
      </c>
      <c r="E702" s="65" t="s">
        <v>197</v>
      </c>
      <c r="F702" s="63" t="s">
        <v>163</v>
      </c>
      <c r="G702" s="63" t="s">
        <v>164</v>
      </c>
      <c r="H702" s="63">
        <v>52</v>
      </c>
      <c r="I702" s="65" t="s">
        <v>165</v>
      </c>
      <c r="J702" s="63">
        <v>4774</v>
      </c>
      <c r="K702" s="64">
        <v>918.52</v>
      </c>
      <c r="L702" s="63" t="s">
        <v>950</v>
      </c>
      <c r="M702" s="65" t="str">
        <f t="shared" si="10"/>
        <v>BRASIL MINERACAOUA SAO LUISPÓ DE BRITA</v>
      </c>
      <c r="N702" s="85" t="s">
        <v>1063</v>
      </c>
    </row>
    <row r="703" spans="2:14" x14ac:dyDescent="0.25">
      <c r="B703" s="91">
        <v>46079</v>
      </c>
      <c r="C703" s="63">
        <v>1</v>
      </c>
      <c r="D703" s="63" t="s">
        <v>283</v>
      </c>
      <c r="E703" s="65" t="s">
        <v>215</v>
      </c>
      <c r="F703" s="63" t="s">
        <v>910</v>
      </c>
      <c r="G703" s="63" t="s">
        <v>911</v>
      </c>
      <c r="H703" s="63">
        <v>104</v>
      </c>
      <c r="I703" s="65" t="s">
        <v>912</v>
      </c>
      <c r="J703" s="63">
        <v>380</v>
      </c>
      <c r="K703" s="64">
        <v>1264.6400000000001</v>
      </c>
      <c r="L703" s="63" t="s">
        <v>951</v>
      </c>
      <c r="M703" s="65" t="str">
        <f t="shared" si="10"/>
        <v>CANTEIRO ARACAGYFRIGORIFICO HC AXIXAFRESA DE ASFALTO</v>
      </c>
      <c r="N703" s="85" t="s">
        <v>1063</v>
      </c>
    </row>
    <row r="704" spans="2:14" x14ac:dyDescent="0.25">
      <c r="B704" s="91">
        <v>46079</v>
      </c>
      <c r="C704" s="63">
        <v>1</v>
      </c>
      <c r="D704" s="63" t="s">
        <v>283</v>
      </c>
      <c r="E704" s="65" t="s">
        <v>215</v>
      </c>
      <c r="F704" s="63" t="s">
        <v>166</v>
      </c>
      <c r="G704" s="63" t="s">
        <v>111</v>
      </c>
      <c r="H704" s="63">
        <v>79</v>
      </c>
      <c r="I704" s="65" t="s">
        <v>169</v>
      </c>
      <c r="J704" s="63">
        <v>2702</v>
      </c>
      <c r="K704" s="64">
        <v>789.79</v>
      </c>
      <c r="L704" s="63" t="s">
        <v>952</v>
      </c>
      <c r="M704" s="65" t="str">
        <f t="shared" si="10"/>
        <v>GRANORTEBEIRA RIOPULMÃOZINHO</v>
      </c>
      <c r="N704" s="85" t="s">
        <v>111</v>
      </c>
    </row>
    <row r="705" spans="2:14" x14ac:dyDescent="0.25">
      <c r="B705" s="91">
        <v>46079</v>
      </c>
      <c r="C705" s="63">
        <v>1</v>
      </c>
      <c r="D705" s="63" t="s">
        <v>183</v>
      </c>
      <c r="E705" s="65" t="s">
        <v>506</v>
      </c>
      <c r="F705" s="63" t="s">
        <v>166</v>
      </c>
      <c r="G705" s="63" t="s">
        <v>111</v>
      </c>
      <c r="H705" s="63">
        <v>79</v>
      </c>
      <c r="I705" s="65" t="s">
        <v>169</v>
      </c>
      <c r="J705" s="63">
        <v>2702</v>
      </c>
      <c r="K705" s="64">
        <v>789.79</v>
      </c>
      <c r="L705" s="63" t="s">
        <v>953</v>
      </c>
      <c r="M705" s="65" t="str">
        <f t="shared" si="10"/>
        <v>GRANORTEBEIRA RIOPULMÃOZINHO</v>
      </c>
      <c r="N705" s="85" t="s">
        <v>111</v>
      </c>
    </row>
    <row r="706" spans="2:14" x14ac:dyDescent="0.25">
      <c r="B706" s="91">
        <v>46079</v>
      </c>
      <c r="C706" s="63">
        <v>1</v>
      </c>
      <c r="D706" s="63" t="s">
        <v>183</v>
      </c>
      <c r="E706" s="65" t="s">
        <v>506</v>
      </c>
      <c r="F706" s="63" t="s">
        <v>910</v>
      </c>
      <c r="G706" s="63" t="s">
        <v>911</v>
      </c>
      <c r="H706" s="63">
        <v>104</v>
      </c>
      <c r="I706" s="65" t="s">
        <v>912</v>
      </c>
      <c r="J706" s="63">
        <v>250</v>
      </c>
      <c r="K706" s="64">
        <v>832</v>
      </c>
      <c r="L706" s="63" t="s">
        <v>954</v>
      </c>
      <c r="M706" s="65" t="str">
        <f t="shared" si="10"/>
        <v>CANTEIRO ARACAGYFRIGORIFICO HC AXIXAFRESA DE ASFALTO</v>
      </c>
      <c r="N706" s="85" t="s">
        <v>1063</v>
      </c>
    </row>
    <row r="707" spans="2:14" x14ac:dyDescent="0.25">
      <c r="B707" s="91">
        <v>46079</v>
      </c>
      <c r="C707" s="63">
        <v>1</v>
      </c>
      <c r="D707" s="63" t="s">
        <v>192</v>
      </c>
      <c r="E707" s="65" t="s">
        <v>287</v>
      </c>
      <c r="F707" s="63" t="s">
        <v>163</v>
      </c>
      <c r="G707" s="63" t="s">
        <v>164</v>
      </c>
      <c r="H707" s="63">
        <v>52</v>
      </c>
      <c r="I707" s="65" t="s">
        <v>165</v>
      </c>
      <c r="J707" s="63">
        <v>468</v>
      </c>
      <c r="K707" s="64">
        <v>900.43</v>
      </c>
      <c r="L707" s="63" t="s">
        <v>955</v>
      </c>
      <c r="M707" s="65" t="str">
        <f t="shared" si="10"/>
        <v>BRASIL MINERACAOUA SAO LUISPÓ DE BRITA</v>
      </c>
      <c r="N707" s="85" t="s">
        <v>1063</v>
      </c>
    </row>
    <row r="708" spans="2:14" x14ac:dyDescent="0.25">
      <c r="B708" s="91">
        <v>46079</v>
      </c>
      <c r="C708" s="63">
        <v>2</v>
      </c>
      <c r="D708" s="63" t="s">
        <v>296</v>
      </c>
      <c r="E708" s="65" t="s">
        <v>297</v>
      </c>
      <c r="F708" s="63" t="s">
        <v>276</v>
      </c>
      <c r="G708" s="63" t="s">
        <v>919</v>
      </c>
      <c r="H708" s="63">
        <v>358</v>
      </c>
      <c r="I708" s="65" t="s">
        <v>221</v>
      </c>
      <c r="J708" s="63">
        <v>4022</v>
      </c>
      <c r="K708" s="64">
        <v>4607.6000000000004</v>
      </c>
      <c r="L708" s="63" t="s">
        <v>1051</v>
      </c>
      <c r="M708" s="65" t="str">
        <f t="shared" si="10"/>
        <v>MINERADORA PORTO FRANCOVALE NOVA VIDA KM356BGS</v>
      </c>
      <c r="N708" s="85" t="s">
        <v>1065</v>
      </c>
    </row>
    <row r="709" spans="2:14" x14ac:dyDescent="0.25">
      <c r="B709" s="91">
        <v>46079</v>
      </c>
      <c r="C709" s="63">
        <v>2</v>
      </c>
      <c r="D709" s="63" t="s">
        <v>294</v>
      </c>
      <c r="E709" s="65" t="s">
        <v>295</v>
      </c>
      <c r="F709" s="63" t="s">
        <v>276</v>
      </c>
      <c r="G709" s="63" t="s">
        <v>277</v>
      </c>
      <c r="H709" s="63">
        <v>118</v>
      </c>
      <c r="I709" s="65" t="s">
        <v>165</v>
      </c>
      <c r="J709" s="63">
        <v>2074</v>
      </c>
      <c r="K709" s="64">
        <v>783.14</v>
      </c>
      <c r="L709" s="63" t="s">
        <v>1052</v>
      </c>
      <c r="M709" s="65" t="str">
        <f t="shared" ref="M709:M761" si="11">F709&amp;G709&amp;I709</f>
        <v>MINERADORA PORTO FRANCOCONCRENORTEPÓ DE BRITA</v>
      </c>
      <c r="N709" s="85" t="s">
        <v>1065</v>
      </c>
    </row>
    <row r="710" spans="2:14" x14ac:dyDescent="0.25">
      <c r="B710" s="91">
        <v>46079</v>
      </c>
      <c r="C710" s="63">
        <v>2</v>
      </c>
      <c r="D710" s="63" t="s">
        <v>305</v>
      </c>
      <c r="E710" s="65" t="s">
        <v>306</v>
      </c>
      <c r="F710" s="63" t="s">
        <v>276</v>
      </c>
      <c r="G710" s="63" t="s">
        <v>919</v>
      </c>
      <c r="H710" s="63">
        <v>358</v>
      </c>
      <c r="I710" s="65" t="s">
        <v>221</v>
      </c>
      <c r="J710" s="63">
        <v>6514</v>
      </c>
      <c r="K710" s="64">
        <v>7462.44</v>
      </c>
      <c r="L710" s="63" t="s">
        <v>1053</v>
      </c>
      <c r="M710" s="65" t="str">
        <f t="shared" si="11"/>
        <v>MINERADORA PORTO FRANCOVALE NOVA VIDA KM356BGS</v>
      </c>
      <c r="N710" s="85" t="s">
        <v>1065</v>
      </c>
    </row>
    <row r="711" spans="2:14" x14ac:dyDescent="0.25">
      <c r="B711" s="67">
        <v>46079</v>
      </c>
      <c r="C711" s="63">
        <v>1</v>
      </c>
      <c r="D711" s="63" t="s">
        <v>192</v>
      </c>
      <c r="E711" s="68" t="s">
        <v>1081</v>
      </c>
      <c r="F711" s="63" t="s">
        <v>1069</v>
      </c>
      <c r="G711" s="63" t="s">
        <v>1070</v>
      </c>
      <c r="H711" s="63">
        <v>52</v>
      </c>
      <c r="I711" s="68" t="s">
        <v>165</v>
      </c>
      <c r="J711" s="63">
        <v>46.8</v>
      </c>
      <c r="K711" s="64">
        <v>900.4319999999999</v>
      </c>
      <c r="L711" s="63" t="s">
        <v>1085</v>
      </c>
      <c r="M711" s="65" t="str">
        <f t="shared" si="11"/>
        <v>BRASIL MINERAÇÃOUA-11 DistritoPÓ DE BRITA</v>
      </c>
      <c r="N711" s="78" t="s">
        <v>1063</v>
      </c>
    </row>
    <row r="712" spans="2:14" x14ac:dyDescent="0.25">
      <c r="B712" s="67">
        <v>46079</v>
      </c>
      <c r="C712" s="63">
        <v>1</v>
      </c>
      <c r="D712" s="63" t="s">
        <v>342</v>
      </c>
      <c r="E712" s="68" t="s">
        <v>1073</v>
      </c>
      <c r="F712" s="63" t="s">
        <v>1069</v>
      </c>
      <c r="G712" s="63" t="s">
        <v>1070</v>
      </c>
      <c r="H712" s="63">
        <v>52</v>
      </c>
      <c r="I712" s="68" t="s">
        <v>165</v>
      </c>
      <c r="J712" s="63">
        <v>47.02</v>
      </c>
      <c r="K712" s="64">
        <v>904.66480000000001</v>
      </c>
      <c r="L712" s="63" t="s">
        <v>1086</v>
      </c>
      <c r="M712" s="65" t="str">
        <f t="shared" si="11"/>
        <v>BRASIL MINERAÇÃOUA-11 DistritoPÓ DE BRITA</v>
      </c>
      <c r="N712" s="78" t="s">
        <v>1063</v>
      </c>
    </row>
    <row r="713" spans="2:14" x14ac:dyDescent="0.25">
      <c r="B713" s="67">
        <v>46079</v>
      </c>
      <c r="C713" s="63">
        <v>1</v>
      </c>
      <c r="D713" s="63" t="s">
        <v>202</v>
      </c>
      <c r="E713" s="68" t="s">
        <v>314</v>
      </c>
      <c r="F713" s="63" t="s">
        <v>1069</v>
      </c>
      <c r="G713" s="63" t="s">
        <v>1070</v>
      </c>
      <c r="H713" s="63">
        <v>52</v>
      </c>
      <c r="I713" s="68" t="s">
        <v>165</v>
      </c>
      <c r="J713" s="63">
        <v>49.64</v>
      </c>
      <c r="K713" s="64">
        <v>955.07359999999994</v>
      </c>
      <c r="L713" s="63" t="s">
        <v>1087</v>
      </c>
      <c r="M713" s="65" t="str">
        <f t="shared" si="11"/>
        <v>BRASIL MINERAÇÃOUA-11 DistritoPÓ DE BRITA</v>
      </c>
      <c r="N713" s="78" t="s">
        <v>1063</v>
      </c>
    </row>
    <row r="714" spans="2:14" x14ac:dyDescent="0.25">
      <c r="B714" s="67">
        <v>46079</v>
      </c>
      <c r="C714" s="63">
        <v>1</v>
      </c>
      <c r="D714" s="63" t="s">
        <v>270</v>
      </c>
      <c r="E714" s="68" t="s">
        <v>1077</v>
      </c>
      <c r="F714" s="63" t="s">
        <v>1069</v>
      </c>
      <c r="G714" s="63" t="s">
        <v>1070</v>
      </c>
      <c r="H714" s="63">
        <v>52</v>
      </c>
      <c r="I714" s="68" t="s">
        <v>165</v>
      </c>
      <c r="J714" s="63">
        <v>45.1</v>
      </c>
      <c r="K714" s="64">
        <v>867.72399999999993</v>
      </c>
      <c r="L714" s="63" t="s">
        <v>1088</v>
      </c>
      <c r="M714" s="65" t="str">
        <f t="shared" si="11"/>
        <v>BRASIL MINERAÇÃOUA-11 DistritoPÓ DE BRITA</v>
      </c>
      <c r="N714" s="78" t="s">
        <v>1063</v>
      </c>
    </row>
    <row r="715" spans="2:14" x14ac:dyDescent="0.25">
      <c r="B715" s="67">
        <v>46079</v>
      </c>
      <c r="C715" s="63">
        <v>1</v>
      </c>
      <c r="D715" s="63" t="s">
        <v>192</v>
      </c>
      <c r="E715" s="68" t="s">
        <v>1081</v>
      </c>
      <c r="F715" s="63" t="s">
        <v>1069</v>
      </c>
      <c r="G715" s="63" t="s">
        <v>1070</v>
      </c>
      <c r="H715" s="63">
        <v>52</v>
      </c>
      <c r="I715" s="68" t="s">
        <v>165</v>
      </c>
      <c r="J715" s="63">
        <v>46.46</v>
      </c>
      <c r="K715" s="64">
        <v>893.8904</v>
      </c>
      <c r="L715" s="63" t="s">
        <v>1089</v>
      </c>
      <c r="M715" s="65" t="str">
        <f t="shared" si="11"/>
        <v>BRASIL MINERAÇÃOUA-11 DistritoPÓ DE BRITA</v>
      </c>
      <c r="N715" s="78" t="s">
        <v>1063</v>
      </c>
    </row>
    <row r="716" spans="2:14" x14ac:dyDescent="0.25">
      <c r="B716" s="67">
        <v>46079</v>
      </c>
      <c r="C716" s="63">
        <v>1</v>
      </c>
      <c r="D716" s="63" t="s">
        <v>196</v>
      </c>
      <c r="E716" s="68" t="s">
        <v>315</v>
      </c>
      <c r="F716" s="63" t="s">
        <v>1069</v>
      </c>
      <c r="G716" s="63" t="s">
        <v>1070</v>
      </c>
      <c r="H716" s="63">
        <v>52</v>
      </c>
      <c r="I716" s="68" t="s">
        <v>165</v>
      </c>
      <c r="J716" s="63">
        <v>49.12</v>
      </c>
      <c r="K716" s="64">
        <v>945.0687999999999</v>
      </c>
      <c r="L716" s="63" t="s">
        <v>1090</v>
      </c>
      <c r="M716" s="65" t="str">
        <f t="shared" si="11"/>
        <v>BRASIL MINERAÇÃOUA-11 DistritoPÓ DE BRITA</v>
      </c>
      <c r="N716" s="78" t="s">
        <v>1063</v>
      </c>
    </row>
    <row r="717" spans="2:14" x14ac:dyDescent="0.25">
      <c r="B717" s="91">
        <v>46080</v>
      </c>
      <c r="C717" s="63">
        <v>1</v>
      </c>
      <c r="D717" s="63" t="s">
        <v>170</v>
      </c>
      <c r="E717" s="65" t="s">
        <v>171</v>
      </c>
      <c r="F717" s="63" t="s">
        <v>166</v>
      </c>
      <c r="G717" s="63" t="s">
        <v>111</v>
      </c>
      <c r="H717" s="63">
        <v>79</v>
      </c>
      <c r="I717" s="65" t="s">
        <v>169</v>
      </c>
      <c r="J717" s="63">
        <v>2588</v>
      </c>
      <c r="K717" s="64">
        <v>756.47</v>
      </c>
      <c r="L717" s="63" t="s">
        <v>956</v>
      </c>
      <c r="M717" s="65" t="str">
        <f t="shared" si="11"/>
        <v>GRANORTEBEIRA RIOPULMÃOZINHO</v>
      </c>
      <c r="N717" s="85" t="s">
        <v>111</v>
      </c>
    </row>
    <row r="718" spans="2:14" x14ac:dyDescent="0.25">
      <c r="B718" s="91">
        <v>46080</v>
      </c>
      <c r="C718" s="63">
        <v>1</v>
      </c>
      <c r="D718" s="63" t="s">
        <v>162</v>
      </c>
      <c r="E718" s="65" t="s">
        <v>281</v>
      </c>
      <c r="F718" s="63" t="s">
        <v>166</v>
      </c>
      <c r="G718" s="63" t="s">
        <v>164</v>
      </c>
      <c r="H718" s="63">
        <v>58</v>
      </c>
      <c r="I718" s="65" t="s">
        <v>169</v>
      </c>
      <c r="J718" s="63">
        <v>2572</v>
      </c>
      <c r="K718" s="64">
        <v>551.95000000000005</v>
      </c>
      <c r="L718" s="63" t="s">
        <v>957</v>
      </c>
      <c r="M718" s="65" t="str">
        <f t="shared" si="11"/>
        <v>GRANORTEUA SAO LUISPULMÃOZINHO</v>
      </c>
      <c r="N718" s="85" t="s">
        <v>1063</v>
      </c>
    </row>
    <row r="719" spans="2:14" x14ac:dyDescent="0.25">
      <c r="B719" s="91">
        <v>46080</v>
      </c>
      <c r="C719" s="63">
        <v>1</v>
      </c>
      <c r="D719" s="63" t="s">
        <v>179</v>
      </c>
      <c r="E719" s="65" t="s">
        <v>282</v>
      </c>
      <c r="F719" s="63" t="s">
        <v>166</v>
      </c>
      <c r="G719" s="63" t="s">
        <v>111</v>
      </c>
      <c r="H719" s="63">
        <v>79</v>
      </c>
      <c r="I719" s="65" t="s">
        <v>169</v>
      </c>
      <c r="J719" s="63">
        <v>2508</v>
      </c>
      <c r="K719" s="64">
        <v>733.09</v>
      </c>
      <c r="L719" s="63" t="s">
        <v>958</v>
      </c>
      <c r="M719" s="65" t="str">
        <f t="shared" si="11"/>
        <v>GRANORTEBEIRA RIOPULMÃOZINHO</v>
      </c>
      <c r="N719" s="85" t="s">
        <v>111</v>
      </c>
    </row>
    <row r="720" spans="2:14" x14ac:dyDescent="0.25">
      <c r="B720" s="91">
        <v>46080</v>
      </c>
      <c r="C720" s="63">
        <v>1</v>
      </c>
      <c r="D720" s="63" t="s">
        <v>188</v>
      </c>
      <c r="E720" s="65" t="s">
        <v>189</v>
      </c>
      <c r="F720" s="63" t="s">
        <v>166</v>
      </c>
      <c r="G720" s="63" t="s">
        <v>164</v>
      </c>
      <c r="H720" s="63">
        <v>58</v>
      </c>
      <c r="I720" s="65" t="s">
        <v>175</v>
      </c>
      <c r="J720" s="63">
        <v>7546</v>
      </c>
      <c r="K720" s="64">
        <v>1619.37</v>
      </c>
      <c r="L720" s="63" t="s">
        <v>959</v>
      </c>
      <c r="M720" s="65" t="str">
        <f t="shared" si="11"/>
        <v>GRANORTEUA SAO LUISBRITA 0</v>
      </c>
      <c r="N720" s="85" t="s">
        <v>1063</v>
      </c>
    </row>
    <row r="721" spans="2:14" x14ac:dyDescent="0.25">
      <c r="B721" s="91">
        <v>46080</v>
      </c>
      <c r="C721" s="63">
        <v>1</v>
      </c>
      <c r="D721" s="63" t="s">
        <v>188</v>
      </c>
      <c r="E721" s="65" t="s">
        <v>189</v>
      </c>
      <c r="F721" s="63" t="s">
        <v>166</v>
      </c>
      <c r="G721" s="63" t="s">
        <v>164</v>
      </c>
      <c r="H721" s="63">
        <v>58</v>
      </c>
      <c r="I721" s="65" t="s">
        <v>165</v>
      </c>
      <c r="J721" s="63">
        <v>4576</v>
      </c>
      <c r="K721" s="64">
        <v>982.01</v>
      </c>
      <c r="L721" s="63" t="s">
        <v>960</v>
      </c>
      <c r="M721" s="65" t="str">
        <f t="shared" si="11"/>
        <v>GRANORTEUA SAO LUISPÓ DE BRITA</v>
      </c>
      <c r="N721" s="85" t="s">
        <v>1063</v>
      </c>
    </row>
    <row r="722" spans="2:14" x14ac:dyDescent="0.25">
      <c r="B722" s="91">
        <v>46080</v>
      </c>
      <c r="C722" s="63">
        <v>1</v>
      </c>
      <c r="D722" s="63" t="s">
        <v>202</v>
      </c>
      <c r="E722" s="65" t="s">
        <v>214</v>
      </c>
      <c r="F722" s="63" t="s">
        <v>163</v>
      </c>
      <c r="G722" s="63" t="s">
        <v>164</v>
      </c>
      <c r="H722" s="63">
        <v>52</v>
      </c>
      <c r="I722" s="65" t="s">
        <v>165</v>
      </c>
      <c r="J722" s="63">
        <v>4962</v>
      </c>
      <c r="K722" s="64">
        <v>954.69</v>
      </c>
      <c r="L722" s="63" t="s">
        <v>961</v>
      </c>
      <c r="M722" s="65" t="str">
        <f t="shared" si="11"/>
        <v>BRASIL MINERACAOUA SAO LUISPÓ DE BRITA</v>
      </c>
      <c r="N722" s="85" t="s">
        <v>1063</v>
      </c>
    </row>
    <row r="723" spans="2:14" x14ac:dyDescent="0.25">
      <c r="B723" s="91">
        <v>46080</v>
      </c>
      <c r="C723" s="63">
        <v>1</v>
      </c>
      <c r="D723" s="63" t="s">
        <v>203</v>
      </c>
      <c r="E723" s="65" t="s">
        <v>204</v>
      </c>
      <c r="F723" s="63" t="s">
        <v>166</v>
      </c>
      <c r="G723" s="63" t="s">
        <v>164</v>
      </c>
      <c r="H723" s="63">
        <v>58</v>
      </c>
      <c r="I723" s="65" t="s">
        <v>165</v>
      </c>
      <c r="J723" s="63">
        <v>4486</v>
      </c>
      <c r="K723" s="64">
        <v>962.7</v>
      </c>
      <c r="L723" s="63" t="s">
        <v>962</v>
      </c>
      <c r="M723" s="65" t="str">
        <f t="shared" si="11"/>
        <v>GRANORTEUA SAO LUISPÓ DE BRITA</v>
      </c>
      <c r="N723" s="85" t="s">
        <v>1063</v>
      </c>
    </row>
    <row r="724" spans="2:14" x14ac:dyDescent="0.25">
      <c r="B724" s="91">
        <v>46080</v>
      </c>
      <c r="C724" s="63">
        <v>1</v>
      </c>
      <c r="D724" s="63" t="s">
        <v>196</v>
      </c>
      <c r="E724" s="65" t="s">
        <v>197</v>
      </c>
      <c r="F724" s="63" t="s">
        <v>163</v>
      </c>
      <c r="G724" s="63" t="s">
        <v>164</v>
      </c>
      <c r="H724" s="63">
        <v>52</v>
      </c>
      <c r="I724" s="65" t="s">
        <v>165</v>
      </c>
      <c r="J724" s="63">
        <v>4914</v>
      </c>
      <c r="K724" s="64">
        <v>945.45</v>
      </c>
      <c r="L724" s="63" t="s">
        <v>963</v>
      </c>
      <c r="M724" s="65" t="str">
        <f t="shared" si="11"/>
        <v>BRASIL MINERACAOUA SAO LUISPÓ DE BRITA</v>
      </c>
      <c r="N724" s="85" t="s">
        <v>1063</v>
      </c>
    </row>
    <row r="725" spans="2:14" x14ac:dyDescent="0.25">
      <c r="B725" s="91">
        <v>46080</v>
      </c>
      <c r="C725" s="63">
        <v>1</v>
      </c>
      <c r="D725" s="63" t="s">
        <v>199</v>
      </c>
      <c r="E725" s="65" t="s">
        <v>180</v>
      </c>
      <c r="F725" s="63" t="s">
        <v>166</v>
      </c>
      <c r="G725" s="63" t="s">
        <v>111</v>
      </c>
      <c r="H725" s="63">
        <v>79</v>
      </c>
      <c r="I725" s="65" t="s">
        <v>169</v>
      </c>
      <c r="J725" s="63">
        <v>2648</v>
      </c>
      <c r="K725" s="64">
        <v>774.01</v>
      </c>
      <c r="L725" s="63" t="s">
        <v>964</v>
      </c>
      <c r="M725" s="65" t="str">
        <f t="shared" si="11"/>
        <v>GRANORTEBEIRA RIOPULMÃOZINHO</v>
      </c>
      <c r="N725" s="85" t="s">
        <v>111</v>
      </c>
    </row>
    <row r="726" spans="2:14" x14ac:dyDescent="0.25">
      <c r="B726" s="91">
        <v>46080</v>
      </c>
      <c r="C726" s="63">
        <v>1</v>
      </c>
      <c r="D726" s="63" t="s">
        <v>210</v>
      </c>
      <c r="E726" s="65" t="s">
        <v>211</v>
      </c>
      <c r="F726" s="63" t="s">
        <v>163</v>
      </c>
      <c r="G726" s="63" t="s">
        <v>164</v>
      </c>
      <c r="H726" s="63">
        <v>52</v>
      </c>
      <c r="I726" s="65" t="s">
        <v>195</v>
      </c>
      <c r="J726" s="63">
        <v>4628</v>
      </c>
      <c r="K726" s="64">
        <v>890.43</v>
      </c>
      <c r="L726" s="63" t="s">
        <v>965</v>
      </c>
      <c r="M726" s="65" t="str">
        <f t="shared" si="11"/>
        <v>BRASIL MINERACAOUA SAO LUISBRITA 1</v>
      </c>
      <c r="N726" s="85" t="s">
        <v>1063</v>
      </c>
    </row>
    <row r="727" spans="2:14" x14ac:dyDescent="0.25">
      <c r="B727" s="91">
        <v>46080</v>
      </c>
      <c r="C727" s="63">
        <v>1</v>
      </c>
      <c r="D727" s="63" t="s">
        <v>205</v>
      </c>
      <c r="E727" s="65" t="s">
        <v>206</v>
      </c>
      <c r="F727" s="63" t="s">
        <v>291</v>
      </c>
      <c r="G727" s="63" t="s">
        <v>783</v>
      </c>
      <c r="H727" s="63">
        <v>358</v>
      </c>
      <c r="I727" s="65" t="s">
        <v>221</v>
      </c>
      <c r="J727" s="63">
        <v>5474</v>
      </c>
      <c r="K727" s="64">
        <v>7250.86</v>
      </c>
      <c r="L727" s="63" t="s">
        <v>966</v>
      </c>
      <c r="M727" s="65" t="str">
        <f t="shared" si="11"/>
        <v>MINERADORA PORTO FRANCO - MAVF CONSTRUTORA KM114BGS</v>
      </c>
      <c r="N727" s="85" t="s">
        <v>1065</v>
      </c>
    </row>
    <row r="728" spans="2:14" x14ac:dyDescent="0.25">
      <c r="B728" s="91">
        <v>46080</v>
      </c>
      <c r="C728" s="63">
        <v>1</v>
      </c>
      <c r="D728" s="63" t="s">
        <v>203</v>
      </c>
      <c r="E728" s="65" t="s">
        <v>204</v>
      </c>
      <c r="F728" s="63" t="s">
        <v>166</v>
      </c>
      <c r="G728" s="63" t="s">
        <v>164</v>
      </c>
      <c r="H728" s="63">
        <v>58</v>
      </c>
      <c r="I728" s="65" t="s">
        <v>165</v>
      </c>
      <c r="J728" s="63">
        <v>4538</v>
      </c>
      <c r="K728" s="64">
        <v>973.85</v>
      </c>
      <c r="L728" s="63" t="s">
        <v>967</v>
      </c>
      <c r="M728" s="65" t="str">
        <f t="shared" si="11"/>
        <v>GRANORTEUA SAO LUISPÓ DE BRITA</v>
      </c>
      <c r="N728" s="85" t="s">
        <v>1063</v>
      </c>
    </row>
    <row r="729" spans="2:14" x14ac:dyDescent="0.25">
      <c r="B729" s="91">
        <v>46080</v>
      </c>
      <c r="C729" s="63">
        <v>1</v>
      </c>
      <c r="D729" s="63" t="s">
        <v>188</v>
      </c>
      <c r="E729" s="65" t="s">
        <v>189</v>
      </c>
      <c r="F729" s="63" t="s">
        <v>166</v>
      </c>
      <c r="G729" s="63" t="s">
        <v>164</v>
      </c>
      <c r="H729" s="63">
        <v>58</v>
      </c>
      <c r="I729" s="65" t="s">
        <v>165</v>
      </c>
      <c r="J729" s="63">
        <v>4724</v>
      </c>
      <c r="K729" s="64">
        <v>1013.77</v>
      </c>
      <c r="L729" s="63" t="s">
        <v>968</v>
      </c>
      <c r="M729" s="65" t="str">
        <f t="shared" si="11"/>
        <v>GRANORTEUA SAO LUISPÓ DE BRITA</v>
      </c>
      <c r="N729" s="85" t="s">
        <v>1063</v>
      </c>
    </row>
    <row r="730" spans="2:14" x14ac:dyDescent="0.25">
      <c r="B730" s="91">
        <v>46080</v>
      </c>
      <c r="C730" s="63">
        <v>1</v>
      </c>
      <c r="D730" s="63" t="s">
        <v>208</v>
      </c>
      <c r="E730" s="65" t="s">
        <v>209</v>
      </c>
      <c r="F730" s="63" t="s">
        <v>166</v>
      </c>
      <c r="G730" s="63" t="s">
        <v>164</v>
      </c>
      <c r="H730" s="63">
        <v>58</v>
      </c>
      <c r="I730" s="65" t="s">
        <v>165</v>
      </c>
      <c r="J730" s="63">
        <v>500</v>
      </c>
      <c r="K730" s="64">
        <v>1073</v>
      </c>
      <c r="L730" s="63" t="s">
        <v>969</v>
      </c>
      <c r="M730" s="65" t="str">
        <f t="shared" si="11"/>
        <v>GRANORTEUA SAO LUISPÓ DE BRITA</v>
      </c>
      <c r="N730" s="85" t="s">
        <v>1063</v>
      </c>
    </row>
    <row r="731" spans="2:14" x14ac:dyDescent="0.25">
      <c r="B731" s="91">
        <v>46080</v>
      </c>
      <c r="C731" s="63">
        <v>1</v>
      </c>
      <c r="D731" s="63" t="s">
        <v>199</v>
      </c>
      <c r="E731" s="65" t="s">
        <v>180</v>
      </c>
      <c r="F731" s="63" t="s">
        <v>166</v>
      </c>
      <c r="G731" s="63" t="s">
        <v>111</v>
      </c>
      <c r="H731" s="63">
        <v>79</v>
      </c>
      <c r="I731" s="65" t="s">
        <v>169</v>
      </c>
      <c r="J731" s="63">
        <v>262</v>
      </c>
      <c r="K731" s="64">
        <v>765.83</v>
      </c>
      <c r="L731" s="63" t="s">
        <v>970</v>
      </c>
      <c r="M731" s="65" t="str">
        <f t="shared" si="11"/>
        <v>GRANORTEBEIRA RIOPULMÃOZINHO</v>
      </c>
      <c r="N731" s="85" t="s">
        <v>111</v>
      </c>
    </row>
    <row r="732" spans="2:14" x14ac:dyDescent="0.25">
      <c r="B732" s="91">
        <v>46080</v>
      </c>
      <c r="C732" s="63">
        <v>1</v>
      </c>
      <c r="D732" s="63" t="s">
        <v>196</v>
      </c>
      <c r="E732" s="65" t="s">
        <v>197</v>
      </c>
      <c r="F732" s="63" t="s">
        <v>163</v>
      </c>
      <c r="G732" s="63" t="s">
        <v>164</v>
      </c>
      <c r="H732" s="63">
        <v>52</v>
      </c>
      <c r="I732" s="65" t="s">
        <v>165</v>
      </c>
      <c r="J732" s="63">
        <v>4956</v>
      </c>
      <c r="K732" s="64">
        <v>953.53</v>
      </c>
      <c r="L732" s="63" t="s">
        <v>971</v>
      </c>
      <c r="M732" s="65" t="str">
        <f t="shared" si="11"/>
        <v>BRASIL MINERACAOUA SAO LUISPÓ DE BRITA</v>
      </c>
      <c r="N732" s="85" t="s">
        <v>1063</v>
      </c>
    </row>
    <row r="733" spans="2:14" x14ac:dyDescent="0.25">
      <c r="B733" s="91">
        <v>46080</v>
      </c>
      <c r="C733" s="63">
        <v>1</v>
      </c>
      <c r="D733" s="63" t="s">
        <v>202</v>
      </c>
      <c r="E733" s="65" t="s">
        <v>214</v>
      </c>
      <c r="F733" s="63" t="s">
        <v>163</v>
      </c>
      <c r="G733" s="63" t="s">
        <v>164</v>
      </c>
      <c r="H733" s="63">
        <v>52</v>
      </c>
      <c r="I733" s="65" t="s">
        <v>165</v>
      </c>
      <c r="J733" s="63">
        <v>4904</v>
      </c>
      <c r="K733" s="64">
        <v>943.53</v>
      </c>
      <c r="L733" s="63" t="s">
        <v>972</v>
      </c>
      <c r="M733" s="65" t="str">
        <f t="shared" si="11"/>
        <v>BRASIL MINERACAOUA SAO LUISPÓ DE BRITA</v>
      </c>
      <c r="N733" s="85" t="s">
        <v>1063</v>
      </c>
    </row>
    <row r="734" spans="2:14" x14ac:dyDescent="0.25">
      <c r="B734" s="91">
        <v>46080</v>
      </c>
      <c r="C734" s="63">
        <v>1</v>
      </c>
      <c r="D734" s="63" t="s">
        <v>162</v>
      </c>
      <c r="E734" s="65" t="s">
        <v>281</v>
      </c>
      <c r="F734" s="63" t="s">
        <v>166</v>
      </c>
      <c r="G734" s="63" t="s">
        <v>164</v>
      </c>
      <c r="H734" s="63">
        <v>58</v>
      </c>
      <c r="I734" s="65" t="s">
        <v>169</v>
      </c>
      <c r="J734" s="63">
        <v>248</v>
      </c>
      <c r="K734" s="64">
        <v>532.21</v>
      </c>
      <c r="L734" s="63" t="s">
        <v>973</v>
      </c>
      <c r="M734" s="65" t="str">
        <f t="shared" si="11"/>
        <v>GRANORTEUA SAO LUISPULMÃOZINHO</v>
      </c>
      <c r="N734" s="85" t="s">
        <v>1063</v>
      </c>
    </row>
    <row r="735" spans="2:14" x14ac:dyDescent="0.25">
      <c r="B735" s="91">
        <v>46080</v>
      </c>
      <c r="C735" s="63">
        <v>1</v>
      </c>
      <c r="D735" s="63" t="s">
        <v>173</v>
      </c>
      <c r="E735" s="65" t="s">
        <v>174</v>
      </c>
      <c r="F735" s="63" t="s">
        <v>166</v>
      </c>
      <c r="G735" s="63" t="s">
        <v>111</v>
      </c>
      <c r="H735" s="63">
        <v>79</v>
      </c>
      <c r="I735" s="65" t="s">
        <v>169</v>
      </c>
      <c r="J735" s="63">
        <v>2648</v>
      </c>
      <c r="K735" s="64">
        <v>774.01</v>
      </c>
      <c r="L735" s="63" t="s">
        <v>974</v>
      </c>
      <c r="M735" s="65" t="str">
        <f t="shared" si="11"/>
        <v>GRANORTEBEIRA RIOPULMÃOZINHO</v>
      </c>
      <c r="N735" s="85" t="s">
        <v>111</v>
      </c>
    </row>
    <row r="736" spans="2:14" x14ac:dyDescent="0.25">
      <c r="B736" s="91">
        <v>46080</v>
      </c>
      <c r="C736" s="63">
        <v>1</v>
      </c>
      <c r="D736" s="63" t="s">
        <v>181</v>
      </c>
      <c r="E736" s="65" t="s">
        <v>182</v>
      </c>
      <c r="F736" s="63" t="s">
        <v>166</v>
      </c>
      <c r="G736" s="63" t="s">
        <v>824</v>
      </c>
      <c r="H736" s="63">
        <v>78</v>
      </c>
      <c r="I736" s="65" t="s">
        <v>169</v>
      </c>
      <c r="J736" s="63">
        <v>252</v>
      </c>
      <c r="K736" s="64">
        <v>727.27</v>
      </c>
      <c r="L736" s="63" t="s">
        <v>975</v>
      </c>
      <c r="M736" s="65" t="str">
        <f t="shared" si="11"/>
        <v>GRANORTECRUZAMENTO MA 201/202 (METROPOLITANA)PULMÃOZINHO</v>
      </c>
      <c r="N736" s="85" t="s">
        <v>11</v>
      </c>
    </row>
    <row r="737" spans="2:14" x14ac:dyDescent="0.25">
      <c r="B737" s="91">
        <v>46080</v>
      </c>
      <c r="C737" s="63">
        <v>1</v>
      </c>
      <c r="D737" s="63" t="s">
        <v>181</v>
      </c>
      <c r="E737" s="65" t="s">
        <v>182</v>
      </c>
      <c r="F737" s="63" t="s">
        <v>166</v>
      </c>
      <c r="G737" s="63" t="s">
        <v>824</v>
      </c>
      <c r="H737" s="63">
        <v>78</v>
      </c>
      <c r="I737" s="65" t="s">
        <v>169</v>
      </c>
      <c r="J737" s="63">
        <v>2514</v>
      </c>
      <c r="K737" s="64">
        <v>725.54</v>
      </c>
      <c r="L737" s="63" t="s">
        <v>976</v>
      </c>
      <c r="M737" s="65" t="str">
        <f t="shared" si="11"/>
        <v>GRANORTECRUZAMENTO MA 201/202 (METROPOLITANA)PULMÃOZINHO</v>
      </c>
      <c r="N737" s="85" t="s">
        <v>11</v>
      </c>
    </row>
    <row r="738" spans="2:14" x14ac:dyDescent="0.25">
      <c r="B738" s="91">
        <v>46080</v>
      </c>
      <c r="C738" s="63">
        <v>1</v>
      </c>
      <c r="D738" s="63" t="s">
        <v>192</v>
      </c>
      <c r="E738" s="65" t="s">
        <v>287</v>
      </c>
      <c r="F738" s="63" t="s">
        <v>163</v>
      </c>
      <c r="G738" s="63" t="s">
        <v>164</v>
      </c>
      <c r="H738" s="63">
        <v>52</v>
      </c>
      <c r="I738" s="65" t="s">
        <v>165</v>
      </c>
      <c r="J738" s="63">
        <v>4686</v>
      </c>
      <c r="K738" s="64">
        <v>901.59</v>
      </c>
      <c r="L738" s="63" t="s">
        <v>977</v>
      </c>
      <c r="M738" s="65" t="str">
        <f t="shared" si="11"/>
        <v>BRASIL MINERACAOUA SAO LUISPÓ DE BRITA</v>
      </c>
      <c r="N738" s="85" t="s">
        <v>1063</v>
      </c>
    </row>
    <row r="739" spans="2:14" x14ac:dyDescent="0.25">
      <c r="B739" s="91">
        <v>46080</v>
      </c>
      <c r="C739" s="63">
        <v>1</v>
      </c>
      <c r="D739" s="63" t="s">
        <v>289</v>
      </c>
      <c r="E739" s="65" t="s">
        <v>290</v>
      </c>
      <c r="F739" s="63" t="s">
        <v>276</v>
      </c>
      <c r="G739" s="63" t="s">
        <v>307</v>
      </c>
      <c r="H739" s="63">
        <v>175</v>
      </c>
      <c r="I739" s="65" t="s">
        <v>165</v>
      </c>
      <c r="J739" s="63">
        <v>3848</v>
      </c>
      <c r="K739" s="64">
        <v>2154.88</v>
      </c>
      <c r="L739" s="63" t="s">
        <v>978</v>
      </c>
      <c r="M739" s="65" t="str">
        <f t="shared" si="11"/>
        <v>MINERADORA PORTO FRANCOAUGUSTINOPOLIS TO (EDEC)PÓ DE BRITA</v>
      </c>
      <c r="N739" s="85" t="s">
        <v>1065</v>
      </c>
    </row>
    <row r="740" spans="2:14" x14ac:dyDescent="0.25">
      <c r="B740" s="91">
        <v>46080</v>
      </c>
      <c r="C740" s="63">
        <v>1</v>
      </c>
      <c r="D740" s="63" t="s">
        <v>283</v>
      </c>
      <c r="E740" s="65" t="s">
        <v>215</v>
      </c>
      <c r="F740" s="63" t="s">
        <v>166</v>
      </c>
      <c r="G740" s="63" t="s">
        <v>111</v>
      </c>
      <c r="H740" s="63">
        <v>79</v>
      </c>
      <c r="I740" s="65" t="s">
        <v>169</v>
      </c>
      <c r="J740" s="63">
        <v>2714</v>
      </c>
      <c r="K740" s="64">
        <v>793.3</v>
      </c>
      <c r="L740" s="63" t="s">
        <v>979</v>
      </c>
      <c r="M740" s="65" t="str">
        <f t="shared" si="11"/>
        <v>GRANORTEBEIRA RIOPULMÃOZINHO</v>
      </c>
      <c r="N740" s="85" t="s">
        <v>111</v>
      </c>
    </row>
    <row r="741" spans="2:14" x14ac:dyDescent="0.25">
      <c r="B741" s="91">
        <v>46080</v>
      </c>
      <c r="C741" s="63">
        <v>1</v>
      </c>
      <c r="D741" s="63" t="s">
        <v>283</v>
      </c>
      <c r="E741" s="65" t="s">
        <v>215</v>
      </c>
      <c r="F741" s="63" t="s">
        <v>166</v>
      </c>
      <c r="G741" s="63" t="s">
        <v>164</v>
      </c>
      <c r="H741" s="63">
        <v>58</v>
      </c>
      <c r="I741" s="65" t="s">
        <v>175</v>
      </c>
      <c r="J741" s="63">
        <v>2644</v>
      </c>
      <c r="K741" s="64">
        <v>567.4</v>
      </c>
      <c r="L741" s="63" t="s">
        <v>980</v>
      </c>
      <c r="M741" s="65" t="str">
        <f t="shared" si="11"/>
        <v>GRANORTEUA SAO LUISBRITA 0</v>
      </c>
      <c r="N741" s="85" t="s">
        <v>1063</v>
      </c>
    </row>
    <row r="742" spans="2:14" x14ac:dyDescent="0.25">
      <c r="B742" s="91">
        <v>46080</v>
      </c>
      <c r="C742" s="63">
        <v>1</v>
      </c>
      <c r="D742" s="63" t="s">
        <v>283</v>
      </c>
      <c r="E742" s="65" t="s">
        <v>215</v>
      </c>
      <c r="F742" s="63" t="s">
        <v>166</v>
      </c>
      <c r="G742" s="63" t="s">
        <v>164</v>
      </c>
      <c r="H742" s="63">
        <v>58</v>
      </c>
      <c r="I742" s="65" t="s">
        <v>175</v>
      </c>
      <c r="J742" s="63">
        <v>262</v>
      </c>
      <c r="K742" s="64">
        <v>562.25</v>
      </c>
      <c r="L742" s="63" t="s">
        <v>981</v>
      </c>
      <c r="M742" s="65" t="str">
        <f t="shared" si="11"/>
        <v>GRANORTEUA SAO LUISBRITA 0</v>
      </c>
      <c r="N742" s="85" t="s">
        <v>1063</v>
      </c>
    </row>
    <row r="743" spans="2:14" x14ac:dyDescent="0.25">
      <c r="B743" s="91">
        <v>46080</v>
      </c>
      <c r="C743" s="63">
        <v>1</v>
      </c>
      <c r="D743" s="63" t="s">
        <v>183</v>
      </c>
      <c r="E743" s="65" t="s">
        <v>506</v>
      </c>
      <c r="F743" s="63" t="s">
        <v>166</v>
      </c>
      <c r="G743" s="63" t="s">
        <v>111</v>
      </c>
      <c r="H743" s="63">
        <v>79</v>
      </c>
      <c r="I743" s="65" t="s">
        <v>169</v>
      </c>
      <c r="J743" s="63">
        <v>275</v>
      </c>
      <c r="K743" s="64">
        <v>803.83</v>
      </c>
      <c r="L743" s="63" t="s">
        <v>982</v>
      </c>
      <c r="M743" s="65" t="str">
        <f t="shared" si="11"/>
        <v>GRANORTEBEIRA RIOPULMÃOZINHO</v>
      </c>
      <c r="N743" s="85" t="s">
        <v>111</v>
      </c>
    </row>
    <row r="744" spans="2:14" x14ac:dyDescent="0.25">
      <c r="B744" s="91">
        <v>46080</v>
      </c>
      <c r="C744" s="63">
        <v>1</v>
      </c>
      <c r="D744" s="63" t="s">
        <v>183</v>
      </c>
      <c r="E744" s="65" t="s">
        <v>506</v>
      </c>
      <c r="F744" s="63" t="s">
        <v>166</v>
      </c>
      <c r="G744" s="63" t="s">
        <v>111</v>
      </c>
      <c r="H744" s="63">
        <v>79</v>
      </c>
      <c r="I744" s="65" t="s">
        <v>169</v>
      </c>
      <c r="J744" s="63">
        <v>2774</v>
      </c>
      <c r="K744" s="64">
        <v>810.84</v>
      </c>
      <c r="L744" s="63" t="s">
        <v>983</v>
      </c>
      <c r="M744" s="65" t="str">
        <f t="shared" si="11"/>
        <v>GRANORTEBEIRA RIOPULMÃOZINHO</v>
      </c>
      <c r="N744" s="85" t="s">
        <v>111</v>
      </c>
    </row>
    <row r="745" spans="2:14" x14ac:dyDescent="0.25">
      <c r="B745" s="91">
        <v>46080</v>
      </c>
      <c r="C745" s="63">
        <v>1</v>
      </c>
      <c r="D745" s="63" t="s">
        <v>186</v>
      </c>
      <c r="E745" s="65" t="s">
        <v>187</v>
      </c>
      <c r="F745" s="63" t="s">
        <v>166</v>
      </c>
      <c r="G745" s="63" t="s">
        <v>164</v>
      </c>
      <c r="H745" s="63">
        <v>58</v>
      </c>
      <c r="I745" s="65" t="s">
        <v>165</v>
      </c>
      <c r="J745" s="63">
        <v>5042</v>
      </c>
      <c r="K745" s="64">
        <v>1082.01</v>
      </c>
      <c r="L745" s="63" t="s">
        <v>984</v>
      </c>
      <c r="M745" s="65" t="str">
        <f t="shared" si="11"/>
        <v>GRANORTEUA SAO LUISPÓ DE BRITA</v>
      </c>
      <c r="N745" s="85" t="s">
        <v>1063</v>
      </c>
    </row>
    <row r="746" spans="2:14" x14ac:dyDescent="0.25">
      <c r="B746" s="91">
        <v>46080</v>
      </c>
      <c r="C746" s="63">
        <v>2</v>
      </c>
      <c r="D746" s="63" t="s">
        <v>305</v>
      </c>
      <c r="E746" s="65" t="s">
        <v>306</v>
      </c>
      <c r="F746" s="63" t="s">
        <v>276</v>
      </c>
      <c r="G746" s="63" t="s">
        <v>919</v>
      </c>
      <c r="H746" s="63">
        <v>358</v>
      </c>
      <c r="I746" s="65" t="s">
        <v>221</v>
      </c>
      <c r="J746" s="63">
        <v>6604</v>
      </c>
      <c r="K746" s="64">
        <v>7565.54</v>
      </c>
      <c r="L746" s="63" t="s">
        <v>1054</v>
      </c>
      <c r="M746" s="65" t="str">
        <f t="shared" si="11"/>
        <v>MINERADORA PORTO FRANCOVALE NOVA VIDA KM356BGS</v>
      </c>
      <c r="N746" s="85" t="s">
        <v>1065</v>
      </c>
    </row>
    <row r="747" spans="2:14" x14ac:dyDescent="0.25">
      <c r="B747" s="91">
        <v>46080</v>
      </c>
      <c r="C747" s="63">
        <v>2</v>
      </c>
      <c r="D747" s="63" t="s">
        <v>298</v>
      </c>
      <c r="E747" s="65" t="s">
        <v>299</v>
      </c>
      <c r="F747" s="63" t="s">
        <v>291</v>
      </c>
      <c r="G747" s="63" t="s">
        <v>1055</v>
      </c>
      <c r="H747" s="63">
        <v>370</v>
      </c>
      <c r="I747" s="65" t="s">
        <v>221</v>
      </c>
      <c r="J747" s="63">
        <v>463</v>
      </c>
      <c r="K747" s="64">
        <v>6338.47</v>
      </c>
      <c r="L747" s="63" t="s">
        <v>1056</v>
      </c>
      <c r="M747" s="65" t="str">
        <f t="shared" si="11"/>
        <v>MINERADORA PORTO FRANCO - MAVF CONSTRUTORA KM124BGS</v>
      </c>
      <c r="N747" s="85" t="s">
        <v>1065</v>
      </c>
    </row>
    <row r="748" spans="2:14" x14ac:dyDescent="0.25">
      <c r="B748" s="91">
        <v>46080</v>
      </c>
      <c r="C748" s="63">
        <v>2</v>
      </c>
      <c r="D748" s="63" t="s">
        <v>302</v>
      </c>
      <c r="E748" s="65" t="s">
        <v>303</v>
      </c>
      <c r="F748" s="63" t="s">
        <v>997</v>
      </c>
      <c r="G748" s="63" t="s">
        <v>1001</v>
      </c>
      <c r="H748" s="63">
        <v>255</v>
      </c>
      <c r="I748" s="65" t="s">
        <v>175</v>
      </c>
      <c r="J748" s="63">
        <v>5276</v>
      </c>
      <c r="K748" s="64">
        <v>4977.91</v>
      </c>
      <c r="L748" s="63" t="s">
        <v>1057</v>
      </c>
      <c r="M748" s="65" t="str">
        <f t="shared" si="11"/>
        <v>TAIPAS - TONOVO JARDIM - TOBRITA 0</v>
      </c>
      <c r="N748" s="85" t="s">
        <v>83</v>
      </c>
    </row>
    <row r="749" spans="2:14" x14ac:dyDescent="0.25">
      <c r="B749" s="91">
        <v>46080</v>
      </c>
      <c r="C749" s="63">
        <v>2</v>
      </c>
      <c r="D749" s="63" t="s">
        <v>296</v>
      </c>
      <c r="E749" s="65" t="s">
        <v>297</v>
      </c>
      <c r="F749" s="63" t="s">
        <v>291</v>
      </c>
      <c r="G749" s="63" t="s">
        <v>1055</v>
      </c>
      <c r="H749" s="63">
        <v>370</v>
      </c>
      <c r="I749" s="65" t="s">
        <v>221</v>
      </c>
      <c r="J749" s="63">
        <v>322</v>
      </c>
      <c r="K749" s="64">
        <v>4408.18</v>
      </c>
      <c r="L749" s="63" t="s">
        <v>1058</v>
      </c>
      <c r="M749" s="65" t="str">
        <f t="shared" si="11"/>
        <v>MINERADORA PORTO FRANCO - MAVF CONSTRUTORA KM124BGS</v>
      </c>
      <c r="N749" s="85" t="s">
        <v>1065</v>
      </c>
    </row>
    <row r="750" spans="2:14" x14ac:dyDescent="0.25">
      <c r="B750" s="91">
        <v>46080</v>
      </c>
      <c r="C750" s="63">
        <v>2</v>
      </c>
      <c r="D750" s="63" t="s">
        <v>310</v>
      </c>
      <c r="E750" s="65" t="s">
        <v>311</v>
      </c>
      <c r="F750" s="63" t="s">
        <v>291</v>
      </c>
      <c r="G750" s="63" t="s">
        <v>989</v>
      </c>
      <c r="H750" s="63">
        <v>405</v>
      </c>
      <c r="I750" s="65" t="s">
        <v>221</v>
      </c>
      <c r="J750" s="63">
        <v>3214</v>
      </c>
      <c r="K750" s="64">
        <v>4816.18</v>
      </c>
      <c r="L750" s="63" t="s">
        <v>1059</v>
      </c>
      <c r="M750" s="65" t="str">
        <f t="shared" si="11"/>
        <v>MINERADORA PORTO FRANCO - MAVF CONSTRUTORA KM156BGS</v>
      </c>
      <c r="N750" s="85" t="s">
        <v>1065</v>
      </c>
    </row>
    <row r="751" spans="2:14" x14ac:dyDescent="0.25">
      <c r="B751" s="67">
        <v>46080</v>
      </c>
      <c r="C751" s="63">
        <v>1</v>
      </c>
      <c r="D751" s="63" t="s">
        <v>196</v>
      </c>
      <c r="E751" s="68" t="s">
        <v>315</v>
      </c>
      <c r="F751" s="63" t="s">
        <v>1069</v>
      </c>
      <c r="G751" s="63" t="s">
        <v>1070</v>
      </c>
      <c r="H751" s="63">
        <v>52</v>
      </c>
      <c r="I751" s="68" t="s">
        <v>165</v>
      </c>
      <c r="J751" s="63">
        <v>49.14</v>
      </c>
      <c r="K751" s="64">
        <v>945.45359999999994</v>
      </c>
      <c r="L751" s="63" t="s">
        <v>1082</v>
      </c>
      <c r="M751" s="65" t="str">
        <f t="shared" si="11"/>
        <v>BRASIL MINERAÇÃOUA-11 DistritoPÓ DE BRITA</v>
      </c>
      <c r="N751" s="78" t="s">
        <v>1063</v>
      </c>
    </row>
    <row r="752" spans="2:14" x14ac:dyDescent="0.25">
      <c r="B752" s="67">
        <v>46080</v>
      </c>
      <c r="C752" s="63">
        <v>1</v>
      </c>
      <c r="D752" s="63" t="s">
        <v>192</v>
      </c>
      <c r="E752" s="68" t="s">
        <v>1081</v>
      </c>
      <c r="F752" s="63" t="s">
        <v>1069</v>
      </c>
      <c r="G752" s="63" t="s">
        <v>1070</v>
      </c>
      <c r="H752" s="63">
        <v>52</v>
      </c>
      <c r="I752" s="68" t="s">
        <v>165</v>
      </c>
      <c r="J752" s="63">
        <v>49.98</v>
      </c>
      <c r="K752" s="64">
        <v>961.61519999999985</v>
      </c>
      <c r="L752" s="63" t="s">
        <v>1083</v>
      </c>
      <c r="M752" s="65" t="str">
        <f t="shared" si="11"/>
        <v>BRASIL MINERAÇÃOUA-11 DistritoPÓ DE BRITA</v>
      </c>
      <c r="N752" s="78" t="s">
        <v>1063</v>
      </c>
    </row>
    <row r="753" spans="2:14" x14ac:dyDescent="0.25">
      <c r="B753" s="67">
        <v>46080</v>
      </c>
      <c r="C753" s="63">
        <v>1</v>
      </c>
      <c r="D753" s="63" t="s">
        <v>202</v>
      </c>
      <c r="E753" s="68" t="s">
        <v>314</v>
      </c>
      <c r="F753" s="63" t="s">
        <v>1069</v>
      </c>
      <c r="G753" s="63" t="s">
        <v>1070</v>
      </c>
      <c r="H753" s="63">
        <v>52</v>
      </c>
      <c r="I753" s="68" t="s">
        <v>165</v>
      </c>
      <c r="J753" s="63">
        <v>48.46</v>
      </c>
      <c r="K753" s="64">
        <v>932.3703999999999</v>
      </c>
      <c r="L753" s="63" t="s">
        <v>1084</v>
      </c>
      <c r="M753" s="65" t="str">
        <f t="shared" si="11"/>
        <v>BRASIL MINERAÇÃOUA-11 DistritoPÓ DE BRITA</v>
      </c>
      <c r="N753" s="78" t="s">
        <v>1063</v>
      </c>
    </row>
    <row r="754" spans="2:14" x14ac:dyDescent="0.25">
      <c r="B754" s="91">
        <v>46081</v>
      </c>
      <c r="C754" s="63">
        <v>1</v>
      </c>
      <c r="D754" s="63" t="s">
        <v>186</v>
      </c>
      <c r="E754" s="65" t="s">
        <v>187</v>
      </c>
      <c r="F754" s="63" t="s">
        <v>166</v>
      </c>
      <c r="G754" s="63" t="s">
        <v>164</v>
      </c>
      <c r="H754" s="63">
        <v>58</v>
      </c>
      <c r="I754" s="65" t="s">
        <v>175</v>
      </c>
      <c r="J754" s="63">
        <v>517</v>
      </c>
      <c r="K754" s="64">
        <v>1109.48</v>
      </c>
      <c r="L754" s="63" t="s">
        <v>985</v>
      </c>
      <c r="M754" s="65" t="str">
        <f t="shared" si="11"/>
        <v>GRANORTEUA SAO LUISBRITA 0</v>
      </c>
      <c r="N754" s="85" t="s">
        <v>1063</v>
      </c>
    </row>
    <row r="755" spans="2:14" x14ac:dyDescent="0.25">
      <c r="B755" s="91">
        <v>46081</v>
      </c>
      <c r="C755" s="63">
        <v>1</v>
      </c>
      <c r="D755" s="63" t="s">
        <v>179</v>
      </c>
      <c r="E755" s="65" t="s">
        <v>282</v>
      </c>
      <c r="F755" s="63" t="s">
        <v>166</v>
      </c>
      <c r="G755" s="63" t="s">
        <v>111</v>
      </c>
      <c r="H755" s="63">
        <v>79</v>
      </c>
      <c r="I755" s="65" t="s">
        <v>169</v>
      </c>
      <c r="J755" s="63">
        <v>2624</v>
      </c>
      <c r="K755" s="64">
        <v>767</v>
      </c>
      <c r="L755" s="63" t="s">
        <v>986</v>
      </c>
      <c r="M755" s="65" t="str">
        <f t="shared" si="11"/>
        <v>GRANORTEBEIRA RIOPULMÃOZINHO</v>
      </c>
      <c r="N755" s="85" t="s">
        <v>111</v>
      </c>
    </row>
    <row r="756" spans="2:14" x14ac:dyDescent="0.25">
      <c r="B756" s="91">
        <v>46081</v>
      </c>
      <c r="C756" s="63">
        <v>1</v>
      </c>
      <c r="D756" s="63" t="s">
        <v>202</v>
      </c>
      <c r="E756" s="65" t="s">
        <v>214</v>
      </c>
      <c r="F756" s="63" t="s">
        <v>163</v>
      </c>
      <c r="G756" s="63" t="s">
        <v>164</v>
      </c>
      <c r="H756" s="63">
        <v>52</v>
      </c>
      <c r="I756" s="65" t="s">
        <v>165</v>
      </c>
      <c r="J756" s="63">
        <v>4846</v>
      </c>
      <c r="K756" s="64">
        <v>932.37</v>
      </c>
      <c r="L756" s="63" t="s">
        <v>987</v>
      </c>
      <c r="M756" s="65" t="str">
        <f t="shared" si="11"/>
        <v>BRASIL MINERACAOUA SAO LUISPÓ DE BRITA</v>
      </c>
      <c r="N756" s="85" t="s">
        <v>1063</v>
      </c>
    </row>
    <row r="757" spans="2:14" x14ac:dyDescent="0.25">
      <c r="B757" s="91">
        <v>46081</v>
      </c>
      <c r="C757" s="63">
        <v>1</v>
      </c>
      <c r="D757" s="63" t="s">
        <v>162</v>
      </c>
      <c r="E757" s="65" t="s">
        <v>281</v>
      </c>
      <c r="F757" s="63" t="s">
        <v>166</v>
      </c>
      <c r="G757" s="63" t="s">
        <v>164</v>
      </c>
      <c r="H757" s="63">
        <v>58</v>
      </c>
      <c r="I757" s="65" t="s">
        <v>169</v>
      </c>
      <c r="J757" s="63">
        <v>2616</v>
      </c>
      <c r="K757" s="64">
        <v>561.39</v>
      </c>
      <c r="L757" s="63" t="s">
        <v>988</v>
      </c>
      <c r="M757" s="65" t="str">
        <f t="shared" si="11"/>
        <v>GRANORTEUA SAO LUISPULMÃOZINHO</v>
      </c>
      <c r="N757" s="85" t="s">
        <v>1063</v>
      </c>
    </row>
    <row r="758" spans="2:14" x14ac:dyDescent="0.25">
      <c r="B758" s="91">
        <v>46081</v>
      </c>
      <c r="C758" s="63">
        <v>1</v>
      </c>
      <c r="D758" s="63" t="s">
        <v>205</v>
      </c>
      <c r="E758" s="65" t="s">
        <v>206</v>
      </c>
      <c r="F758" s="63" t="s">
        <v>291</v>
      </c>
      <c r="G758" s="63" t="s">
        <v>989</v>
      </c>
      <c r="H758" s="63">
        <v>405</v>
      </c>
      <c r="I758" s="65" t="s">
        <v>221</v>
      </c>
      <c r="J758" s="63">
        <v>5026</v>
      </c>
      <c r="K758" s="64">
        <v>7531.46</v>
      </c>
      <c r="L758" s="63" t="s">
        <v>990</v>
      </c>
      <c r="M758" s="65" t="str">
        <f t="shared" si="11"/>
        <v>MINERADORA PORTO FRANCO - MAVF CONSTRUTORA KM156BGS</v>
      </c>
      <c r="N758" s="85" t="s">
        <v>1065</v>
      </c>
    </row>
    <row r="759" spans="2:14" x14ac:dyDescent="0.25">
      <c r="B759" s="91">
        <v>46081</v>
      </c>
      <c r="C759" s="63">
        <v>2</v>
      </c>
      <c r="D759" s="63" t="s">
        <v>296</v>
      </c>
      <c r="E759" s="65" t="s">
        <v>297</v>
      </c>
      <c r="F759" s="63" t="s">
        <v>291</v>
      </c>
      <c r="G759" s="63" t="s">
        <v>1055</v>
      </c>
      <c r="H759" s="63">
        <v>370</v>
      </c>
      <c r="I759" s="65" t="s">
        <v>169</v>
      </c>
      <c r="J759" s="63">
        <v>303</v>
      </c>
      <c r="K759" s="64">
        <v>4148.07</v>
      </c>
      <c r="L759" s="63" t="s">
        <v>1060</v>
      </c>
      <c r="M759" s="65" t="str">
        <f t="shared" si="11"/>
        <v>MINERADORA PORTO FRANCO - MAVF CONSTRUTORA KM124PULMÃOZINHO</v>
      </c>
      <c r="N759" s="85" t="s">
        <v>1065</v>
      </c>
    </row>
    <row r="760" spans="2:14" x14ac:dyDescent="0.25">
      <c r="B760" s="91">
        <v>46081</v>
      </c>
      <c r="C760" s="63">
        <v>2</v>
      </c>
      <c r="D760" s="63" t="s">
        <v>294</v>
      </c>
      <c r="E760" s="65" t="s">
        <v>295</v>
      </c>
      <c r="F760" s="63" t="s">
        <v>1025</v>
      </c>
      <c r="G760" s="63" t="s">
        <v>1026</v>
      </c>
      <c r="H760" s="63">
        <v>538</v>
      </c>
      <c r="I760" s="65" t="s">
        <v>1027</v>
      </c>
      <c r="J760" s="63">
        <v>1876</v>
      </c>
      <c r="K760" s="64">
        <v>3229.72</v>
      </c>
      <c r="L760" s="63" t="s">
        <v>1061</v>
      </c>
      <c r="M760" s="65" t="str">
        <f t="shared" si="11"/>
        <v xml:space="preserve">INPASA BALSASARAS FALCARFARELO </v>
      </c>
      <c r="N760" s="85" t="s">
        <v>280</v>
      </c>
    </row>
    <row r="761" spans="2:14" x14ac:dyDescent="0.25">
      <c r="B761" s="92">
        <v>46081</v>
      </c>
      <c r="C761" s="93">
        <v>2</v>
      </c>
      <c r="D761" s="93" t="s">
        <v>298</v>
      </c>
      <c r="E761" s="94" t="s">
        <v>299</v>
      </c>
      <c r="F761" s="93" t="s">
        <v>291</v>
      </c>
      <c r="G761" s="93" t="s">
        <v>989</v>
      </c>
      <c r="H761" s="93">
        <v>405</v>
      </c>
      <c r="I761" s="94" t="s">
        <v>221</v>
      </c>
      <c r="J761" s="93">
        <v>5028</v>
      </c>
      <c r="K761" s="95">
        <v>7534.46</v>
      </c>
      <c r="L761" s="93" t="s">
        <v>1062</v>
      </c>
      <c r="M761" s="94" t="str">
        <f t="shared" si="11"/>
        <v>MINERADORA PORTO FRANCO - MAVF CONSTRUTORA KM156BGS</v>
      </c>
      <c r="N761" s="96" t="s">
        <v>1065</v>
      </c>
    </row>
    <row r="762" spans="2:14" ht="15.75" x14ac:dyDescent="0.25">
      <c r="B762" s="97"/>
      <c r="C762" s="97"/>
      <c r="D762" s="98"/>
      <c r="E762" s="99"/>
      <c r="F762" s="100"/>
      <c r="G762" s="100"/>
      <c r="H762" s="99"/>
      <c r="I762" s="99"/>
      <c r="J762" s="99"/>
      <c r="K762" s="101">
        <f>SUM(K4:K761)</f>
        <v>939543.50240000058</v>
      </c>
      <c r="L762" s="99"/>
      <c r="M762" s="99"/>
      <c r="N762" s="99"/>
    </row>
  </sheetData>
  <mergeCells count="1">
    <mergeCell ref="B2:N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E460-0028-4C78-9761-5E81790019FF}">
  <dimension ref="B1:O18"/>
  <sheetViews>
    <sheetView showGridLines="0" workbookViewId="0">
      <selection activeCell="L20" sqref="L20"/>
    </sheetView>
  </sheetViews>
  <sheetFormatPr defaultRowHeight="15" x14ac:dyDescent="0.25"/>
  <cols>
    <col min="1" max="1" width="6.28515625" customWidth="1"/>
    <col min="2" max="2" width="2.140625" customWidth="1"/>
    <col min="3" max="3" width="6.7109375" customWidth="1"/>
    <col min="4" max="4" width="20" bestFit="1" customWidth="1"/>
    <col min="5" max="5" width="26.42578125" customWidth="1"/>
    <col min="6" max="6" width="1.7109375" customWidth="1"/>
    <col min="15" max="15" width="3.7109375" customWidth="1"/>
    <col min="17" max="17" width="26.140625" customWidth="1"/>
  </cols>
  <sheetData>
    <row r="1" spans="2:15" ht="8.25" customHeight="1" x14ac:dyDescent="0.25"/>
    <row r="2" spans="2:15" ht="8.25" customHeight="1" x14ac:dyDescent="0.25"/>
    <row r="3" spans="2:15" ht="25.5" customHeight="1" x14ac:dyDescent="0.25">
      <c r="B3" s="182" t="s">
        <v>1067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</row>
    <row r="4" spans="2:15" ht="4.5" customHeight="1" thickBot="1" x14ac:dyDescent="0.3"/>
    <row r="5" spans="2:15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2:15" x14ac:dyDescent="0.25">
      <c r="B6" s="10"/>
      <c r="C6" s="184" t="s">
        <v>13</v>
      </c>
      <c r="D6" s="185"/>
      <c r="E6" s="105" t="s">
        <v>16</v>
      </c>
      <c r="O6" s="11"/>
    </row>
    <row r="7" spans="2:15" x14ac:dyDescent="0.25">
      <c r="B7" s="10"/>
      <c r="C7" s="72" t="b">
        <v>1</v>
      </c>
      <c r="D7" s="77" t="s">
        <v>111</v>
      </c>
      <c r="E7" s="76">
        <v>116717.49999999997</v>
      </c>
      <c r="O7" s="11"/>
    </row>
    <row r="8" spans="2:15" x14ac:dyDescent="0.25">
      <c r="B8" s="10"/>
      <c r="C8" s="72" t="b">
        <v>1</v>
      </c>
      <c r="D8" s="77" t="s">
        <v>1066</v>
      </c>
      <c r="E8" s="76">
        <v>597.79999999999995</v>
      </c>
      <c r="O8" s="11"/>
    </row>
    <row r="9" spans="2:15" x14ac:dyDescent="0.25">
      <c r="B9" s="10"/>
      <c r="C9" s="72" t="b">
        <v>1</v>
      </c>
      <c r="D9" s="77" t="s">
        <v>280</v>
      </c>
      <c r="E9" s="76">
        <v>6456</v>
      </c>
      <c r="O9" s="11"/>
    </row>
    <row r="10" spans="2:15" x14ac:dyDescent="0.25">
      <c r="B10" s="10"/>
      <c r="C10" s="72" t="b">
        <v>1</v>
      </c>
      <c r="D10" s="77" t="s">
        <v>11</v>
      </c>
      <c r="E10" s="76">
        <v>11099.619999999999</v>
      </c>
      <c r="O10" s="11"/>
    </row>
    <row r="11" spans="2:15" x14ac:dyDescent="0.25">
      <c r="B11" s="10"/>
      <c r="C11" s="72" t="b">
        <v>1</v>
      </c>
      <c r="D11" s="77" t="s">
        <v>1065</v>
      </c>
      <c r="E11" s="76">
        <v>277160.22000000003</v>
      </c>
      <c r="O11" s="11"/>
    </row>
    <row r="12" spans="2:15" x14ac:dyDescent="0.25">
      <c r="B12" s="10"/>
      <c r="C12" s="73" t="b">
        <v>1</v>
      </c>
      <c r="D12" s="77" t="s">
        <v>1064</v>
      </c>
      <c r="E12" s="76">
        <v>11022.97</v>
      </c>
      <c r="O12" s="11"/>
    </row>
    <row r="13" spans="2:15" x14ac:dyDescent="0.25">
      <c r="B13" s="10"/>
      <c r="C13" s="74" t="b">
        <v>1</v>
      </c>
      <c r="D13" s="77" t="s">
        <v>83</v>
      </c>
      <c r="E13" s="76">
        <v>55220.990000000005</v>
      </c>
      <c r="O13" s="11"/>
    </row>
    <row r="14" spans="2:15" x14ac:dyDescent="0.25">
      <c r="B14" s="10"/>
      <c r="C14" s="75" t="b">
        <v>1</v>
      </c>
      <c r="D14" s="77" t="s">
        <v>1063</v>
      </c>
      <c r="E14" s="76">
        <v>451681.01</v>
      </c>
      <c r="O14" s="11"/>
    </row>
    <row r="15" spans="2:15" x14ac:dyDescent="0.25">
      <c r="B15" s="10"/>
      <c r="C15" s="75" t="b">
        <v>1</v>
      </c>
      <c r="D15" s="77" t="s">
        <v>161</v>
      </c>
      <c r="E15" s="76">
        <v>9587.39</v>
      </c>
      <c r="O15" s="11"/>
    </row>
    <row r="16" spans="2:15" ht="18.75" x14ac:dyDescent="0.25">
      <c r="B16" s="10"/>
      <c r="C16" s="102"/>
      <c r="D16" s="103" t="s">
        <v>1068</v>
      </c>
      <c r="E16" s="104">
        <f>SUM(E7:E15)</f>
        <v>939543.5</v>
      </c>
      <c r="O16" s="11"/>
    </row>
    <row r="17" spans="2:15" x14ac:dyDescent="0.25">
      <c r="B17" s="10"/>
      <c r="O17" s="11"/>
    </row>
    <row r="18" spans="2:15" ht="9" customHeight="1" thickBot="1" x14ac:dyDescent="0.3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</row>
  </sheetData>
  <mergeCells count="2">
    <mergeCell ref="B3:O3"/>
    <mergeCell ref="C6:D6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0800-0ADC-4B47-8C5D-EE0948BEE001}">
  <sheetPr filterMode="1"/>
  <dimension ref="B2:N947"/>
  <sheetViews>
    <sheetView showGridLines="0" workbookViewId="0">
      <pane xSplit="4" ySplit="3" topLeftCell="I541" activePane="bottomRight" state="frozen"/>
      <selection pane="topRight" activeCell="E1" sqref="E1"/>
      <selection pane="bottomLeft" activeCell="A4" sqref="A4"/>
      <selection pane="bottomRight" activeCell="E954" sqref="E954"/>
    </sheetView>
  </sheetViews>
  <sheetFormatPr defaultRowHeight="15" x14ac:dyDescent="0.25"/>
  <cols>
    <col min="1" max="1" width="1.85546875" customWidth="1"/>
    <col min="2" max="2" width="10.42578125" bestFit="1" customWidth="1"/>
    <col min="3" max="3" width="8.42578125" style="1" customWidth="1"/>
    <col min="4" max="4" width="12.140625" style="1" bestFit="1" customWidth="1"/>
    <col min="5" max="5" width="35" customWidth="1"/>
    <col min="6" max="6" width="21.5703125" customWidth="1"/>
    <col min="7" max="7" width="21.140625" style="1" customWidth="1"/>
    <col min="8" max="8" width="10.85546875" style="1" bestFit="1" customWidth="1"/>
    <col min="9" max="9" width="14.28515625" customWidth="1"/>
    <col min="10" max="10" width="13.140625" style="1" bestFit="1" customWidth="1"/>
    <col min="11" max="11" width="14.42578125" style="106" bestFit="1" customWidth="1"/>
    <col min="12" max="12" width="20.28515625" style="1" bestFit="1" customWidth="1"/>
    <col min="13" max="13" width="62.140625" customWidth="1"/>
    <col min="14" max="14" width="24" customWidth="1"/>
  </cols>
  <sheetData>
    <row r="2" spans="2:14" ht="21" x14ac:dyDescent="0.35">
      <c r="B2" s="170" t="s">
        <v>1888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</row>
    <row r="3" spans="2:14" x14ac:dyDescent="0.25">
      <c r="B3" s="82" t="s">
        <v>0</v>
      </c>
      <c r="C3" s="82" t="s">
        <v>1</v>
      </c>
      <c r="D3" s="82" t="s">
        <v>2</v>
      </c>
      <c r="E3" s="82" t="s">
        <v>3</v>
      </c>
      <c r="F3" s="82" t="s">
        <v>4</v>
      </c>
      <c r="G3" s="82" t="s">
        <v>5</v>
      </c>
      <c r="H3" s="82" t="s">
        <v>6</v>
      </c>
      <c r="I3" s="82" t="s">
        <v>7</v>
      </c>
      <c r="J3" s="82" t="s">
        <v>8</v>
      </c>
      <c r="K3" s="83" t="s">
        <v>9</v>
      </c>
      <c r="L3" s="82" t="s">
        <v>10</v>
      </c>
      <c r="M3" s="82" t="s">
        <v>12</v>
      </c>
      <c r="N3" s="82" t="s">
        <v>13</v>
      </c>
    </row>
    <row r="4" spans="2:14" hidden="1" x14ac:dyDescent="0.25">
      <c r="B4" s="86">
        <v>46083</v>
      </c>
      <c r="C4" s="87">
        <v>1</v>
      </c>
      <c r="D4" s="87" t="s">
        <v>170</v>
      </c>
      <c r="E4" s="88" t="s">
        <v>171</v>
      </c>
      <c r="F4" s="88" t="s">
        <v>166</v>
      </c>
      <c r="G4" s="87" t="s">
        <v>111</v>
      </c>
      <c r="H4" s="87">
        <v>79</v>
      </c>
      <c r="I4" s="88" t="s">
        <v>169</v>
      </c>
      <c r="J4" s="87">
        <v>2534</v>
      </c>
      <c r="K4" s="89">
        <v>740.69</v>
      </c>
      <c r="L4" s="87" t="s">
        <v>1889</v>
      </c>
      <c r="M4" s="88" t="str">
        <f>_xlfn.CONCAT(F4&amp;G4&amp;I4)</f>
        <v>GRANORTEBEIRA RIOPULMÃOZINHO</v>
      </c>
      <c r="N4" s="90" t="s">
        <v>111</v>
      </c>
    </row>
    <row r="5" spans="2:14" hidden="1" x14ac:dyDescent="0.25">
      <c r="B5" s="91">
        <v>46083</v>
      </c>
      <c r="C5" s="63">
        <v>1</v>
      </c>
      <c r="D5" s="63" t="s">
        <v>196</v>
      </c>
      <c r="E5" s="65" t="s">
        <v>197</v>
      </c>
      <c r="F5" s="65" t="s">
        <v>163</v>
      </c>
      <c r="G5" s="63" t="s">
        <v>164</v>
      </c>
      <c r="H5" s="63">
        <v>52</v>
      </c>
      <c r="I5" s="65" t="s">
        <v>195</v>
      </c>
      <c r="J5" s="63">
        <v>5098</v>
      </c>
      <c r="K5" s="64">
        <v>980.86</v>
      </c>
      <c r="L5" s="63" t="s">
        <v>1890</v>
      </c>
      <c r="M5" s="65" t="str">
        <f t="shared" ref="M5:M68" si="0">_xlfn.CONCAT(F5&amp;G5&amp;I5)</f>
        <v>BRASIL MINERACAOUA SAO LUISBRITA 1</v>
      </c>
      <c r="N5" s="85" t="s">
        <v>224</v>
      </c>
    </row>
    <row r="6" spans="2:14" hidden="1" x14ac:dyDescent="0.25">
      <c r="B6" s="91">
        <v>46083</v>
      </c>
      <c r="C6" s="63">
        <v>1</v>
      </c>
      <c r="D6" s="63" t="s">
        <v>199</v>
      </c>
      <c r="E6" s="65" t="s">
        <v>180</v>
      </c>
      <c r="F6" s="65" t="s">
        <v>166</v>
      </c>
      <c r="G6" s="63" t="s">
        <v>111</v>
      </c>
      <c r="H6" s="63">
        <v>79</v>
      </c>
      <c r="I6" s="65" t="s">
        <v>169</v>
      </c>
      <c r="J6" s="63">
        <v>2634</v>
      </c>
      <c r="K6" s="64">
        <v>769.92</v>
      </c>
      <c r="L6" s="63" t="s">
        <v>1891</v>
      </c>
      <c r="M6" s="65" t="str">
        <f t="shared" si="0"/>
        <v>GRANORTEBEIRA RIOPULMÃOZINHO</v>
      </c>
      <c r="N6" s="85" t="s">
        <v>111</v>
      </c>
    </row>
    <row r="7" spans="2:14" hidden="1" x14ac:dyDescent="0.25">
      <c r="B7" s="91">
        <v>46083</v>
      </c>
      <c r="C7" s="63">
        <v>1</v>
      </c>
      <c r="D7" s="63" t="s">
        <v>181</v>
      </c>
      <c r="E7" s="65" t="s">
        <v>182</v>
      </c>
      <c r="F7" s="65" t="s">
        <v>166</v>
      </c>
      <c r="G7" s="63" t="s">
        <v>824</v>
      </c>
      <c r="H7" s="63">
        <v>78</v>
      </c>
      <c r="I7" s="65" t="s">
        <v>169</v>
      </c>
      <c r="J7" s="63">
        <v>2584</v>
      </c>
      <c r="K7" s="64">
        <v>745.74</v>
      </c>
      <c r="L7" s="63" t="s">
        <v>1892</v>
      </c>
      <c r="M7" s="65" t="str">
        <f t="shared" si="0"/>
        <v>GRANORTECRUZAMENTO MA 201/202 (METROPOLITANA)PULMÃOZINHO</v>
      </c>
      <c r="N7" s="85" t="s">
        <v>108</v>
      </c>
    </row>
    <row r="8" spans="2:14" hidden="1" x14ac:dyDescent="0.25">
      <c r="B8" s="91">
        <v>46083</v>
      </c>
      <c r="C8" s="63">
        <v>1</v>
      </c>
      <c r="D8" s="63" t="s">
        <v>196</v>
      </c>
      <c r="E8" s="65" t="s">
        <v>197</v>
      </c>
      <c r="F8" s="65" t="s">
        <v>163</v>
      </c>
      <c r="G8" s="63" t="s">
        <v>164</v>
      </c>
      <c r="H8" s="63">
        <v>52</v>
      </c>
      <c r="I8" s="65" t="s">
        <v>165</v>
      </c>
      <c r="J8" s="63">
        <v>4958</v>
      </c>
      <c r="K8" s="64">
        <v>953.92</v>
      </c>
      <c r="L8" s="63" t="s">
        <v>1893</v>
      </c>
      <c r="M8" s="65" t="str">
        <f t="shared" si="0"/>
        <v>BRASIL MINERACAOUA SAO LUISPÓ DE BRITA</v>
      </c>
      <c r="N8" s="85" t="s">
        <v>224</v>
      </c>
    </row>
    <row r="9" spans="2:14" hidden="1" x14ac:dyDescent="0.25">
      <c r="B9" s="91">
        <v>46083</v>
      </c>
      <c r="C9" s="63">
        <v>1</v>
      </c>
      <c r="D9" s="63" t="s">
        <v>210</v>
      </c>
      <c r="E9" s="65" t="s">
        <v>211</v>
      </c>
      <c r="F9" s="65" t="s">
        <v>163</v>
      </c>
      <c r="G9" s="63" t="s">
        <v>164</v>
      </c>
      <c r="H9" s="63">
        <v>52</v>
      </c>
      <c r="I9" s="65" t="s">
        <v>195</v>
      </c>
      <c r="J9" s="63">
        <v>4512</v>
      </c>
      <c r="K9" s="64">
        <v>868.11</v>
      </c>
      <c r="L9" s="63" t="s">
        <v>1894</v>
      </c>
      <c r="M9" s="65" t="str">
        <f t="shared" si="0"/>
        <v>BRASIL MINERACAOUA SAO LUISBRITA 1</v>
      </c>
      <c r="N9" s="85" t="s">
        <v>224</v>
      </c>
    </row>
    <row r="10" spans="2:14" hidden="1" x14ac:dyDescent="0.25">
      <c r="B10" s="91">
        <v>46083</v>
      </c>
      <c r="C10" s="63">
        <v>1</v>
      </c>
      <c r="D10" s="63" t="s">
        <v>183</v>
      </c>
      <c r="E10" s="65" t="s">
        <v>506</v>
      </c>
      <c r="F10" s="65" t="s">
        <v>166</v>
      </c>
      <c r="G10" s="63" t="s">
        <v>111</v>
      </c>
      <c r="H10" s="63">
        <v>79</v>
      </c>
      <c r="I10" s="65" t="s">
        <v>169</v>
      </c>
      <c r="J10" s="63">
        <v>2706</v>
      </c>
      <c r="K10" s="64">
        <v>790.96</v>
      </c>
      <c r="L10" s="63" t="s">
        <v>1895</v>
      </c>
      <c r="M10" s="65" t="str">
        <f t="shared" si="0"/>
        <v>GRANORTEBEIRA RIOPULMÃOZINHO</v>
      </c>
      <c r="N10" s="85" t="s">
        <v>111</v>
      </c>
    </row>
    <row r="11" spans="2:14" hidden="1" x14ac:dyDescent="0.25">
      <c r="B11" s="91">
        <v>46083</v>
      </c>
      <c r="C11" s="63">
        <v>1</v>
      </c>
      <c r="D11" s="63" t="s">
        <v>183</v>
      </c>
      <c r="E11" s="65" t="s">
        <v>506</v>
      </c>
      <c r="F11" s="65" t="s">
        <v>163</v>
      </c>
      <c r="G11" s="63" t="s">
        <v>164</v>
      </c>
      <c r="H11" s="63">
        <v>52</v>
      </c>
      <c r="I11" s="65" t="s">
        <v>175</v>
      </c>
      <c r="J11" s="63">
        <v>265</v>
      </c>
      <c r="K11" s="64">
        <v>509.86</v>
      </c>
      <c r="L11" s="63" t="s">
        <v>1896</v>
      </c>
      <c r="M11" s="65" t="str">
        <f t="shared" si="0"/>
        <v>BRASIL MINERACAOUA SAO LUISBRITA 0</v>
      </c>
      <c r="N11" s="85" t="s">
        <v>224</v>
      </c>
    </row>
    <row r="12" spans="2:14" hidden="1" x14ac:dyDescent="0.25">
      <c r="B12" s="91">
        <v>46083</v>
      </c>
      <c r="C12" s="63">
        <v>1</v>
      </c>
      <c r="D12" s="63" t="s">
        <v>186</v>
      </c>
      <c r="E12" s="65" t="s">
        <v>187</v>
      </c>
      <c r="F12" s="65" t="s">
        <v>166</v>
      </c>
      <c r="G12" s="63" t="s">
        <v>164</v>
      </c>
      <c r="H12" s="63">
        <v>58</v>
      </c>
      <c r="I12" s="65" t="s">
        <v>175</v>
      </c>
      <c r="J12" s="63">
        <v>4982</v>
      </c>
      <c r="K12" s="64">
        <v>1069.1400000000001</v>
      </c>
      <c r="L12" s="63" t="s">
        <v>1897</v>
      </c>
      <c r="M12" s="65" t="str">
        <f t="shared" si="0"/>
        <v>GRANORTEUA SAO LUISBRITA 0</v>
      </c>
      <c r="N12" s="85" t="s">
        <v>224</v>
      </c>
    </row>
    <row r="13" spans="2:14" hidden="1" x14ac:dyDescent="0.25">
      <c r="B13" s="91">
        <v>46083</v>
      </c>
      <c r="C13" s="63">
        <v>1</v>
      </c>
      <c r="D13" s="63" t="s">
        <v>186</v>
      </c>
      <c r="E13" s="65" t="s">
        <v>187</v>
      </c>
      <c r="F13" s="65" t="s">
        <v>166</v>
      </c>
      <c r="G13" s="63" t="s">
        <v>164</v>
      </c>
      <c r="H13" s="63">
        <v>58</v>
      </c>
      <c r="I13" s="65" t="s">
        <v>175</v>
      </c>
      <c r="J13" s="63">
        <v>6502</v>
      </c>
      <c r="K13" s="64">
        <v>1395.33</v>
      </c>
      <c r="L13" s="63" t="s">
        <v>1898</v>
      </c>
      <c r="M13" s="65" t="str">
        <f t="shared" si="0"/>
        <v>GRANORTEUA SAO LUISBRITA 0</v>
      </c>
      <c r="N13" s="85" t="s">
        <v>224</v>
      </c>
    </row>
    <row r="14" spans="2:14" hidden="1" x14ac:dyDescent="0.25">
      <c r="B14" s="91">
        <v>46083</v>
      </c>
      <c r="C14" s="63">
        <v>1</v>
      </c>
      <c r="D14" s="63" t="s">
        <v>192</v>
      </c>
      <c r="E14" s="65" t="s">
        <v>287</v>
      </c>
      <c r="F14" s="65" t="s">
        <v>163</v>
      </c>
      <c r="G14" s="63" t="s">
        <v>164</v>
      </c>
      <c r="H14" s="63">
        <v>52</v>
      </c>
      <c r="I14" s="65" t="s">
        <v>175</v>
      </c>
      <c r="J14" s="63">
        <v>488</v>
      </c>
      <c r="K14" s="64">
        <v>938.91</v>
      </c>
      <c r="L14" s="63" t="s">
        <v>972</v>
      </c>
      <c r="M14" s="65" t="str">
        <f t="shared" si="0"/>
        <v>BRASIL MINERACAOUA SAO LUISBRITA 0</v>
      </c>
      <c r="N14" s="85" t="s">
        <v>224</v>
      </c>
    </row>
    <row r="15" spans="2:14" hidden="1" x14ac:dyDescent="0.25">
      <c r="B15" s="91">
        <v>46083</v>
      </c>
      <c r="C15" s="63">
        <v>1</v>
      </c>
      <c r="D15" s="63" t="s">
        <v>192</v>
      </c>
      <c r="E15" s="65" t="s">
        <v>287</v>
      </c>
      <c r="F15" s="65" t="s">
        <v>163</v>
      </c>
      <c r="G15" s="63" t="s">
        <v>164</v>
      </c>
      <c r="H15" s="63">
        <v>52</v>
      </c>
      <c r="I15" s="65" t="s">
        <v>175</v>
      </c>
      <c r="J15" s="63">
        <v>4838</v>
      </c>
      <c r="K15" s="64">
        <v>930.83</v>
      </c>
      <c r="L15" s="63" t="s">
        <v>1899</v>
      </c>
      <c r="M15" s="65" t="str">
        <f t="shared" si="0"/>
        <v>BRASIL MINERACAOUA SAO LUISBRITA 0</v>
      </c>
      <c r="N15" s="85" t="s">
        <v>224</v>
      </c>
    </row>
    <row r="16" spans="2:14" hidden="1" x14ac:dyDescent="0.25">
      <c r="B16" s="91">
        <v>46083</v>
      </c>
      <c r="C16" s="63">
        <v>1</v>
      </c>
      <c r="D16" s="63" t="s">
        <v>183</v>
      </c>
      <c r="E16" s="65" t="s">
        <v>506</v>
      </c>
      <c r="F16" s="65" t="s">
        <v>166</v>
      </c>
      <c r="G16" s="63" t="s">
        <v>111</v>
      </c>
      <c r="H16" s="63">
        <v>79</v>
      </c>
      <c r="I16" s="65" t="s">
        <v>169</v>
      </c>
      <c r="J16" s="63">
        <v>2634</v>
      </c>
      <c r="K16" s="64">
        <v>769.92</v>
      </c>
      <c r="L16" s="63" t="s">
        <v>1900</v>
      </c>
      <c r="M16" s="65" t="str">
        <f t="shared" si="0"/>
        <v>GRANORTEBEIRA RIOPULMÃOZINHO</v>
      </c>
      <c r="N16" s="85" t="s">
        <v>111</v>
      </c>
    </row>
    <row r="17" spans="2:14" hidden="1" x14ac:dyDescent="0.25">
      <c r="B17" s="91">
        <v>46084</v>
      </c>
      <c r="C17" s="63">
        <v>1</v>
      </c>
      <c r="D17" s="63" t="s">
        <v>170</v>
      </c>
      <c r="E17" s="65" t="s">
        <v>171</v>
      </c>
      <c r="F17" s="65" t="s">
        <v>166</v>
      </c>
      <c r="G17" s="63" t="s">
        <v>111</v>
      </c>
      <c r="H17" s="63">
        <v>79</v>
      </c>
      <c r="I17" s="65" t="s">
        <v>169</v>
      </c>
      <c r="J17" s="63">
        <v>245</v>
      </c>
      <c r="K17" s="64">
        <v>716.14</v>
      </c>
      <c r="L17" s="63" t="s">
        <v>1901</v>
      </c>
      <c r="M17" s="65" t="str">
        <f t="shared" si="0"/>
        <v>GRANORTEBEIRA RIOPULMÃOZINHO</v>
      </c>
      <c r="N17" s="85" t="s">
        <v>111</v>
      </c>
    </row>
    <row r="18" spans="2:14" hidden="1" x14ac:dyDescent="0.25">
      <c r="B18" s="91">
        <v>46084</v>
      </c>
      <c r="C18" s="63">
        <v>1</v>
      </c>
      <c r="D18" s="63" t="s">
        <v>192</v>
      </c>
      <c r="E18" s="65" t="s">
        <v>287</v>
      </c>
      <c r="F18" s="65" t="s">
        <v>163</v>
      </c>
      <c r="G18" s="63" t="s">
        <v>164</v>
      </c>
      <c r="H18" s="63">
        <v>52</v>
      </c>
      <c r="I18" s="65" t="s">
        <v>175</v>
      </c>
      <c r="J18" s="63">
        <v>4862</v>
      </c>
      <c r="K18" s="64">
        <v>935.45</v>
      </c>
      <c r="L18" s="63" t="s">
        <v>1902</v>
      </c>
      <c r="M18" s="65" t="str">
        <f t="shared" si="0"/>
        <v>BRASIL MINERACAOUA SAO LUISBRITA 0</v>
      </c>
      <c r="N18" s="85" t="s">
        <v>224</v>
      </c>
    </row>
    <row r="19" spans="2:14" hidden="1" x14ac:dyDescent="0.25">
      <c r="B19" s="91">
        <v>46084</v>
      </c>
      <c r="C19" s="63">
        <v>1</v>
      </c>
      <c r="D19" s="63" t="s">
        <v>173</v>
      </c>
      <c r="E19" s="65" t="s">
        <v>174</v>
      </c>
      <c r="F19" s="65" t="s">
        <v>166</v>
      </c>
      <c r="G19" s="63" t="s">
        <v>111</v>
      </c>
      <c r="H19" s="63">
        <v>79</v>
      </c>
      <c r="I19" s="65" t="s">
        <v>169</v>
      </c>
      <c r="J19" s="63">
        <v>2582</v>
      </c>
      <c r="K19" s="64">
        <v>754.72</v>
      </c>
      <c r="L19" s="63" t="s">
        <v>1903</v>
      </c>
      <c r="M19" s="65" t="str">
        <f t="shared" si="0"/>
        <v>GRANORTEBEIRA RIOPULMÃOZINHO</v>
      </c>
      <c r="N19" s="85" t="s">
        <v>111</v>
      </c>
    </row>
    <row r="20" spans="2:14" hidden="1" x14ac:dyDescent="0.25">
      <c r="B20" s="91">
        <v>46084</v>
      </c>
      <c r="C20" s="63">
        <v>1</v>
      </c>
      <c r="D20" s="63" t="s">
        <v>199</v>
      </c>
      <c r="E20" s="65" t="s">
        <v>180</v>
      </c>
      <c r="F20" s="65" t="s">
        <v>166</v>
      </c>
      <c r="G20" s="63" t="s">
        <v>111</v>
      </c>
      <c r="H20" s="63">
        <v>79</v>
      </c>
      <c r="I20" s="65" t="s">
        <v>169</v>
      </c>
      <c r="J20" s="63">
        <v>2742</v>
      </c>
      <c r="K20" s="64">
        <v>801.49</v>
      </c>
      <c r="L20" s="63" t="s">
        <v>1904</v>
      </c>
      <c r="M20" s="65" t="str">
        <f t="shared" si="0"/>
        <v>GRANORTEBEIRA RIOPULMÃOZINHO</v>
      </c>
      <c r="N20" s="85" t="s">
        <v>111</v>
      </c>
    </row>
    <row r="21" spans="2:14" hidden="1" x14ac:dyDescent="0.25">
      <c r="B21" s="91">
        <v>46084</v>
      </c>
      <c r="C21" s="63">
        <v>1</v>
      </c>
      <c r="D21" s="63" t="s">
        <v>162</v>
      </c>
      <c r="E21" s="65" t="s">
        <v>281</v>
      </c>
      <c r="F21" s="65" t="s">
        <v>166</v>
      </c>
      <c r="G21" s="63" t="s">
        <v>111</v>
      </c>
      <c r="H21" s="63">
        <v>79</v>
      </c>
      <c r="I21" s="65" t="s">
        <v>169</v>
      </c>
      <c r="J21" s="63">
        <v>2464</v>
      </c>
      <c r="K21" s="64">
        <v>720.23</v>
      </c>
      <c r="L21" s="63" t="s">
        <v>1905</v>
      </c>
      <c r="M21" s="65" t="str">
        <f t="shared" si="0"/>
        <v>GRANORTEBEIRA RIOPULMÃOZINHO</v>
      </c>
      <c r="N21" s="85" t="s">
        <v>111</v>
      </c>
    </row>
    <row r="22" spans="2:14" hidden="1" x14ac:dyDescent="0.25">
      <c r="B22" s="91">
        <v>46084</v>
      </c>
      <c r="C22" s="63">
        <v>1</v>
      </c>
      <c r="D22" s="63" t="s">
        <v>203</v>
      </c>
      <c r="E22" s="65" t="s">
        <v>204</v>
      </c>
      <c r="F22" s="65" t="s">
        <v>166</v>
      </c>
      <c r="G22" s="63" t="s">
        <v>164</v>
      </c>
      <c r="H22" s="63">
        <v>58</v>
      </c>
      <c r="I22" s="65" t="s">
        <v>165</v>
      </c>
      <c r="J22" s="63">
        <v>4536</v>
      </c>
      <c r="K22" s="64">
        <v>973.43</v>
      </c>
      <c r="L22" s="63" t="s">
        <v>1906</v>
      </c>
      <c r="M22" s="65" t="str">
        <f t="shared" si="0"/>
        <v>GRANORTEUA SAO LUISPÓ DE BRITA</v>
      </c>
      <c r="N22" s="85" t="s">
        <v>224</v>
      </c>
    </row>
    <row r="23" spans="2:14" hidden="1" x14ac:dyDescent="0.25">
      <c r="B23" s="91">
        <v>46084</v>
      </c>
      <c r="C23" s="63">
        <v>1</v>
      </c>
      <c r="D23" s="63" t="s">
        <v>219</v>
      </c>
      <c r="E23" s="65" t="s">
        <v>220</v>
      </c>
      <c r="F23" s="65" t="s">
        <v>166</v>
      </c>
      <c r="G23" s="63" t="s">
        <v>164</v>
      </c>
      <c r="H23" s="63">
        <v>58</v>
      </c>
      <c r="I23" s="65" t="s">
        <v>175</v>
      </c>
      <c r="J23" s="63">
        <v>775</v>
      </c>
      <c r="K23" s="64">
        <v>1663.15</v>
      </c>
      <c r="L23" s="63" t="s">
        <v>1907</v>
      </c>
      <c r="M23" s="65" t="str">
        <f t="shared" si="0"/>
        <v>GRANORTEUA SAO LUISBRITA 0</v>
      </c>
      <c r="N23" s="85" t="s">
        <v>224</v>
      </c>
    </row>
    <row r="24" spans="2:14" hidden="1" x14ac:dyDescent="0.25">
      <c r="B24" s="91">
        <v>46084</v>
      </c>
      <c r="C24" s="63">
        <v>1</v>
      </c>
      <c r="D24" s="63" t="s">
        <v>219</v>
      </c>
      <c r="E24" s="65" t="s">
        <v>220</v>
      </c>
      <c r="F24" s="65" t="s">
        <v>166</v>
      </c>
      <c r="G24" s="63" t="s">
        <v>164</v>
      </c>
      <c r="H24" s="63">
        <v>58</v>
      </c>
      <c r="I24" s="65" t="s">
        <v>175</v>
      </c>
      <c r="J24" s="63">
        <v>363</v>
      </c>
      <c r="K24" s="64">
        <v>779</v>
      </c>
      <c r="L24" s="63" t="s">
        <v>1908</v>
      </c>
      <c r="M24" s="65" t="str">
        <f t="shared" si="0"/>
        <v>GRANORTEUA SAO LUISBRITA 0</v>
      </c>
      <c r="N24" s="85" t="s">
        <v>224</v>
      </c>
    </row>
    <row r="25" spans="2:14" hidden="1" x14ac:dyDescent="0.25">
      <c r="B25" s="91">
        <v>46084</v>
      </c>
      <c r="C25" s="63">
        <v>1</v>
      </c>
      <c r="D25" s="63" t="s">
        <v>219</v>
      </c>
      <c r="E25" s="65" t="s">
        <v>220</v>
      </c>
      <c r="F25" s="65" t="s">
        <v>166</v>
      </c>
      <c r="G25" s="63" t="s">
        <v>164</v>
      </c>
      <c r="H25" s="63">
        <v>58</v>
      </c>
      <c r="I25" s="65" t="s">
        <v>175</v>
      </c>
      <c r="J25" s="63">
        <v>400</v>
      </c>
      <c r="K25" s="64">
        <v>858.4</v>
      </c>
      <c r="L25" s="63" t="s">
        <v>1909</v>
      </c>
      <c r="M25" s="65" t="str">
        <f t="shared" si="0"/>
        <v>GRANORTEUA SAO LUISBRITA 0</v>
      </c>
      <c r="N25" s="85" t="s">
        <v>224</v>
      </c>
    </row>
    <row r="26" spans="2:14" hidden="1" x14ac:dyDescent="0.25">
      <c r="B26" s="91">
        <v>46084</v>
      </c>
      <c r="C26" s="63">
        <v>1</v>
      </c>
      <c r="D26" s="63" t="s">
        <v>219</v>
      </c>
      <c r="E26" s="65" t="s">
        <v>220</v>
      </c>
      <c r="F26" s="65" t="s">
        <v>166</v>
      </c>
      <c r="G26" s="63" t="s">
        <v>164</v>
      </c>
      <c r="H26" s="63">
        <v>58</v>
      </c>
      <c r="I26" s="65" t="s">
        <v>175</v>
      </c>
      <c r="J26" s="63">
        <v>379</v>
      </c>
      <c r="K26" s="64">
        <v>813.33</v>
      </c>
      <c r="L26" s="63" t="s">
        <v>1910</v>
      </c>
      <c r="M26" s="65" t="str">
        <f t="shared" si="0"/>
        <v>GRANORTEUA SAO LUISBRITA 0</v>
      </c>
      <c r="N26" s="85" t="s">
        <v>224</v>
      </c>
    </row>
    <row r="27" spans="2:14" hidden="1" x14ac:dyDescent="0.25">
      <c r="B27" s="91">
        <v>46084</v>
      </c>
      <c r="C27" s="63">
        <v>1</v>
      </c>
      <c r="D27" s="63" t="s">
        <v>199</v>
      </c>
      <c r="E27" s="65" t="s">
        <v>180</v>
      </c>
      <c r="F27" s="65" t="s">
        <v>166</v>
      </c>
      <c r="G27" s="63" t="s">
        <v>111</v>
      </c>
      <c r="H27" s="63">
        <v>79</v>
      </c>
      <c r="I27" s="65" t="s">
        <v>169</v>
      </c>
      <c r="J27" s="63">
        <v>284</v>
      </c>
      <c r="K27" s="64">
        <v>830.13</v>
      </c>
      <c r="L27" s="63" t="s">
        <v>1911</v>
      </c>
      <c r="M27" s="65" t="str">
        <f t="shared" si="0"/>
        <v>GRANORTEBEIRA RIOPULMÃOZINHO</v>
      </c>
      <c r="N27" s="85" t="s">
        <v>111</v>
      </c>
    </row>
    <row r="28" spans="2:14" hidden="1" x14ac:dyDescent="0.25">
      <c r="B28" s="91">
        <v>46084</v>
      </c>
      <c r="C28" s="63">
        <v>1</v>
      </c>
      <c r="D28" s="63" t="s">
        <v>162</v>
      </c>
      <c r="E28" s="65" t="s">
        <v>281</v>
      </c>
      <c r="F28" s="65" t="s">
        <v>166</v>
      </c>
      <c r="G28" s="63" t="s">
        <v>164</v>
      </c>
      <c r="H28" s="63">
        <v>58</v>
      </c>
      <c r="I28" s="65" t="s">
        <v>169</v>
      </c>
      <c r="J28" s="63">
        <v>2644</v>
      </c>
      <c r="K28" s="64">
        <v>567.4</v>
      </c>
      <c r="L28" s="63" t="s">
        <v>1912</v>
      </c>
      <c r="M28" s="65" t="str">
        <f t="shared" si="0"/>
        <v>GRANORTEUA SAO LUISPULMÃOZINHO</v>
      </c>
      <c r="N28" s="85" t="s">
        <v>224</v>
      </c>
    </row>
    <row r="29" spans="2:14" hidden="1" x14ac:dyDescent="0.25">
      <c r="B29" s="91">
        <v>46084</v>
      </c>
      <c r="C29" s="63">
        <v>1</v>
      </c>
      <c r="D29" s="63" t="s">
        <v>208</v>
      </c>
      <c r="E29" s="65" t="s">
        <v>209</v>
      </c>
      <c r="F29" s="65" t="s">
        <v>163</v>
      </c>
      <c r="G29" s="63" t="s">
        <v>164</v>
      </c>
      <c r="H29" s="63">
        <v>52</v>
      </c>
      <c r="I29" s="65" t="s">
        <v>165</v>
      </c>
      <c r="J29" s="63">
        <v>580</v>
      </c>
      <c r="K29" s="64">
        <v>1115.92</v>
      </c>
      <c r="L29" s="63" t="s">
        <v>1913</v>
      </c>
      <c r="M29" s="65" t="str">
        <f t="shared" si="0"/>
        <v>BRASIL MINERACAOUA SAO LUISPÓ DE BRITA</v>
      </c>
      <c r="N29" s="85" t="s">
        <v>224</v>
      </c>
    </row>
    <row r="30" spans="2:14" hidden="1" x14ac:dyDescent="0.25">
      <c r="B30" s="91">
        <v>46084</v>
      </c>
      <c r="C30" s="63">
        <v>1</v>
      </c>
      <c r="D30" s="63" t="s">
        <v>196</v>
      </c>
      <c r="E30" s="65" t="s">
        <v>197</v>
      </c>
      <c r="F30" s="65" t="s">
        <v>163</v>
      </c>
      <c r="G30" s="63" t="s">
        <v>164</v>
      </c>
      <c r="H30" s="63">
        <v>52</v>
      </c>
      <c r="I30" s="65" t="s">
        <v>165</v>
      </c>
      <c r="J30" s="63">
        <v>4734</v>
      </c>
      <c r="K30" s="64">
        <v>910.82</v>
      </c>
      <c r="L30" s="63" t="s">
        <v>1914</v>
      </c>
      <c r="M30" s="65" t="str">
        <f t="shared" si="0"/>
        <v>BRASIL MINERACAOUA SAO LUISPÓ DE BRITA</v>
      </c>
      <c r="N30" s="85" t="s">
        <v>224</v>
      </c>
    </row>
    <row r="31" spans="2:14" hidden="1" x14ac:dyDescent="0.25">
      <c r="B31" s="91">
        <v>46084</v>
      </c>
      <c r="C31" s="63">
        <v>1</v>
      </c>
      <c r="D31" s="63" t="s">
        <v>181</v>
      </c>
      <c r="E31" s="65" t="s">
        <v>182</v>
      </c>
      <c r="F31" s="65" t="s">
        <v>166</v>
      </c>
      <c r="G31" s="63" t="s">
        <v>824</v>
      </c>
      <c r="H31" s="63">
        <v>78</v>
      </c>
      <c r="I31" s="65" t="s">
        <v>169</v>
      </c>
      <c r="J31" s="63">
        <v>252</v>
      </c>
      <c r="K31" s="64">
        <v>727.27</v>
      </c>
      <c r="L31" s="63" t="s">
        <v>1915</v>
      </c>
      <c r="M31" s="65" t="str">
        <f t="shared" si="0"/>
        <v>GRANORTECRUZAMENTO MA 201/202 (METROPOLITANA)PULMÃOZINHO</v>
      </c>
      <c r="N31" s="85" t="s">
        <v>108</v>
      </c>
    </row>
    <row r="32" spans="2:14" hidden="1" x14ac:dyDescent="0.25">
      <c r="B32" s="91">
        <v>46084</v>
      </c>
      <c r="C32" s="63">
        <v>1</v>
      </c>
      <c r="D32" s="63" t="s">
        <v>181</v>
      </c>
      <c r="E32" s="65" t="s">
        <v>182</v>
      </c>
      <c r="F32" s="65" t="s">
        <v>166</v>
      </c>
      <c r="G32" s="63" t="s">
        <v>824</v>
      </c>
      <c r="H32" s="63">
        <v>78</v>
      </c>
      <c r="I32" s="65" t="s">
        <v>169</v>
      </c>
      <c r="J32" s="63">
        <v>2542</v>
      </c>
      <c r="K32" s="64">
        <v>733.62</v>
      </c>
      <c r="L32" s="63" t="s">
        <v>1916</v>
      </c>
      <c r="M32" s="65" t="str">
        <f t="shared" si="0"/>
        <v>GRANORTECRUZAMENTO MA 201/202 (METROPOLITANA)PULMÃOZINHO</v>
      </c>
      <c r="N32" s="85" t="s">
        <v>108</v>
      </c>
    </row>
    <row r="33" spans="2:14" hidden="1" x14ac:dyDescent="0.25">
      <c r="B33" s="91">
        <v>46084</v>
      </c>
      <c r="C33" s="63">
        <v>1</v>
      </c>
      <c r="D33" s="63" t="s">
        <v>192</v>
      </c>
      <c r="E33" s="65" t="s">
        <v>287</v>
      </c>
      <c r="F33" s="65" t="s">
        <v>163</v>
      </c>
      <c r="G33" s="63" t="s">
        <v>164</v>
      </c>
      <c r="H33" s="63">
        <v>52</v>
      </c>
      <c r="I33" s="65" t="s">
        <v>175</v>
      </c>
      <c r="J33" s="63">
        <v>479</v>
      </c>
      <c r="K33" s="64">
        <v>921.6</v>
      </c>
      <c r="L33" s="63" t="s">
        <v>1917</v>
      </c>
      <c r="M33" s="65" t="str">
        <f t="shared" si="0"/>
        <v>BRASIL MINERACAOUA SAO LUISBRITA 0</v>
      </c>
      <c r="N33" s="85" t="s">
        <v>224</v>
      </c>
    </row>
    <row r="34" spans="2:14" hidden="1" x14ac:dyDescent="0.25">
      <c r="B34" s="91">
        <v>46084</v>
      </c>
      <c r="C34" s="63">
        <v>1</v>
      </c>
      <c r="D34" s="63" t="s">
        <v>283</v>
      </c>
      <c r="E34" s="65" t="s">
        <v>215</v>
      </c>
      <c r="F34" s="65" t="s">
        <v>166</v>
      </c>
      <c r="G34" s="63" t="s">
        <v>164</v>
      </c>
      <c r="H34" s="63">
        <v>58</v>
      </c>
      <c r="I34" s="65" t="s">
        <v>175</v>
      </c>
      <c r="J34" s="63">
        <v>2611</v>
      </c>
      <c r="K34" s="64">
        <v>560.32000000000005</v>
      </c>
      <c r="L34" s="63" t="s">
        <v>1918</v>
      </c>
      <c r="M34" s="65" t="str">
        <f t="shared" si="0"/>
        <v>GRANORTEUA SAO LUISBRITA 0</v>
      </c>
      <c r="N34" s="85" t="s">
        <v>224</v>
      </c>
    </row>
    <row r="35" spans="2:14" hidden="1" x14ac:dyDescent="0.25">
      <c r="B35" s="91">
        <v>46084</v>
      </c>
      <c r="C35" s="63">
        <v>1</v>
      </c>
      <c r="D35" s="63" t="s">
        <v>283</v>
      </c>
      <c r="E35" s="65" t="s">
        <v>215</v>
      </c>
      <c r="F35" s="65" t="s">
        <v>166</v>
      </c>
      <c r="G35" s="63" t="s">
        <v>164</v>
      </c>
      <c r="H35" s="63">
        <v>58</v>
      </c>
      <c r="I35" s="65" t="s">
        <v>175</v>
      </c>
      <c r="J35" s="63">
        <v>2646</v>
      </c>
      <c r="K35" s="64">
        <v>567.83000000000004</v>
      </c>
      <c r="L35" s="63" t="s">
        <v>1919</v>
      </c>
      <c r="M35" s="65" t="str">
        <f t="shared" si="0"/>
        <v>GRANORTEUA SAO LUISBRITA 0</v>
      </c>
      <c r="N35" s="85" t="s">
        <v>224</v>
      </c>
    </row>
    <row r="36" spans="2:14" hidden="1" x14ac:dyDescent="0.25">
      <c r="B36" s="91">
        <v>46084</v>
      </c>
      <c r="C36" s="63">
        <v>1</v>
      </c>
      <c r="D36" s="63" t="s">
        <v>205</v>
      </c>
      <c r="E36" s="65" t="s">
        <v>206</v>
      </c>
      <c r="F36" s="65" t="s">
        <v>276</v>
      </c>
      <c r="G36" s="63" t="s">
        <v>919</v>
      </c>
      <c r="H36" s="63">
        <v>358</v>
      </c>
      <c r="I36" s="65" t="s">
        <v>172</v>
      </c>
      <c r="J36" s="63">
        <v>6546</v>
      </c>
      <c r="K36" s="64">
        <v>7499.1</v>
      </c>
      <c r="L36" s="63" t="s">
        <v>1920</v>
      </c>
      <c r="M36" s="65" t="str">
        <f t="shared" si="0"/>
        <v>MINERADORA PORTO FRANCOVALE NOVA VIDA KM356BICA CORRIDA</v>
      </c>
      <c r="N36" s="85" t="s">
        <v>15</v>
      </c>
    </row>
    <row r="37" spans="2:14" hidden="1" x14ac:dyDescent="0.25">
      <c r="B37" s="91">
        <v>46084</v>
      </c>
      <c r="C37" s="63">
        <v>1</v>
      </c>
      <c r="D37" s="63" t="s">
        <v>188</v>
      </c>
      <c r="E37" s="65" t="s">
        <v>189</v>
      </c>
      <c r="F37" s="65" t="s">
        <v>166</v>
      </c>
      <c r="G37" s="63" t="s">
        <v>164</v>
      </c>
      <c r="H37" s="63">
        <v>58</v>
      </c>
      <c r="I37" s="65" t="s">
        <v>175</v>
      </c>
      <c r="J37" s="63">
        <v>798</v>
      </c>
      <c r="K37" s="64">
        <v>1712.51</v>
      </c>
      <c r="L37" s="63" t="s">
        <v>1921</v>
      </c>
      <c r="M37" s="65" t="str">
        <f t="shared" si="0"/>
        <v>GRANORTEUA SAO LUISBRITA 0</v>
      </c>
      <c r="N37" s="85" t="s">
        <v>224</v>
      </c>
    </row>
    <row r="38" spans="2:14" hidden="1" x14ac:dyDescent="0.25">
      <c r="B38" s="91">
        <v>46084</v>
      </c>
      <c r="C38" s="63">
        <v>1</v>
      </c>
      <c r="D38" s="63" t="s">
        <v>193</v>
      </c>
      <c r="E38" s="65" t="s">
        <v>285</v>
      </c>
      <c r="F38" s="65" t="s">
        <v>166</v>
      </c>
      <c r="G38" s="63" t="s">
        <v>111</v>
      </c>
      <c r="H38" s="63">
        <v>79</v>
      </c>
      <c r="I38" s="65" t="s">
        <v>169</v>
      </c>
      <c r="J38" s="63">
        <v>2562</v>
      </c>
      <c r="K38" s="64">
        <v>748.87</v>
      </c>
      <c r="L38" s="63" t="s">
        <v>806</v>
      </c>
      <c r="M38" s="65" t="str">
        <f t="shared" si="0"/>
        <v>GRANORTEBEIRA RIOPULMÃOZINHO</v>
      </c>
      <c r="N38" s="85" t="s">
        <v>111</v>
      </c>
    </row>
    <row r="39" spans="2:14" hidden="1" x14ac:dyDescent="0.25">
      <c r="B39" s="91">
        <v>46084</v>
      </c>
      <c r="C39" s="63">
        <v>1</v>
      </c>
      <c r="D39" s="63" t="s">
        <v>193</v>
      </c>
      <c r="E39" s="65" t="s">
        <v>285</v>
      </c>
      <c r="F39" s="65" t="s">
        <v>166</v>
      </c>
      <c r="G39" s="63" t="s">
        <v>111</v>
      </c>
      <c r="H39" s="63">
        <v>79</v>
      </c>
      <c r="I39" s="65" t="s">
        <v>169</v>
      </c>
      <c r="J39" s="63">
        <v>2545</v>
      </c>
      <c r="K39" s="64">
        <v>743.9</v>
      </c>
      <c r="L39" s="63" t="s">
        <v>1922</v>
      </c>
      <c r="M39" s="65" t="str">
        <f t="shared" si="0"/>
        <v>GRANORTEBEIRA RIOPULMÃOZINHO</v>
      </c>
      <c r="N39" s="85" t="s">
        <v>111</v>
      </c>
    </row>
    <row r="40" spans="2:14" hidden="1" x14ac:dyDescent="0.25">
      <c r="B40" s="91">
        <v>46084</v>
      </c>
      <c r="C40" s="63">
        <v>1</v>
      </c>
      <c r="D40" s="63" t="s">
        <v>183</v>
      </c>
      <c r="E40" s="65" t="s">
        <v>506</v>
      </c>
      <c r="F40" s="65" t="s">
        <v>163</v>
      </c>
      <c r="G40" s="63" t="s">
        <v>164</v>
      </c>
      <c r="H40" s="63">
        <v>52</v>
      </c>
      <c r="I40" s="65" t="s">
        <v>175</v>
      </c>
      <c r="J40" s="63">
        <v>2726</v>
      </c>
      <c r="K40" s="64">
        <v>524.48</v>
      </c>
      <c r="L40" s="63" t="s">
        <v>1923</v>
      </c>
      <c r="M40" s="65" t="str">
        <f t="shared" si="0"/>
        <v>BRASIL MINERACAOUA SAO LUISBRITA 0</v>
      </c>
      <c r="N40" s="85" t="s">
        <v>224</v>
      </c>
    </row>
    <row r="41" spans="2:14" hidden="1" x14ac:dyDescent="0.25">
      <c r="B41" s="91">
        <v>46084</v>
      </c>
      <c r="C41" s="63">
        <v>1</v>
      </c>
      <c r="D41" s="63" t="s">
        <v>183</v>
      </c>
      <c r="E41" s="65" t="s">
        <v>506</v>
      </c>
      <c r="F41" s="65" t="s">
        <v>166</v>
      </c>
      <c r="G41" s="63" t="s">
        <v>111</v>
      </c>
      <c r="H41" s="63">
        <v>79</v>
      </c>
      <c r="I41" s="65" t="s">
        <v>169</v>
      </c>
      <c r="J41" s="63">
        <v>2818</v>
      </c>
      <c r="K41" s="64">
        <v>823.7</v>
      </c>
      <c r="L41" s="63" t="s">
        <v>1924</v>
      </c>
      <c r="M41" s="65" t="str">
        <f t="shared" si="0"/>
        <v>GRANORTEBEIRA RIOPULMÃOZINHO</v>
      </c>
      <c r="N41" s="85" t="s">
        <v>111</v>
      </c>
    </row>
    <row r="42" spans="2:14" hidden="1" x14ac:dyDescent="0.25">
      <c r="B42" s="91">
        <v>46084</v>
      </c>
      <c r="C42" s="63">
        <v>1</v>
      </c>
      <c r="D42" s="63" t="s">
        <v>200</v>
      </c>
      <c r="E42" s="65" t="s">
        <v>201</v>
      </c>
      <c r="F42" s="65" t="s">
        <v>163</v>
      </c>
      <c r="G42" s="63" t="s">
        <v>164</v>
      </c>
      <c r="H42" s="63">
        <v>52</v>
      </c>
      <c r="I42" s="65" t="s">
        <v>165</v>
      </c>
      <c r="J42" s="63">
        <v>4554</v>
      </c>
      <c r="K42" s="64">
        <v>876.19</v>
      </c>
      <c r="L42" s="63" t="s">
        <v>1925</v>
      </c>
      <c r="M42" s="65" t="str">
        <f t="shared" si="0"/>
        <v>BRASIL MINERACAOUA SAO LUISPÓ DE BRITA</v>
      </c>
      <c r="N42" s="85" t="s">
        <v>224</v>
      </c>
    </row>
    <row r="43" spans="2:14" hidden="1" x14ac:dyDescent="0.25">
      <c r="B43" s="91">
        <v>46084</v>
      </c>
      <c r="C43" s="63">
        <v>1</v>
      </c>
      <c r="D43" s="63" t="s">
        <v>200</v>
      </c>
      <c r="E43" s="65" t="s">
        <v>201</v>
      </c>
      <c r="F43" s="65" t="s">
        <v>163</v>
      </c>
      <c r="G43" s="63" t="s">
        <v>164</v>
      </c>
      <c r="H43" s="63">
        <v>52</v>
      </c>
      <c r="I43" s="65" t="s">
        <v>165</v>
      </c>
      <c r="J43" s="63">
        <v>455</v>
      </c>
      <c r="K43" s="64">
        <v>875.42</v>
      </c>
      <c r="L43" s="63" t="s">
        <v>1926</v>
      </c>
      <c r="M43" s="65" t="str">
        <f t="shared" si="0"/>
        <v>BRASIL MINERACAOUA SAO LUISPÓ DE BRITA</v>
      </c>
      <c r="N43" s="85" t="s">
        <v>224</v>
      </c>
    </row>
    <row r="44" spans="2:14" hidden="1" x14ac:dyDescent="0.25">
      <c r="B44" s="91">
        <v>46085</v>
      </c>
      <c r="C44" s="63">
        <v>1</v>
      </c>
      <c r="D44" s="63" t="s">
        <v>188</v>
      </c>
      <c r="E44" s="65" t="s">
        <v>189</v>
      </c>
      <c r="F44" s="65" t="s">
        <v>166</v>
      </c>
      <c r="G44" s="63" t="s">
        <v>164</v>
      </c>
      <c r="H44" s="63">
        <v>58</v>
      </c>
      <c r="I44" s="65" t="s">
        <v>195</v>
      </c>
      <c r="J44" s="63">
        <v>4778</v>
      </c>
      <c r="K44" s="64">
        <v>1025.3599999999999</v>
      </c>
      <c r="L44" s="63" t="s">
        <v>1927</v>
      </c>
      <c r="M44" s="65" t="str">
        <f t="shared" si="0"/>
        <v>GRANORTEUA SAO LUISBRITA 1</v>
      </c>
      <c r="N44" s="85" t="s">
        <v>224</v>
      </c>
    </row>
    <row r="45" spans="2:14" hidden="1" x14ac:dyDescent="0.25">
      <c r="B45" s="91">
        <v>46085</v>
      </c>
      <c r="C45" s="63">
        <v>1</v>
      </c>
      <c r="D45" s="63" t="s">
        <v>208</v>
      </c>
      <c r="E45" s="65" t="s">
        <v>209</v>
      </c>
      <c r="F45" s="65" t="s">
        <v>166</v>
      </c>
      <c r="G45" s="63" t="s">
        <v>164</v>
      </c>
      <c r="H45" s="63">
        <v>58</v>
      </c>
      <c r="I45" s="65" t="s">
        <v>175</v>
      </c>
      <c r="J45" s="63">
        <v>580</v>
      </c>
      <c r="K45" s="64">
        <v>1244.68</v>
      </c>
      <c r="L45" s="63" t="s">
        <v>1928</v>
      </c>
      <c r="M45" s="65" t="str">
        <f t="shared" si="0"/>
        <v>GRANORTEUA SAO LUISBRITA 0</v>
      </c>
      <c r="N45" s="85" t="s">
        <v>224</v>
      </c>
    </row>
    <row r="46" spans="2:14" hidden="1" x14ac:dyDescent="0.25">
      <c r="B46" s="91">
        <v>46085</v>
      </c>
      <c r="C46" s="63">
        <v>1</v>
      </c>
      <c r="D46" s="63" t="s">
        <v>203</v>
      </c>
      <c r="E46" s="65" t="s">
        <v>204</v>
      </c>
      <c r="F46" s="65" t="s">
        <v>166</v>
      </c>
      <c r="G46" s="63" t="s">
        <v>164</v>
      </c>
      <c r="H46" s="63">
        <v>58</v>
      </c>
      <c r="I46" s="65" t="s">
        <v>165</v>
      </c>
      <c r="J46" s="63">
        <v>3026</v>
      </c>
      <c r="K46" s="64">
        <v>649.38</v>
      </c>
      <c r="L46" s="63" t="s">
        <v>1929</v>
      </c>
      <c r="M46" s="65" t="str">
        <f t="shared" si="0"/>
        <v>GRANORTEUA SAO LUISPÓ DE BRITA</v>
      </c>
      <c r="N46" s="85" t="s">
        <v>224</v>
      </c>
    </row>
    <row r="47" spans="2:14" hidden="1" x14ac:dyDescent="0.25">
      <c r="B47" s="91">
        <v>46085</v>
      </c>
      <c r="C47" s="63">
        <v>1</v>
      </c>
      <c r="D47" s="63" t="s">
        <v>170</v>
      </c>
      <c r="E47" s="65" t="s">
        <v>171</v>
      </c>
      <c r="F47" s="65" t="s">
        <v>166</v>
      </c>
      <c r="G47" s="63" t="s">
        <v>111</v>
      </c>
      <c r="H47" s="63">
        <v>79</v>
      </c>
      <c r="I47" s="65" t="s">
        <v>169</v>
      </c>
      <c r="J47" s="63">
        <v>2482</v>
      </c>
      <c r="K47" s="64">
        <v>725.49</v>
      </c>
      <c r="L47" s="63" t="s">
        <v>1930</v>
      </c>
      <c r="M47" s="65" t="str">
        <f t="shared" si="0"/>
        <v>GRANORTEBEIRA RIOPULMÃOZINHO</v>
      </c>
      <c r="N47" s="85" t="s">
        <v>111</v>
      </c>
    </row>
    <row r="48" spans="2:14" hidden="1" x14ac:dyDescent="0.25">
      <c r="B48" s="91">
        <v>46085</v>
      </c>
      <c r="C48" s="63">
        <v>1</v>
      </c>
      <c r="D48" s="63" t="s">
        <v>188</v>
      </c>
      <c r="E48" s="65" t="s">
        <v>189</v>
      </c>
      <c r="F48" s="65" t="s">
        <v>166</v>
      </c>
      <c r="G48" s="63" t="s">
        <v>164</v>
      </c>
      <c r="H48" s="63">
        <v>58</v>
      </c>
      <c r="I48" s="65" t="s">
        <v>195</v>
      </c>
      <c r="J48" s="63">
        <v>560</v>
      </c>
      <c r="K48" s="64">
        <v>1201.76</v>
      </c>
      <c r="L48" s="63" t="s">
        <v>1931</v>
      </c>
      <c r="M48" s="65" t="str">
        <f t="shared" si="0"/>
        <v>GRANORTEUA SAO LUISBRITA 1</v>
      </c>
      <c r="N48" s="85" t="s">
        <v>224</v>
      </c>
    </row>
    <row r="49" spans="2:14" hidden="1" x14ac:dyDescent="0.25">
      <c r="B49" s="91">
        <v>46085</v>
      </c>
      <c r="C49" s="63">
        <v>1</v>
      </c>
      <c r="D49" s="63" t="s">
        <v>199</v>
      </c>
      <c r="E49" s="65" t="s">
        <v>180</v>
      </c>
      <c r="F49" s="65" t="s">
        <v>163</v>
      </c>
      <c r="G49" s="63" t="s">
        <v>111</v>
      </c>
      <c r="H49" s="63">
        <v>75</v>
      </c>
      <c r="I49" s="65" t="s">
        <v>185</v>
      </c>
      <c r="J49" s="63">
        <v>2798</v>
      </c>
      <c r="K49" s="64">
        <v>776.45</v>
      </c>
      <c r="L49" s="63" t="s">
        <v>1932</v>
      </c>
      <c r="M49" s="65" t="str">
        <f t="shared" si="0"/>
        <v>BRASIL MINERACAOBEIRA RIORACHÃOZINHO</v>
      </c>
      <c r="N49" s="85" t="s">
        <v>111</v>
      </c>
    </row>
    <row r="50" spans="2:14" hidden="1" x14ac:dyDescent="0.25">
      <c r="B50" s="91">
        <v>46085</v>
      </c>
      <c r="C50" s="63">
        <v>1</v>
      </c>
      <c r="D50" s="63" t="s">
        <v>203</v>
      </c>
      <c r="E50" s="65" t="s">
        <v>204</v>
      </c>
      <c r="F50" s="65" t="s">
        <v>163</v>
      </c>
      <c r="G50" s="63" t="s">
        <v>164</v>
      </c>
      <c r="H50" s="63">
        <v>52</v>
      </c>
      <c r="I50" s="65" t="s">
        <v>165</v>
      </c>
      <c r="J50" s="63">
        <v>2258</v>
      </c>
      <c r="K50" s="64">
        <v>434.44</v>
      </c>
      <c r="L50" s="63" t="s">
        <v>1933</v>
      </c>
      <c r="M50" s="65" t="str">
        <f t="shared" si="0"/>
        <v>BRASIL MINERACAOUA SAO LUISPÓ DE BRITA</v>
      </c>
      <c r="N50" s="85" t="s">
        <v>224</v>
      </c>
    </row>
    <row r="51" spans="2:14" hidden="1" x14ac:dyDescent="0.25">
      <c r="B51" s="91">
        <v>46085</v>
      </c>
      <c r="C51" s="63">
        <v>1</v>
      </c>
      <c r="D51" s="63" t="s">
        <v>208</v>
      </c>
      <c r="E51" s="65" t="s">
        <v>209</v>
      </c>
      <c r="F51" s="65" t="s">
        <v>166</v>
      </c>
      <c r="G51" s="63" t="s">
        <v>164</v>
      </c>
      <c r="H51" s="63">
        <v>58</v>
      </c>
      <c r="I51" s="65" t="s">
        <v>175</v>
      </c>
      <c r="J51" s="63">
        <v>460</v>
      </c>
      <c r="K51" s="64">
        <v>987.16</v>
      </c>
      <c r="L51" s="63" t="s">
        <v>1934</v>
      </c>
      <c r="M51" s="65" t="str">
        <f t="shared" si="0"/>
        <v>GRANORTEUA SAO LUISBRITA 0</v>
      </c>
      <c r="N51" s="85" t="s">
        <v>224</v>
      </c>
    </row>
    <row r="52" spans="2:14" hidden="1" x14ac:dyDescent="0.25">
      <c r="B52" s="91">
        <v>46085</v>
      </c>
      <c r="C52" s="63">
        <v>1</v>
      </c>
      <c r="D52" s="63" t="s">
        <v>188</v>
      </c>
      <c r="E52" s="65" t="s">
        <v>189</v>
      </c>
      <c r="F52" s="65" t="s">
        <v>166</v>
      </c>
      <c r="G52" s="63" t="s">
        <v>164</v>
      </c>
      <c r="H52" s="63">
        <v>58</v>
      </c>
      <c r="I52" s="65" t="s">
        <v>175</v>
      </c>
      <c r="J52" s="63">
        <v>4838</v>
      </c>
      <c r="K52" s="64">
        <v>1038.23</v>
      </c>
      <c r="L52" s="63" t="s">
        <v>1935</v>
      </c>
      <c r="M52" s="65" t="str">
        <f t="shared" si="0"/>
        <v>GRANORTEUA SAO LUISBRITA 0</v>
      </c>
      <c r="N52" s="85" t="s">
        <v>224</v>
      </c>
    </row>
    <row r="53" spans="2:14" hidden="1" x14ac:dyDescent="0.25">
      <c r="B53" s="91">
        <v>46085</v>
      </c>
      <c r="C53" s="63">
        <v>1</v>
      </c>
      <c r="D53" s="63" t="s">
        <v>283</v>
      </c>
      <c r="E53" s="65" t="s">
        <v>215</v>
      </c>
      <c r="F53" s="65" t="s">
        <v>166</v>
      </c>
      <c r="G53" s="63" t="s">
        <v>1936</v>
      </c>
      <c r="H53" s="63">
        <v>41</v>
      </c>
      <c r="I53" s="65" t="s">
        <v>172</v>
      </c>
      <c r="J53" s="63">
        <v>2594</v>
      </c>
      <c r="K53" s="64">
        <v>393.51</v>
      </c>
      <c r="L53" s="63" t="s">
        <v>1937</v>
      </c>
      <c r="M53" s="65" t="str">
        <f t="shared" si="0"/>
        <v>GRANORTEEDECOMINAS CALCARIO PORTOBICA CORRIDA</v>
      </c>
      <c r="N53" s="85" t="s">
        <v>2858</v>
      </c>
    </row>
    <row r="54" spans="2:14" hidden="1" x14ac:dyDescent="0.25">
      <c r="B54" s="91">
        <v>46085</v>
      </c>
      <c r="C54" s="63">
        <v>1</v>
      </c>
      <c r="D54" s="63" t="s">
        <v>283</v>
      </c>
      <c r="E54" s="65" t="s">
        <v>215</v>
      </c>
      <c r="F54" s="65" t="s">
        <v>166</v>
      </c>
      <c r="G54" s="63" t="s">
        <v>1936</v>
      </c>
      <c r="H54" s="63">
        <v>41</v>
      </c>
      <c r="I54" s="65" t="s">
        <v>172</v>
      </c>
      <c r="J54" s="63">
        <v>2888</v>
      </c>
      <c r="K54" s="64">
        <v>438.11</v>
      </c>
      <c r="L54" s="63" t="s">
        <v>1938</v>
      </c>
      <c r="M54" s="65" t="str">
        <f t="shared" si="0"/>
        <v>GRANORTEEDECOMINAS CALCARIO PORTOBICA CORRIDA</v>
      </c>
      <c r="N54" s="85" t="s">
        <v>2858</v>
      </c>
    </row>
    <row r="55" spans="2:14" hidden="1" x14ac:dyDescent="0.25">
      <c r="B55" s="91">
        <v>46085</v>
      </c>
      <c r="C55" s="63">
        <v>1</v>
      </c>
      <c r="D55" s="63" t="s">
        <v>199</v>
      </c>
      <c r="E55" s="65" t="s">
        <v>180</v>
      </c>
      <c r="F55" s="65" t="s">
        <v>163</v>
      </c>
      <c r="G55" s="63" t="s">
        <v>111</v>
      </c>
      <c r="H55" s="63">
        <v>75</v>
      </c>
      <c r="I55" s="65" t="s">
        <v>169</v>
      </c>
      <c r="J55" s="63">
        <v>2814</v>
      </c>
      <c r="K55" s="64">
        <v>780.89</v>
      </c>
      <c r="L55" s="63" t="s">
        <v>1939</v>
      </c>
      <c r="M55" s="65" t="str">
        <f t="shared" si="0"/>
        <v>BRASIL MINERACAOBEIRA RIOPULMÃOZINHO</v>
      </c>
      <c r="N55" s="85" t="s">
        <v>111</v>
      </c>
    </row>
    <row r="56" spans="2:14" hidden="1" x14ac:dyDescent="0.25">
      <c r="B56" s="91">
        <v>46085</v>
      </c>
      <c r="C56" s="63">
        <v>1</v>
      </c>
      <c r="D56" s="63" t="s">
        <v>289</v>
      </c>
      <c r="E56" s="65" t="s">
        <v>290</v>
      </c>
      <c r="F56" s="65" t="s">
        <v>1940</v>
      </c>
      <c r="G56" s="63" t="s">
        <v>1941</v>
      </c>
      <c r="H56" s="63">
        <v>110</v>
      </c>
      <c r="I56" s="65" t="s">
        <v>175</v>
      </c>
      <c r="J56" s="63">
        <v>320</v>
      </c>
      <c r="K56" s="64">
        <v>1126.4000000000001</v>
      </c>
      <c r="L56" s="63" t="s">
        <v>1942</v>
      </c>
      <c r="M56" s="65" t="str">
        <f t="shared" si="0"/>
        <v>VLI IMPERATRIZIMPERATRIZBRITA 0</v>
      </c>
      <c r="N56" s="85" t="s">
        <v>15</v>
      </c>
    </row>
    <row r="57" spans="2:14" hidden="1" x14ac:dyDescent="0.25">
      <c r="B57" s="91">
        <v>46085</v>
      </c>
      <c r="C57" s="63">
        <v>1</v>
      </c>
      <c r="D57" s="63" t="s">
        <v>192</v>
      </c>
      <c r="E57" s="65" t="s">
        <v>287</v>
      </c>
      <c r="F57" s="65" t="s">
        <v>163</v>
      </c>
      <c r="G57" s="63" t="s">
        <v>164</v>
      </c>
      <c r="H57" s="63">
        <v>52</v>
      </c>
      <c r="I57" s="65" t="s">
        <v>175</v>
      </c>
      <c r="J57" s="63">
        <v>4906</v>
      </c>
      <c r="K57" s="64">
        <v>943.91</v>
      </c>
      <c r="L57" s="63" t="s">
        <v>1943</v>
      </c>
      <c r="M57" s="65" t="str">
        <f t="shared" si="0"/>
        <v>BRASIL MINERACAOUA SAO LUISBRITA 0</v>
      </c>
      <c r="N57" s="85" t="s">
        <v>224</v>
      </c>
    </row>
    <row r="58" spans="2:14" hidden="1" x14ac:dyDescent="0.25">
      <c r="B58" s="91">
        <v>46085</v>
      </c>
      <c r="C58" s="63">
        <v>1</v>
      </c>
      <c r="D58" s="63" t="s">
        <v>192</v>
      </c>
      <c r="E58" s="65" t="s">
        <v>287</v>
      </c>
      <c r="F58" s="65" t="s">
        <v>163</v>
      </c>
      <c r="G58" s="63" t="s">
        <v>164</v>
      </c>
      <c r="H58" s="63">
        <v>52</v>
      </c>
      <c r="I58" s="65" t="s">
        <v>195</v>
      </c>
      <c r="J58" s="63">
        <v>464</v>
      </c>
      <c r="K58" s="64">
        <v>892.74</v>
      </c>
      <c r="L58" s="63" t="s">
        <v>1944</v>
      </c>
      <c r="M58" s="65" t="str">
        <f t="shared" si="0"/>
        <v>BRASIL MINERACAOUA SAO LUISBRITA 1</v>
      </c>
      <c r="N58" s="85" t="s">
        <v>224</v>
      </c>
    </row>
    <row r="59" spans="2:14" hidden="1" x14ac:dyDescent="0.25">
      <c r="B59" s="91">
        <v>46085</v>
      </c>
      <c r="C59" s="63">
        <v>1</v>
      </c>
      <c r="D59" s="63" t="s">
        <v>192</v>
      </c>
      <c r="E59" s="65" t="s">
        <v>287</v>
      </c>
      <c r="F59" s="65" t="s">
        <v>163</v>
      </c>
      <c r="G59" s="63" t="s">
        <v>164</v>
      </c>
      <c r="H59" s="63">
        <v>52</v>
      </c>
      <c r="I59" s="65" t="s">
        <v>165</v>
      </c>
      <c r="J59" s="63">
        <v>4918</v>
      </c>
      <c r="K59" s="64">
        <v>946.22</v>
      </c>
      <c r="L59" s="63" t="s">
        <v>1945</v>
      </c>
      <c r="M59" s="65" t="str">
        <f t="shared" si="0"/>
        <v>BRASIL MINERACAOUA SAO LUISPÓ DE BRITA</v>
      </c>
      <c r="N59" s="85" t="s">
        <v>224</v>
      </c>
    </row>
    <row r="60" spans="2:14" hidden="1" x14ac:dyDescent="0.25">
      <c r="B60" s="91">
        <v>46085</v>
      </c>
      <c r="C60" s="63">
        <v>1</v>
      </c>
      <c r="D60" s="63" t="s">
        <v>210</v>
      </c>
      <c r="E60" s="65" t="s">
        <v>211</v>
      </c>
      <c r="F60" s="65" t="s">
        <v>163</v>
      </c>
      <c r="G60" s="63" t="s">
        <v>164</v>
      </c>
      <c r="H60" s="63">
        <v>52</v>
      </c>
      <c r="I60" s="65" t="s">
        <v>165</v>
      </c>
      <c r="J60" s="63">
        <v>4538</v>
      </c>
      <c r="K60" s="64">
        <v>873.11</v>
      </c>
      <c r="L60" s="63" t="s">
        <v>1946</v>
      </c>
      <c r="M60" s="65" t="str">
        <f t="shared" si="0"/>
        <v>BRASIL MINERACAOUA SAO LUISPÓ DE BRITA</v>
      </c>
      <c r="N60" s="85" t="s">
        <v>224</v>
      </c>
    </row>
    <row r="61" spans="2:14" hidden="1" x14ac:dyDescent="0.25">
      <c r="B61" s="91">
        <v>46085</v>
      </c>
      <c r="C61" s="63">
        <v>1</v>
      </c>
      <c r="D61" s="63" t="s">
        <v>213</v>
      </c>
      <c r="E61" s="65" t="s">
        <v>178</v>
      </c>
      <c r="F61" s="65" t="s">
        <v>166</v>
      </c>
      <c r="G61" s="63" t="s">
        <v>824</v>
      </c>
      <c r="H61" s="63">
        <v>78</v>
      </c>
      <c r="I61" s="65" t="s">
        <v>169</v>
      </c>
      <c r="J61" s="63">
        <v>2654</v>
      </c>
      <c r="K61" s="64">
        <v>765.94</v>
      </c>
      <c r="L61" s="63" t="s">
        <v>1947</v>
      </c>
      <c r="M61" s="65" t="str">
        <f t="shared" si="0"/>
        <v>GRANORTECRUZAMENTO MA 201/202 (METROPOLITANA)PULMÃOZINHO</v>
      </c>
      <c r="N61" s="85" t="s">
        <v>108</v>
      </c>
    </row>
    <row r="62" spans="2:14" hidden="1" x14ac:dyDescent="0.25">
      <c r="B62" s="91">
        <v>46085</v>
      </c>
      <c r="C62" s="63">
        <v>1</v>
      </c>
      <c r="D62" s="63" t="s">
        <v>1948</v>
      </c>
      <c r="E62" s="65" t="s">
        <v>1949</v>
      </c>
      <c r="F62" s="65" t="s">
        <v>163</v>
      </c>
      <c r="G62" s="63" t="s">
        <v>164</v>
      </c>
      <c r="H62" s="63">
        <v>52</v>
      </c>
      <c r="I62" s="65" t="s">
        <v>165</v>
      </c>
      <c r="J62" s="63">
        <v>465</v>
      </c>
      <c r="K62" s="64">
        <v>894.66</v>
      </c>
      <c r="L62" s="63" t="s">
        <v>1950</v>
      </c>
      <c r="M62" s="65" t="str">
        <f t="shared" si="0"/>
        <v>BRASIL MINERACAOUA SAO LUISPÓ DE BRITA</v>
      </c>
      <c r="N62" s="85" t="s">
        <v>224</v>
      </c>
    </row>
    <row r="63" spans="2:14" hidden="1" x14ac:dyDescent="0.25">
      <c r="B63" s="91">
        <v>46085</v>
      </c>
      <c r="C63" s="63">
        <v>1</v>
      </c>
      <c r="D63" s="63" t="s">
        <v>1948</v>
      </c>
      <c r="E63" s="65" t="s">
        <v>1949</v>
      </c>
      <c r="F63" s="65" t="s">
        <v>163</v>
      </c>
      <c r="G63" s="63" t="s">
        <v>164</v>
      </c>
      <c r="H63" s="63">
        <v>52</v>
      </c>
      <c r="I63" s="65" t="s">
        <v>165</v>
      </c>
      <c r="J63" s="63">
        <v>481</v>
      </c>
      <c r="K63" s="64">
        <v>925.44</v>
      </c>
      <c r="L63" s="63" t="s">
        <v>1951</v>
      </c>
      <c r="M63" s="65" t="str">
        <f t="shared" si="0"/>
        <v>BRASIL MINERACAOUA SAO LUISPÓ DE BRITA</v>
      </c>
      <c r="N63" s="85" t="s">
        <v>224</v>
      </c>
    </row>
    <row r="64" spans="2:14" hidden="1" x14ac:dyDescent="0.25">
      <c r="B64" s="91">
        <v>46085</v>
      </c>
      <c r="C64" s="63">
        <v>1</v>
      </c>
      <c r="D64" s="63" t="s">
        <v>193</v>
      </c>
      <c r="E64" s="65" t="s">
        <v>285</v>
      </c>
      <c r="F64" s="65" t="s">
        <v>166</v>
      </c>
      <c r="G64" s="63" t="s">
        <v>111</v>
      </c>
      <c r="H64" s="63">
        <v>79</v>
      </c>
      <c r="I64" s="65" t="s">
        <v>169</v>
      </c>
      <c r="J64" s="63">
        <v>262</v>
      </c>
      <c r="K64" s="64">
        <v>765.83</v>
      </c>
      <c r="L64" s="63" t="s">
        <v>1952</v>
      </c>
      <c r="M64" s="65" t="str">
        <f t="shared" si="0"/>
        <v>GRANORTEBEIRA RIOPULMÃOZINHO</v>
      </c>
      <c r="N64" s="85" t="s">
        <v>111</v>
      </c>
    </row>
    <row r="65" spans="2:14" hidden="1" x14ac:dyDescent="0.25">
      <c r="B65" s="91">
        <v>46085</v>
      </c>
      <c r="C65" s="63">
        <v>1</v>
      </c>
      <c r="D65" s="63" t="s">
        <v>193</v>
      </c>
      <c r="E65" s="65" t="s">
        <v>285</v>
      </c>
      <c r="F65" s="65" t="s">
        <v>166</v>
      </c>
      <c r="G65" s="63" t="s">
        <v>111</v>
      </c>
      <c r="H65" s="63">
        <v>79</v>
      </c>
      <c r="I65" s="65" t="s">
        <v>169</v>
      </c>
      <c r="J65" s="63">
        <v>2584</v>
      </c>
      <c r="K65" s="64">
        <v>755.3</v>
      </c>
      <c r="L65" s="63" t="s">
        <v>1953</v>
      </c>
      <c r="M65" s="65" t="str">
        <f t="shared" si="0"/>
        <v>GRANORTEBEIRA RIOPULMÃOZINHO</v>
      </c>
      <c r="N65" s="85" t="s">
        <v>111</v>
      </c>
    </row>
    <row r="66" spans="2:14" hidden="1" x14ac:dyDescent="0.25">
      <c r="B66" s="91">
        <v>46085</v>
      </c>
      <c r="C66" s="63">
        <v>1</v>
      </c>
      <c r="D66" s="63" t="s">
        <v>183</v>
      </c>
      <c r="E66" s="65" t="s">
        <v>506</v>
      </c>
      <c r="F66" s="65" t="s">
        <v>163</v>
      </c>
      <c r="G66" s="63" t="s">
        <v>164</v>
      </c>
      <c r="H66" s="63">
        <v>52</v>
      </c>
      <c r="I66" s="65" t="s">
        <v>165</v>
      </c>
      <c r="J66" s="63">
        <v>2648</v>
      </c>
      <c r="K66" s="64">
        <v>509.48</v>
      </c>
      <c r="L66" s="63" t="s">
        <v>1954</v>
      </c>
      <c r="M66" s="65" t="str">
        <f t="shared" si="0"/>
        <v>BRASIL MINERACAOUA SAO LUISPÓ DE BRITA</v>
      </c>
      <c r="N66" s="85" t="s">
        <v>224</v>
      </c>
    </row>
    <row r="67" spans="2:14" hidden="1" x14ac:dyDescent="0.25">
      <c r="B67" s="91">
        <v>46085</v>
      </c>
      <c r="C67" s="63">
        <v>1</v>
      </c>
      <c r="D67" s="63" t="s">
        <v>270</v>
      </c>
      <c r="E67" s="65" t="s">
        <v>288</v>
      </c>
      <c r="F67" s="65" t="s">
        <v>166</v>
      </c>
      <c r="G67" s="63" t="s">
        <v>164</v>
      </c>
      <c r="H67" s="63">
        <v>58</v>
      </c>
      <c r="I67" s="65" t="s">
        <v>175</v>
      </c>
      <c r="J67" s="63">
        <v>4476</v>
      </c>
      <c r="K67" s="64">
        <v>960.55</v>
      </c>
      <c r="L67" s="63" t="s">
        <v>1955</v>
      </c>
      <c r="M67" s="65" t="str">
        <f t="shared" si="0"/>
        <v>GRANORTEUA SAO LUISBRITA 0</v>
      </c>
      <c r="N67" s="85" t="s">
        <v>224</v>
      </c>
    </row>
    <row r="68" spans="2:14" hidden="1" x14ac:dyDescent="0.25">
      <c r="B68" s="91">
        <v>46085</v>
      </c>
      <c r="C68" s="63">
        <v>1</v>
      </c>
      <c r="D68" s="63" t="s">
        <v>270</v>
      </c>
      <c r="E68" s="65" t="s">
        <v>288</v>
      </c>
      <c r="F68" s="65" t="s">
        <v>166</v>
      </c>
      <c r="G68" s="63" t="s">
        <v>164</v>
      </c>
      <c r="H68" s="63">
        <v>58</v>
      </c>
      <c r="I68" s="65" t="s">
        <v>175</v>
      </c>
      <c r="J68" s="63">
        <v>446</v>
      </c>
      <c r="K68" s="64">
        <v>957.12</v>
      </c>
      <c r="L68" s="63" t="s">
        <v>1956</v>
      </c>
      <c r="M68" s="65" t="str">
        <f t="shared" si="0"/>
        <v>GRANORTEUA SAO LUISBRITA 0</v>
      </c>
      <c r="N68" s="85" t="s">
        <v>224</v>
      </c>
    </row>
    <row r="69" spans="2:14" hidden="1" x14ac:dyDescent="0.25">
      <c r="B69" s="91">
        <v>46085</v>
      </c>
      <c r="C69" s="63">
        <v>1</v>
      </c>
      <c r="D69" s="63" t="s">
        <v>200</v>
      </c>
      <c r="E69" s="65" t="s">
        <v>201</v>
      </c>
      <c r="F69" s="65" t="s">
        <v>163</v>
      </c>
      <c r="G69" s="63" t="s">
        <v>164</v>
      </c>
      <c r="H69" s="63">
        <v>52</v>
      </c>
      <c r="I69" s="65" t="s">
        <v>165</v>
      </c>
      <c r="J69" s="63">
        <v>453</v>
      </c>
      <c r="K69" s="64">
        <v>871.57</v>
      </c>
      <c r="L69" s="63" t="s">
        <v>1957</v>
      </c>
      <c r="M69" s="65" t="str">
        <f t="shared" ref="M69:M132" si="1">_xlfn.CONCAT(F69&amp;G69&amp;I69)</f>
        <v>BRASIL MINERACAOUA SAO LUISPÓ DE BRITA</v>
      </c>
      <c r="N69" s="85" t="s">
        <v>224</v>
      </c>
    </row>
    <row r="70" spans="2:14" hidden="1" x14ac:dyDescent="0.25">
      <c r="B70" s="91">
        <v>46085</v>
      </c>
      <c r="C70" s="63">
        <v>1</v>
      </c>
      <c r="D70" s="63" t="s">
        <v>200</v>
      </c>
      <c r="E70" s="65" t="s">
        <v>201</v>
      </c>
      <c r="F70" s="65" t="s">
        <v>163</v>
      </c>
      <c r="G70" s="63" t="s">
        <v>164</v>
      </c>
      <c r="H70" s="63">
        <v>52</v>
      </c>
      <c r="I70" s="65" t="s">
        <v>165</v>
      </c>
      <c r="J70" s="63">
        <v>4574</v>
      </c>
      <c r="K70" s="64">
        <v>880.04</v>
      </c>
      <c r="L70" s="63" t="s">
        <v>1958</v>
      </c>
      <c r="M70" s="65" t="str">
        <f t="shared" si="1"/>
        <v>BRASIL MINERACAOUA SAO LUISPÓ DE BRITA</v>
      </c>
      <c r="N70" s="85" t="s">
        <v>224</v>
      </c>
    </row>
    <row r="71" spans="2:14" hidden="1" x14ac:dyDescent="0.25">
      <c r="B71" s="91">
        <v>46086</v>
      </c>
      <c r="C71" s="63">
        <v>1</v>
      </c>
      <c r="D71" s="63" t="s">
        <v>188</v>
      </c>
      <c r="E71" s="65" t="s">
        <v>189</v>
      </c>
      <c r="F71" s="65" t="s">
        <v>166</v>
      </c>
      <c r="G71" s="63" t="s">
        <v>164</v>
      </c>
      <c r="H71" s="63">
        <v>58</v>
      </c>
      <c r="I71" s="65" t="s">
        <v>175</v>
      </c>
      <c r="J71" s="63">
        <v>794</v>
      </c>
      <c r="K71" s="64">
        <v>1703.92</v>
      </c>
      <c r="L71" s="63" t="s">
        <v>1959</v>
      </c>
      <c r="M71" s="65" t="str">
        <f t="shared" si="1"/>
        <v>GRANORTEUA SAO LUISBRITA 0</v>
      </c>
      <c r="N71" s="85" t="s">
        <v>224</v>
      </c>
    </row>
    <row r="72" spans="2:14" hidden="1" x14ac:dyDescent="0.25">
      <c r="B72" s="91">
        <v>46086</v>
      </c>
      <c r="C72" s="63">
        <v>1</v>
      </c>
      <c r="D72" s="63" t="s">
        <v>170</v>
      </c>
      <c r="E72" s="65" t="s">
        <v>171</v>
      </c>
      <c r="F72" s="65" t="s">
        <v>163</v>
      </c>
      <c r="G72" s="63" t="s">
        <v>111</v>
      </c>
      <c r="H72" s="63">
        <v>75</v>
      </c>
      <c r="I72" s="65" t="s">
        <v>185</v>
      </c>
      <c r="J72" s="63">
        <v>2552</v>
      </c>
      <c r="K72" s="64">
        <v>708.18</v>
      </c>
      <c r="L72" s="63" t="s">
        <v>1960</v>
      </c>
      <c r="M72" s="65" t="str">
        <f t="shared" si="1"/>
        <v>BRASIL MINERACAOBEIRA RIORACHÃOZINHO</v>
      </c>
      <c r="N72" s="85" t="s">
        <v>111</v>
      </c>
    </row>
    <row r="73" spans="2:14" hidden="1" x14ac:dyDescent="0.25">
      <c r="B73" s="91">
        <v>46086</v>
      </c>
      <c r="C73" s="63">
        <v>1</v>
      </c>
      <c r="D73" s="63" t="s">
        <v>162</v>
      </c>
      <c r="E73" s="65" t="s">
        <v>281</v>
      </c>
      <c r="F73" s="65" t="s">
        <v>166</v>
      </c>
      <c r="G73" s="63" t="s">
        <v>111</v>
      </c>
      <c r="H73" s="63">
        <v>79</v>
      </c>
      <c r="I73" s="65" t="s">
        <v>169</v>
      </c>
      <c r="J73" s="63">
        <v>2772</v>
      </c>
      <c r="K73" s="64">
        <v>810.26</v>
      </c>
      <c r="L73" s="63" t="s">
        <v>1961</v>
      </c>
      <c r="M73" s="65" t="str">
        <f t="shared" si="1"/>
        <v>GRANORTEBEIRA RIOPULMÃOZINHO</v>
      </c>
      <c r="N73" s="85" t="s">
        <v>111</v>
      </c>
    </row>
    <row r="74" spans="2:14" hidden="1" x14ac:dyDescent="0.25">
      <c r="B74" s="91">
        <v>46086</v>
      </c>
      <c r="C74" s="63">
        <v>1</v>
      </c>
      <c r="D74" s="63" t="s">
        <v>203</v>
      </c>
      <c r="E74" s="65" t="s">
        <v>204</v>
      </c>
      <c r="F74" s="65" t="s">
        <v>163</v>
      </c>
      <c r="G74" s="63" t="s">
        <v>164</v>
      </c>
      <c r="H74" s="63">
        <v>52</v>
      </c>
      <c r="I74" s="65" t="s">
        <v>165</v>
      </c>
      <c r="J74" s="63">
        <v>454</v>
      </c>
      <c r="K74" s="64">
        <v>873.5</v>
      </c>
      <c r="L74" s="63" t="s">
        <v>1962</v>
      </c>
      <c r="M74" s="65" t="str">
        <f t="shared" si="1"/>
        <v>BRASIL MINERACAOUA SAO LUISPÓ DE BRITA</v>
      </c>
      <c r="N74" s="85" t="s">
        <v>224</v>
      </c>
    </row>
    <row r="75" spans="2:14" hidden="1" x14ac:dyDescent="0.25">
      <c r="B75" s="91">
        <v>46086</v>
      </c>
      <c r="C75" s="63">
        <v>1</v>
      </c>
      <c r="D75" s="63" t="s">
        <v>188</v>
      </c>
      <c r="E75" s="65" t="s">
        <v>189</v>
      </c>
      <c r="F75" s="65" t="s">
        <v>166</v>
      </c>
      <c r="G75" s="63" t="s">
        <v>164</v>
      </c>
      <c r="H75" s="63">
        <v>58</v>
      </c>
      <c r="I75" s="65" t="s">
        <v>195</v>
      </c>
      <c r="J75" s="63">
        <v>483</v>
      </c>
      <c r="K75" s="64">
        <v>1036.52</v>
      </c>
      <c r="L75" s="63" t="s">
        <v>1963</v>
      </c>
      <c r="M75" s="65" t="str">
        <f t="shared" si="1"/>
        <v>GRANORTEUA SAO LUISBRITA 1</v>
      </c>
      <c r="N75" s="85" t="s">
        <v>224</v>
      </c>
    </row>
    <row r="76" spans="2:14" hidden="1" x14ac:dyDescent="0.25">
      <c r="B76" s="91">
        <v>46086</v>
      </c>
      <c r="C76" s="63">
        <v>1</v>
      </c>
      <c r="D76" s="63" t="s">
        <v>170</v>
      </c>
      <c r="E76" s="65" t="s">
        <v>171</v>
      </c>
      <c r="F76" s="65" t="s">
        <v>166</v>
      </c>
      <c r="G76" s="63" t="s">
        <v>111</v>
      </c>
      <c r="H76" s="63">
        <v>79</v>
      </c>
      <c r="I76" s="65" t="s">
        <v>169</v>
      </c>
      <c r="J76" s="63">
        <v>2546</v>
      </c>
      <c r="K76" s="64">
        <v>744.2</v>
      </c>
      <c r="L76" s="63" t="s">
        <v>1964</v>
      </c>
      <c r="M76" s="65" t="str">
        <f t="shared" si="1"/>
        <v>GRANORTEBEIRA RIOPULMÃOZINHO</v>
      </c>
      <c r="N76" s="85" t="s">
        <v>111</v>
      </c>
    </row>
    <row r="77" spans="2:14" hidden="1" x14ac:dyDescent="0.25">
      <c r="B77" s="91">
        <v>46086</v>
      </c>
      <c r="C77" s="63">
        <v>1</v>
      </c>
      <c r="D77" s="63" t="s">
        <v>199</v>
      </c>
      <c r="E77" s="65" t="s">
        <v>180</v>
      </c>
      <c r="F77" s="65" t="s">
        <v>166</v>
      </c>
      <c r="G77" s="63" t="s">
        <v>111</v>
      </c>
      <c r="H77" s="63">
        <v>79</v>
      </c>
      <c r="I77" s="65" t="s">
        <v>169</v>
      </c>
      <c r="J77" s="63">
        <v>2792</v>
      </c>
      <c r="K77" s="64">
        <v>816.1</v>
      </c>
      <c r="L77" s="63" t="s">
        <v>1965</v>
      </c>
      <c r="M77" s="65" t="str">
        <f t="shared" si="1"/>
        <v>GRANORTEBEIRA RIOPULMÃOZINHO</v>
      </c>
      <c r="N77" s="85" t="s">
        <v>111</v>
      </c>
    </row>
    <row r="78" spans="2:14" hidden="1" x14ac:dyDescent="0.25">
      <c r="B78" s="91">
        <v>46086</v>
      </c>
      <c r="C78" s="63">
        <v>1</v>
      </c>
      <c r="D78" s="63" t="s">
        <v>162</v>
      </c>
      <c r="E78" s="65" t="s">
        <v>281</v>
      </c>
      <c r="F78" s="65" t="s">
        <v>166</v>
      </c>
      <c r="G78" s="63" t="s">
        <v>111</v>
      </c>
      <c r="H78" s="63">
        <v>79</v>
      </c>
      <c r="I78" s="65" t="s">
        <v>169</v>
      </c>
      <c r="J78" s="63">
        <v>2602</v>
      </c>
      <c r="K78" s="64">
        <v>760.56</v>
      </c>
      <c r="L78" s="63" t="s">
        <v>1966</v>
      </c>
      <c r="M78" s="65" t="str">
        <f t="shared" si="1"/>
        <v>GRANORTEBEIRA RIOPULMÃOZINHO</v>
      </c>
      <c r="N78" s="85" t="s">
        <v>111</v>
      </c>
    </row>
    <row r="79" spans="2:14" hidden="1" x14ac:dyDescent="0.25">
      <c r="B79" s="91">
        <v>46086</v>
      </c>
      <c r="C79" s="63">
        <v>1</v>
      </c>
      <c r="D79" s="63" t="s">
        <v>208</v>
      </c>
      <c r="E79" s="65" t="s">
        <v>209</v>
      </c>
      <c r="F79" s="65" t="s">
        <v>163</v>
      </c>
      <c r="G79" s="63" t="s">
        <v>164</v>
      </c>
      <c r="H79" s="63">
        <v>52</v>
      </c>
      <c r="I79" s="65" t="s">
        <v>165</v>
      </c>
      <c r="J79" s="63">
        <v>450</v>
      </c>
      <c r="K79" s="64">
        <v>865.8</v>
      </c>
      <c r="L79" s="63" t="s">
        <v>1967</v>
      </c>
      <c r="M79" s="65" t="str">
        <f t="shared" si="1"/>
        <v>BRASIL MINERACAOUA SAO LUISPÓ DE BRITA</v>
      </c>
      <c r="N79" s="85" t="s">
        <v>224</v>
      </c>
    </row>
    <row r="80" spans="2:14" hidden="1" x14ac:dyDescent="0.25">
      <c r="B80" s="91">
        <v>46086</v>
      </c>
      <c r="C80" s="63">
        <v>1</v>
      </c>
      <c r="D80" s="63" t="s">
        <v>188</v>
      </c>
      <c r="E80" s="65" t="s">
        <v>189</v>
      </c>
      <c r="F80" s="65" t="s">
        <v>166</v>
      </c>
      <c r="G80" s="63" t="s">
        <v>164</v>
      </c>
      <c r="H80" s="63">
        <v>58</v>
      </c>
      <c r="I80" s="65" t="s">
        <v>195</v>
      </c>
      <c r="J80" s="63">
        <v>4936</v>
      </c>
      <c r="K80" s="64">
        <v>1059.27</v>
      </c>
      <c r="L80" s="63" t="s">
        <v>1968</v>
      </c>
      <c r="M80" s="65" t="str">
        <f t="shared" si="1"/>
        <v>GRANORTEUA SAO LUISBRITA 1</v>
      </c>
      <c r="N80" s="85" t="s">
        <v>224</v>
      </c>
    </row>
    <row r="81" spans="2:14" hidden="1" x14ac:dyDescent="0.25">
      <c r="B81" s="91">
        <v>46086</v>
      </c>
      <c r="C81" s="63">
        <v>1</v>
      </c>
      <c r="D81" s="63" t="s">
        <v>199</v>
      </c>
      <c r="E81" s="65" t="s">
        <v>180</v>
      </c>
      <c r="F81" s="65" t="s">
        <v>166</v>
      </c>
      <c r="G81" s="63" t="s">
        <v>111</v>
      </c>
      <c r="H81" s="63">
        <v>79</v>
      </c>
      <c r="I81" s="65" t="s">
        <v>169</v>
      </c>
      <c r="J81" s="63">
        <v>278</v>
      </c>
      <c r="K81" s="64">
        <v>812.59</v>
      </c>
      <c r="L81" s="63" t="s">
        <v>1969</v>
      </c>
      <c r="M81" s="65" t="str">
        <f t="shared" si="1"/>
        <v>GRANORTEBEIRA RIOPULMÃOZINHO</v>
      </c>
      <c r="N81" s="85" t="s">
        <v>111</v>
      </c>
    </row>
    <row r="82" spans="2:14" hidden="1" x14ac:dyDescent="0.25">
      <c r="B82" s="91">
        <v>46086</v>
      </c>
      <c r="C82" s="63">
        <v>1</v>
      </c>
      <c r="D82" s="63" t="s">
        <v>203</v>
      </c>
      <c r="E82" s="65" t="s">
        <v>204</v>
      </c>
      <c r="F82" s="65" t="s">
        <v>166</v>
      </c>
      <c r="G82" s="63" t="s">
        <v>164</v>
      </c>
      <c r="H82" s="63">
        <v>58</v>
      </c>
      <c r="I82" s="65" t="s">
        <v>165</v>
      </c>
      <c r="J82" s="63">
        <v>469</v>
      </c>
      <c r="K82" s="64">
        <v>1006.47</v>
      </c>
      <c r="L82" s="63" t="s">
        <v>1970</v>
      </c>
      <c r="M82" s="65" t="str">
        <f t="shared" si="1"/>
        <v>GRANORTEUA SAO LUISPÓ DE BRITA</v>
      </c>
      <c r="N82" s="85" t="s">
        <v>224</v>
      </c>
    </row>
    <row r="83" spans="2:14" hidden="1" x14ac:dyDescent="0.25">
      <c r="B83" s="91">
        <v>46086</v>
      </c>
      <c r="C83" s="63">
        <v>1</v>
      </c>
      <c r="D83" s="63" t="s">
        <v>283</v>
      </c>
      <c r="E83" s="65" t="s">
        <v>215</v>
      </c>
      <c r="F83" s="65" t="s">
        <v>166</v>
      </c>
      <c r="G83" s="63" t="s">
        <v>1936</v>
      </c>
      <c r="H83" s="63">
        <v>41</v>
      </c>
      <c r="I83" s="65" t="s">
        <v>172</v>
      </c>
      <c r="J83" s="63">
        <v>307</v>
      </c>
      <c r="K83" s="64">
        <v>465.72</v>
      </c>
      <c r="L83" s="63" t="s">
        <v>1971</v>
      </c>
      <c r="M83" s="65" t="str">
        <f t="shared" si="1"/>
        <v>GRANORTEEDECOMINAS CALCARIO PORTOBICA CORRIDA</v>
      </c>
      <c r="N83" s="85" t="s">
        <v>2858</v>
      </c>
    </row>
    <row r="84" spans="2:14" hidden="1" x14ac:dyDescent="0.25">
      <c r="B84" s="91">
        <v>46086</v>
      </c>
      <c r="C84" s="63">
        <v>1</v>
      </c>
      <c r="D84" s="63" t="s">
        <v>283</v>
      </c>
      <c r="E84" s="65" t="s">
        <v>215</v>
      </c>
      <c r="F84" s="65" t="s">
        <v>166</v>
      </c>
      <c r="G84" s="63" t="s">
        <v>1936</v>
      </c>
      <c r="H84" s="63">
        <v>41</v>
      </c>
      <c r="I84" s="65" t="s">
        <v>172</v>
      </c>
      <c r="J84" s="63">
        <v>2908</v>
      </c>
      <c r="K84" s="64">
        <v>441.14</v>
      </c>
      <c r="L84" s="63" t="s">
        <v>1972</v>
      </c>
      <c r="M84" s="65" t="str">
        <f t="shared" si="1"/>
        <v>GRANORTEEDECOMINAS CALCARIO PORTOBICA CORRIDA</v>
      </c>
      <c r="N84" s="85" t="s">
        <v>2858</v>
      </c>
    </row>
    <row r="85" spans="2:14" hidden="1" x14ac:dyDescent="0.25">
      <c r="B85" s="91">
        <v>46086</v>
      </c>
      <c r="C85" s="63">
        <v>1</v>
      </c>
      <c r="D85" s="63" t="s">
        <v>283</v>
      </c>
      <c r="E85" s="65" t="s">
        <v>215</v>
      </c>
      <c r="F85" s="65" t="s">
        <v>163</v>
      </c>
      <c r="G85" s="63" t="s">
        <v>164</v>
      </c>
      <c r="H85" s="63">
        <v>52</v>
      </c>
      <c r="I85" s="65" t="s">
        <v>175</v>
      </c>
      <c r="J85" s="63">
        <v>277</v>
      </c>
      <c r="K85" s="64">
        <v>532.95000000000005</v>
      </c>
      <c r="L85" s="63" t="s">
        <v>1973</v>
      </c>
      <c r="M85" s="65" t="str">
        <f t="shared" si="1"/>
        <v>BRASIL MINERACAOUA SAO LUISBRITA 0</v>
      </c>
      <c r="N85" s="85" t="s">
        <v>224</v>
      </c>
    </row>
    <row r="86" spans="2:14" hidden="1" x14ac:dyDescent="0.25">
      <c r="B86" s="91">
        <v>46086</v>
      </c>
      <c r="C86" s="63">
        <v>1</v>
      </c>
      <c r="D86" s="63" t="s">
        <v>210</v>
      </c>
      <c r="E86" s="65" t="s">
        <v>211</v>
      </c>
      <c r="F86" s="65" t="s">
        <v>163</v>
      </c>
      <c r="G86" s="63" t="s">
        <v>164</v>
      </c>
      <c r="H86" s="63">
        <v>52</v>
      </c>
      <c r="I86" s="65" t="s">
        <v>195</v>
      </c>
      <c r="J86" s="63">
        <v>4878</v>
      </c>
      <c r="K86" s="64">
        <v>938.53</v>
      </c>
      <c r="L86" s="63" t="s">
        <v>1974</v>
      </c>
      <c r="M86" s="65" t="str">
        <f t="shared" si="1"/>
        <v>BRASIL MINERACAOUA SAO LUISBRITA 1</v>
      </c>
      <c r="N86" s="85" t="s">
        <v>224</v>
      </c>
    </row>
    <row r="87" spans="2:14" hidden="1" x14ac:dyDescent="0.25">
      <c r="B87" s="91">
        <v>46086</v>
      </c>
      <c r="C87" s="63">
        <v>1</v>
      </c>
      <c r="D87" s="63" t="s">
        <v>219</v>
      </c>
      <c r="E87" s="65" t="s">
        <v>220</v>
      </c>
      <c r="F87" s="65" t="s">
        <v>163</v>
      </c>
      <c r="G87" s="63" t="s">
        <v>164</v>
      </c>
      <c r="H87" s="63">
        <v>52</v>
      </c>
      <c r="I87" s="65" t="s">
        <v>195</v>
      </c>
      <c r="J87" s="63">
        <v>545</v>
      </c>
      <c r="K87" s="64">
        <v>1048.58</v>
      </c>
      <c r="L87" s="63" t="s">
        <v>1975</v>
      </c>
      <c r="M87" s="65" t="str">
        <f t="shared" si="1"/>
        <v>BRASIL MINERACAOUA SAO LUISBRITA 1</v>
      </c>
      <c r="N87" s="85" t="s">
        <v>224</v>
      </c>
    </row>
    <row r="88" spans="2:14" hidden="1" x14ac:dyDescent="0.25">
      <c r="B88" s="91">
        <v>46086</v>
      </c>
      <c r="C88" s="63">
        <v>1</v>
      </c>
      <c r="D88" s="63" t="s">
        <v>219</v>
      </c>
      <c r="E88" s="65" t="s">
        <v>220</v>
      </c>
      <c r="F88" s="65" t="s">
        <v>163</v>
      </c>
      <c r="G88" s="63" t="s">
        <v>164</v>
      </c>
      <c r="H88" s="63">
        <v>52</v>
      </c>
      <c r="I88" s="65" t="s">
        <v>175</v>
      </c>
      <c r="J88" s="63">
        <v>520</v>
      </c>
      <c r="K88" s="64">
        <v>1000.48</v>
      </c>
      <c r="L88" s="63" t="s">
        <v>1976</v>
      </c>
      <c r="M88" s="65" t="str">
        <f t="shared" si="1"/>
        <v>BRASIL MINERACAOUA SAO LUISBRITA 0</v>
      </c>
      <c r="N88" s="85" t="s">
        <v>224</v>
      </c>
    </row>
    <row r="89" spans="2:14" hidden="1" x14ac:dyDescent="0.25">
      <c r="B89" s="91">
        <v>46086</v>
      </c>
      <c r="C89" s="63">
        <v>1</v>
      </c>
      <c r="D89" s="63" t="s">
        <v>213</v>
      </c>
      <c r="E89" s="65" t="s">
        <v>178</v>
      </c>
      <c r="F89" s="65" t="s">
        <v>166</v>
      </c>
      <c r="G89" s="63" t="s">
        <v>824</v>
      </c>
      <c r="H89" s="63">
        <v>78</v>
      </c>
      <c r="I89" s="65" t="s">
        <v>169</v>
      </c>
      <c r="J89" s="63">
        <v>3072</v>
      </c>
      <c r="K89" s="64">
        <v>886.58</v>
      </c>
      <c r="L89" s="63" t="s">
        <v>1977</v>
      </c>
      <c r="M89" s="65" t="str">
        <f t="shared" si="1"/>
        <v>GRANORTECRUZAMENTO MA 201/202 (METROPOLITANA)PULMÃOZINHO</v>
      </c>
      <c r="N89" s="85" t="s">
        <v>108</v>
      </c>
    </row>
    <row r="90" spans="2:14" hidden="1" x14ac:dyDescent="0.25">
      <c r="B90" s="91">
        <v>46086</v>
      </c>
      <c r="C90" s="63">
        <v>1</v>
      </c>
      <c r="D90" s="63" t="s">
        <v>213</v>
      </c>
      <c r="E90" s="65" t="s">
        <v>178</v>
      </c>
      <c r="F90" s="65" t="s">
        <v>166</v>
      </c>
      <c r="G90" s="63" t="s">
        <v>824</v>
      </c>
      <c r="H90" s="63">
        <v>78</v>
      </c>
      <c r="I90" s="65" t="s">
        <v>169</v>
      </c>
      <c r="J90" s="63">
        <v>2526</v>
      </c>
      <c r="K90" s="64">
        <v>729</v>
      </c>
      <c r="L90" s="63" t="s">
        <v>1978</v>
      </c>
      <c r="M90" s="65" t="str">
        <f t="shared" si="1"/>
        <v>GRANORTECRUZAMENTO MA 201/202 (METROPOLITANA)PULMÃOZINHO</v>
      </c>
      <c r="N90" s="85" t="s">
        <v>108</v>
      </c>
    </row>
    <row r="91" spans="2:14" hidden="1" x14ac:dyDescent="0.25">
      <c r="B91" s="91">
        <v>46086</v>
      </c>
      <c r="C91" s="63">
        <v>1</v>
      </c>
      <c r="D91" s="63" t="s">
        <v>289</v>
      </c>
      <c r="E91" s="65" t="s">
        <v>290</v>
      </c>
      <c r="F91" s="65" t="s">
        <v>276</v>
      </c>
      <c r="G91" s="63" t="s">
        <v>919</v>
      </c>
      <c r="H91" s="63">
        <v>358</v>
      </c>
      <c r="I91" s="65" t="s">
        <v>172</v>
      </c>
      <c r="J91" s="63">
        <v>4008</v>
      </c>
      <c r="K91" s="64">
        <v>4591.5600000000004</v>
      </c>
      <c r="L91" s="63" t="s">
        <v>1979</v>
      </c>
      <c r="M91" s="65" t="str">
        <f t="shared" si="1"/>
        <v>MINERADORA PORTO FRANCOVALE NOVA VIDA KM356BICA CORRIDA</v>
      </c>
      <c r="N91" s="85" t="s">
        <v>15</v>
      </c>
    </row>
    <row r="92" spans="2:14" hidden="1" x14ac:dyDescent="0.25">
      <c r="B92" s="91">
        <v>46086</v>
      </c>
      <c r="C92" s="63">
        <v>1</v>
      </c>
      <c r="D92" s="63" t="s">
        <v>1948</v>
      </c>
      <c r="E92" s="65" t="s">
        <v>1949</v>
      </c>
      <c r="F92" s="65" t="s">
        <v>163</v>
      </c>
      <c r="G92" s="63" t="s">
        <v>164</v>
      </c>
      <c r="H92" s="63">
        <v>52</v>
      </c>
      <c r="I92" s="65" t="s">
        <v>165</v>
      </c>
      <c r="J92" s="63">
        <v>481</v>
      </c>
      <c r="K92" s="64">
        <v>925.44</v>
      </c>
      <c r="L92" s="63" t="s">
        <v>1980</v>
      </c>
      <c r="M92" s="65" t="str">
        <f t="shared" si="1"/>
        <v>BRASIL MINERACAOUA SAO LUISPÓ DE BRITA</v>
      </c>
      <c r="N92" s="85" t="s">
        <v>224</v>
      </c>
    </row>
    <row r="93" spans="2:14" hidden="1" x14ac:dyDescent="0.25">
      <c r="B93" s="91">
        <v>46086</v>
      </c>
      <c r="C93" s="63">
        <v>1</v>
      </c>
      <c r="D93" s="63" t="s">
        <v>167</v>
      </c>
      <c r="E93" s="65" t="s">
        <v>168</v>
      </c>
      <c r="F93" s="65" t="s">
        <v>163</v>
      </c>
      <c r="G93" s="63" t="s">
        <v>111</v>
      </c>
      <c r="H93" s="63">
        <v>75</v>
      </c>
      <c r="I93" s="65" t="s">
        <v>185</v>
      </c>
      <c r="J93" s="63">
        <v>2686</v>
      </c>
      <c r="K93" s="64">
        <v>745.37</v>
      </c>
      <c r="L93" s="63" t="s">
        <v>1981</v>
      </c>
      <c r="M93" s="65" t="str">
        <f t="shared" si="1"/>
        <v>BRASIL MINERACAOBEIRA RIORACHÃOZINHO</v>
      </c>
      <c r="N93" s="85" t="s">
        <v>111</v>
      </c>
    </row>
    <row r="94" spans="2:14" hidden="1" x14ac:dyDescent="0.25">
      <c r="B94" s="91">
        <v>46086</v>
      </c>
      <c r="C94" s="63">
        <v>1</v>
      </c>
      <c r="D94" s="63" t="s">
        <v>167</v>
      </c>
      <c r="E94" s="65" t="s">
        <v>168</v>
      </c>
      <c r="F94" s="65" t="s">
        <v>163</v>
      </c>
      <c r="G94" s="63" t="s">
        <v>111</v>
      </c>
      <c r="H94" s="63">
        <v>75</v>
      </c>
      <c r="I94" s="65" t="s">
        <v>185</v>
      </c>
      <c r="J94" s="63">
        <v>2668</v>
      </c>
      <c r="K94" s="64">
        <v>740.37</v>
      </c>
      <c r="L94" s="63" t="s">
        <v>1982</v>
      </c>
      <c r="M94" s="65" t="str">
        <f t="shared" si="1"/>
        <v>BRASIL MINERACAOBEIRA RIORACHÃOZINHO</v>
      </c>
      <c r="N94" s="85" t="s">
        <v>111</v>
      </c>
    </row>
    <row r="95" spans="2:14" hidden="1" x14ac:dyDescent="0.25">
      <c r="B95" s="91">
        <v>46086</v>
      </c>
      <c r="C95" s="63">
        <v>1</v>
      </c>
      <c r="D95" s="63" t="s">
        <v>167</v>
      </c>
      <c r="E95" s="65" t="s">
        <v>168</v>
      </c>
      <c r="F95" s="65" t="s">
        <v>163</v>
      </c>
      <c r="G95" s="63" t="s">
        <v>111</v>
      </c>
      <c r="H95" s="63">
        <v>75</v>
      </c>
      <c r="I95" s="65" t="s">
        <v>185</v>
      </c>
      <c r="J95" s="63">
        <v>2678</v>
      </c>
      <c r="K95" s="64">
        <v>743.15</v>
      </c>
      <c r="L95" s="63" t="s">
        <v>1983</v>
      </c>
      <c r="M95" s="65" t="str">
        <f t="shared" si="1"/>
        <v>BRASIL MINERACAOBEIRA RIORACHÃOZINHO</v>
      </c>
      <c r="N95" s="85" t="s">
        <v>111</v>
      </c>
    </row>
    <row r="96" spans="2:14" hidden="1" x14ac:dyDescent="0.25">
      <c r="B96" s="91">
        <v>46086</v>
      </c>
      <c r="C96" s="63">
        <v>1</v>
      </c>
      <c r="D96" s="63" t="s">
        <v>193</v>
      </c>
      <c r="E96" s="65" t="s">
        <v>285</v>
      </c>
      <c r="F96" s="65" t="s">
        <v>166</v>
      </c>
      <c r="G96" s="63" t="s">
        <v>111</v>
      </c>
      <c r="H96" s="63">
        <v>79</v>
      </c>
      <c r="I96" s="65" t="s">
        <v>169</v>
      </c>
      <c r="J96" s="63">
        <v>2584</v>
      </c>
      <c r="K96" s="64">
        <v>755.3</v>
      </c>
      <c r="L96" s="63" t="s">
        <v>1984</v>
      </c>
      <c r="M96" s="65" t="str">
        <f t="shared" si="1"/>
        <v>GRANORTEBEIRA RIOPULMÃOZINHO</v>
      </c>
      <c r="N96" s="85" t="s">
        <v>111</v>
      </c>
    </row>
    <row r="97" spans="2:14" hidden="1" x14ac:dyDescent="0.25">
      <c r="B97" s="91">
        <v>46086</v>
      </c>
      <c r="C97" s="63">
        <v>1</v>
      </c>
      <c r="D97" s="63" t="s">
        <v>193</v>
      </c>
      <c r="E97" s="65" t="s">
        <v>285</v>
      </c>
      <c r="F97" s="65" t="s">
        <v>166</v>
      </c>
      <c r="G97" s="63" t="s">
        <v>111</v>
      </c>
      <c r="H97" s="63">
        <v>79</v>
      </c>
      <c r="I97" s="65" t="s">
        <v>169</v>
      </c>
      <c r="J97" s="63">
        <v>2572</v>
      </c>
      <c r="K97" s="64">
        <v>751.8</v>
      </c>
      <c r="L97" s="63" t="s">
        <v>1985</v>
      </c>
      <c r="M97" s="65" t="str">
        <f t="shared" si="1"/>
        <v>GRANORTEBEIRA RIOPULMÃOZINHO</v>
      </c>
      <c r="N97" s="85" t="s">
        <v>111</v>
      </c>
    </row>
    <row r="98" spans="2:14" hidden="1" x14ac:dyDescent="0.25">
      <c r="B98" s="91">
        <v>46086</v>
      </c>
      <c r="C98" s="63">
        <v>1</v>
      </c>
      <c r="D98" s="63" t="s">
        <v>192</v>
      </c>
      <c r="E98" s="65" t="s">
        <v>287</v>
      </c>
      <c r="F98" s="65" t="s">
        <v>163</v>
      </c>
      <c r="G98" s="63" t="s">
        <v>164</v>
      </c>
      <c r="H98" s="63">
        <v>52</v>
      </c>
      <c r="I98" s="65" t="s">
        <v>165</v>
      </c>
      <c r="J98" s="63">
        <v>4662</v>
      </c>
      <c r="K98" s="64">
        <v>896.97</v>
      </c>
      <c r="L98" s="63" t="s">
        <v>1986</v>
      </c>
      <c r="M98" s="65" t="str">
        <f t="shared" si="1"/>
        <v>BRASIL MINERACAOUA SAO LUISPÓ DE BRITA</v>
      </c>
      <c r="N98" s="85" t="s">
        <v>224</v>
      </c>
    </row>
    <row r="99" spans="2:14" hidden="1" x14ac:dyDescent="0.25">
      <c r="B99" s="91">
        <v>46086</v>
      </c>
      <c r="C99" s="63">
        <v>1</v>
      </c>
      <c r="D99" s="63" t="s">
        <v>192</v>
      </c>
      <c r="E99" s="65" t="s">
        <v>287</v>
      </c>
      <c r="F99" s="65" t="s">
        <v>163</v>
      </c>
      <c r="G99" s="63" t="s">
        <v>164</v>
      </c>
      <c r="H99" s="63">
        <v>52</v>
      </c>
      <c r="I99" s="65" t="s">
        <v>165</v>
      </c>
      <c r="J99" s="63">
        <v>4728</v>
      </c>
      <c r="K99" s="64">
        <v>909.67</v>
      </c>
      <c r="L99" s="63" t="s">
        <v>1987</v>
      </c>
      <c r="M99" s="65" t="str">
        <f t="shared" si="1"/>
        <v>BRASIL MINERACAOUA SAO LUISPÓ DE BRITA</v>
      </c>
      <c r="N99" s="85" t="s">
        <v>224</v>
      </c>
    </row>
    <row r="100" spans="2:14" hidden="1" x14ac:dyDescent="0.25">
      <c r="B100" s="91">
        <v>46086</v>
      </c>
      <c r="C100" s="63">
        <v>1</v>
      </c>
      <c r="D100" s="63" t="s">
        <v>183</v>
      </c>
      <c r="E100" s="65" t="s">
        <v>506</v>
      </c>
      <c r="F100" s="65" t="s">
        <v>163</v>
      </c>
      <c r="G100" s="63" t="s">
        <v>164</v>
      </c>
      <c r="H100" s="63">
        <v>52</v>
      </c>
      <c r="I100" s="65" t="s">
        <v>165</v>
      </c>
      <c r="J100" s="63">
        <v>2568</v>
      </c>
      <c r="K100" s="64">
        <v>494.08</v>
      </c>
      <c r="L100" s="63" t="s">
        <v>1988</v>
      </c>
      <c r="M100" s="65" t="str">
        <f t="shared" si="1"/>
        <v>BRASIL MINERACAOUA SAO LUISPÓ DE BRITA</v>
      </c>
      <c r="N100" s="85" t="s">
        <v>224</v>
      </c>
    </row>
    <row r="101" spans="2:14" hidden="1" x14ac:dyDescent="0.25">
      <c r="B101" s="91">
        <v>46086</v>
      </c>
      <c r="C101" s="63">
        <v>1</v>
      </c>
      <c r="D101" s="63" t="s">
        <v>286</v>
      </c>
      <c r="E101" s="65" t="s">
        <v>506</v>
      </c>
      <c r="F101" s="65" t="s">
        <v>163</v>
      </c>
      <c r="G101" s="63" t="s">
        <v>164</v>
      </c>
      <c r="H101" s="63">
        <v>52</v>
      </c>
      <c r="I101" s="65" t="s">
        <v>165</v>
      </c>
      <c r="J101" s="63">
        <v>2568</v>
      </c>
      <c r="K101" s="64">
        <v>494.08</v>
      </c>
      <c r="L101" s="63" t="s">
        <v>1988</v>
      </c>
      <c r="M101" s="65" t="str">
        <f t="shared" si="1"/>
        <v>BRASIL MINERACAOUA SAO LUISPÓ DE BRITA</v>
      </c>
      <c r="N101" s="85" t="s">
        <v>224</v>
      </c>
    </row>
    <row r="102" spans="2:14" hidden="1" x14ac:dyDescent="0.25">
      <c r="B102" s="91">
        <v>46086</v>
      </c>
      <c r="C102" s="63">
        <v>1</v>
      </c>
      <c r="D102" s="63" t="s">
        <v>286</v>
      </c>
      <c r="E102" s="65" t="s">
        <v>506</v>
      </c>
      <c r="F102" s="65" t="s">
        <v>163</v>
      </c>
      <c r="G102" s="63" t="s">
        <v>164</v>
      </c>
      <c r="H102" s="63">
        <v>52</v>
      </c>
      <c r="I102" s="65" t="s">
        <v>165</v>
      </c>
      <c r="J102" s="63">
        <v>2722</v>
      </c>
      <c r="K102" s="64">
        <v>523.71</v>
      </c>
      <c r="L102" s="63" t="s">
        <v>1989</v>
      </c>
      <c r="M102" s="65" t="str">
        <f t="shared" si="1"/>
        <v>BRASIL MINERACAOUA SAO LUISPÓ DE BRITA</v>
      </c>
      <c r="N102" s="85" t="s">
        <v>224</v>
      </c>
    </row>
    <row r="103" spans="2:14" hidden="1" x14ac:dyDescent="0.25">
      <c r="B103" s="91">
        <v>46086</v>
      </c>
      <c r="C103" s="63">
        <v>1</v>
      </c>
      <c r="D103" s="63" t="s">
        <v>286</v>
      </c>
      <c r="E103" s="65" t="s">
        <v>506</v>
      </c>
      <c r="F103" s="65" t="s">
        <v>163</v>
      </c>
      <c r="G103" s="63" t="s">
        <v>164</v>
      </c>
      <c r="H103" s="63">
        <v>52</v>
      </c>
      <c r="I103" s="65" t="s">
        <v>165</v>
      </c>
      <c r="J103" s="63">
        <v>2724</v>
      </c>
      <c r="K103" s="64">
        <v>524.1</v>
      </c>
      <c r="L103" s="63" t="s">
        <v>1990</v>
      </c>
      <c r="M103" s="65" t="str">
        <f t="shared" si="1"/>
        <v>BRASIL MINERACAOUA SAO LUISPÓ DE BRITA</v>
      </c>
      <c r="N103" s="85" t="s">
        <v>224</v>
      </c>
    </row>
    <row r="104" spans="2:14" hidden="1" x14ac:dyDescent="0.25">
      <c r="B104" s="91">
        <v>46086</v>
      </c>
      <c r="C104" s="63">
        <v>1</v>
      </c>
      <c r="D104" s="63" t="s">
        <v>270</v>
      </c>
      <c r="E104" s="65" t="s">
        <v>288</v>
      </c>
      <c r="F104" s="65" t="s">
        <v>166</v>
      </c>
      <c r="G104" s="63" t="s">
        <v>164</v>
      </c>
      <c r="H104" s="63">
        <v>58</v>
      </c>
      <c r="I104" s="65" t="s">
        <v>175</v>
      </c>
      <c r="J104" s="63">
        <v>4454</v>
      </c>
      <c r="K104" s="64">
        <v>955.83</v>
      </c>
      <c r="L104" s="63" t="s">
        <v>1991</v>
      </c>
      <c r="M104" s="65" t="str">
        <f t="shared" si="1"/>
        <v>GRANORTEUA SAO LUISBRITA 0</v>
      </c>
      <c r="N104" s="85" t="s">
        <v>224</v>
      </c>
    </row>
    <row r="105" spans="2:14" hidden="1" x14ac:dyDescent="0.25">
      <c r="B105" s="91">
        <v>46086</v>
      </c>
      <c r="C105" s="63">
        <v>1</v>
      </c>
      <c r="D105" s="63" t="s">
        <v>275</v>
      </c>
      <c r="E105" s="65" t="s">
        <v>217</v>
      </c>
      <c r="F105" s="65" t="s">
        <v>163</v>
      </c>
      <c r="G105" s="63" t="s">
        <v>164</v>
      </c>
      <c r="H105" s="63">
        <v>52</v>
      </c>
      <c r="I105" s="65" t="s">
        <v>165</v>
      </c>
      <c r="J105" s="63">
        <v>4948</v>
      </c>
      <c r="K105" s="64">
        <v>952</v>
      </c>
      <c r="L105" s="63" t="s">
        <v>1992</v>
      </c>
      <c r="M105" s="65" t="str">
        <f t="shared" si="1"/>
        <v>BRASIL MINERACAOUA SAO LUISPÓ DE BRITA</v>
      </c>
      <c r="N105" s="85" t="s">
        <v>224</v>
      </c>
    </row>
    <row r="106" spans="2:14" hidden="1" x14ac:dyDescent="0.25">
      <c r="B106" s="91">
        <v>46086</v>
      </c>
      <c r="C106" s="63">
        <v>1</v>
      </c>
      <c r="D106" s="63" t="s">
        <v>275</v>
      </c>
      <c r="E106" s="65" t="s">
        <v>217</v>
      </c>
      <c r="F106" s="65" t="s">
        <v>163</v>
      </c>
      <c r="G106" s="63" t="s">
        <v>164</v>
      </c>
      <c r="H106" s="63">
        <v>52</v>
      </c>
      <c r="I106" s="65" t="s">
        <v>165</v>
      </c>
      <c r="J106" s="63">
        <v>5176</v>
      </c>
      <c r="K106" s="64">
        <v>995.86</v>
      </c>
      <c r="L106" s="63" t="s">
        <v>1993</v>
      </c>
      <c r="M106" s="65" t="str">
        <f t="shared" si="1"/>
        <v>BRASIL MINERACAOUA SAO LUISPÓ DE BRITA</v>
      </c>
      <c r="N106" s="85" t="s">
        <v>224</v>
      </c>
    </row>
    <row r="107" spans="2:14" hidden="1" x14ac:dyDescent="0.25">
      <c r="B107" s="91">
        <v>46086</v>
      </c>
      <c r="C107" s="63">
        <v>1</v>
      </c>
      <c r="D107" s="63" t="s">
        <v>200</v>
      </c>
      <c r="E107" s="65" t="s">
        <v>201</v>
      </c>
      <c r="F107" s="65" t="s">
        <v>163</v>
      </c>
      <c r="G107" s="63" t="s">
        <v>164</v>
      </c>
      <c r="H107" s="63">
        <v>52</v>
      </c>
      <c r="I107" s="65" t="s">
        <v>165</v>
      </c>
      <c r="J107" s="63">
        <v>4492</v>
      </c>
      <c r="K107" s="64">
        <v>864.26</v>
      </c>
      <c r="L107" s="63" t="s">
        <v>1994</v>
      </c>
      <c r="M107" s="65" t="str">
        <f t="shared" si="1"/>
        <v>BRASIL MINERACAOUA SAO LUISPÓ DE BRITA</v>
      </c>
      <c r="N107" s="85" t="s">
        <v>224</v>
      </c>
    </row>
    <row r="108" spans="2:14" hidden="1" x14ac:dyDescent="0.25">
      <c r="B108" s="91">
        <v>46087</v>
      </c>
      <c r="C108" s="63">
        <v>1</v>
      </c>
      <c r="D108" s="63" t="s">
        <v>188</v>
      </c>
      <c r="E108" s="65" t="s">
        <v>189</v>
      </c>
      <c r="F108" s="65" t="s">
        <v>166</v>
      </c>
      <c r="G108" s="63" t="s">
        <v>164</v>
      </c>
      <c r="H108" s="63">
        <v>58</v>
      </c>
      <c r="I108" s="65" t="s">
        <v>195</v>
      </c>
      <c r="J108" s="63">
        <v>8014</v>
      </c>
      <c r="K108" s="64">
        <v>1719.8</v>
      </c>
      <c r="L108" s="63" t="s">
        <v>1995</v>
      </c>
      <c r="M108" s="65" t="str">
        <f t="shared" si="1"/>
        <v>GRANORTEUA SAO LUISBRITA 1</v>
      </c>
      <c r="N108" s="85" t="s">
        <v>224</v>
      </c>
    </row>
    <row r="109" spans="2:14" hidden="1" x14ac:dyDescent="0.25">
      <c r="B109" s="91">
        <v>46087</v>
      </c>
      <c r="C109" s="63">
        <v>1</v>
      </c>
      <c r="D109" s="63" t="s">
        <v>219</v>
      </c>
      <c r="E109" s="65" t="s">
        <v>220</v>
      </c>
      <c r="F109" s="65" t="s">
        <v>163</v>
      </c>
      <c r="G109" s="63" t="s">
        <v>164</v>
      </c>
      <c r="H109" s="63">
        <v>52</v>
      </c>
      <c r="I109" s="65" t="s">
        <v>165</v>
      </c>
      <c r="J109" s="63">
        <v>432</v>
      </c>
      <c r="K109" s="64">
        <v>831.17</v>
      </c>
      <c r="L109" s="63" t="s">
        <v>1996</v>
      </c>
      <c r="M109" s="65" t="str">
        <f t="shared" si="1"/>
        <v>BRASIL MINERACAOUA SAO LUISPÓ DE BRITA</v>
      </c>
      <c r="N109" s="85" t="s">
        <v>224</v>
      </c>
    </row>
    <row r="110" spans="2:14" hidden="1" x14ac:dyDescent="0.25">
      <c r="B110" s="91">
        <v>46087</v>
      </c>
      <c r="C110" s="63">
        <v>1</v>
      </c>
      <c r="D110" s="63" t="s">
        <v>170</v>
      </c>
      <c r="E110" s="65" t="s">
        <v>171</v>
      </c>
      <c r="F110" s="65" t="s">
        <v>166</v>
      </c>
      <c r="G110" s="63" t="s">
        <v>824</v>
      </c>
      <c r="H110" s="63">
        <v>78</v>
      </c>
      <c r="I110" s="65" t="s">
        <v>169</v>
      </c>
      <c r="J110" s="63">
        <v>2502</v>
      </c>
      <c r="K110" s="64">
        <v>722.08</v>
      </c>
      <c r="L110" s="63" t="s">
        <v>1997</v>
      </c>
      <c r="M110" s="65" t="str">
        <f t="shared" si="1"/>
        <v>GRANORTECRUZAMENTO MA 201/202 (METROPOLITANA)PULMÃOZINHO</v>
      </c>
      <c r="N110" s="85" t="s">
        <v>108</v>
      </c>
    </row>
    <row r="111" spans="2:14" hidden="1" x14ac:dyDescent="0.25">
      <c r="B111" s="91">
        <v>46087</v>
      </c>
      <c r="C111" s="63">
        <v>1</v>
      </c>
      <c r="D111" s="63" t="s">
        <v>199</v>
      </c>
      <c r="E111" s="65" t="s">
        <v>180</v>
      </c>
      <c r="F111" s="65" t="s">
        <v>163</v>
      </c>
      <c r="G111" s="63" t="s">
        <v>111</v>
      </c>
      <c r="H111" s="63">
        <v>75</v>
      </c>
      <c r="I111" s="65" t="s">
        <v>185</v>
      </c>
      <c r="J111" s="63">
        <v>2874</v>
      </c>
      <c r="K111" s="64">
        <v>797.54</v>
      </c>
      <c r="L111" s="63" t="s">
        <v>1998</v>
      </c>
      <c r="M111" s="65" t="str">
        <f t="shared" si="1"/>
        <v>BRASIL MINERACAOBEIRA RIORACHÃOZINHO</v>
      </c>
      <c r="N111" s="85" t="s">
        <v>111</v>
      </c>
    </row>
    <row r="112" spans="2:14" hidden="1" x14ac:dyDescent="0.25">
      <c r="B112" s="91">
        <v>46087</v>
      </c>
      <c r="C112" s="63">
        <v>1</v>
      </c>
      <c r="D112" s="63" t="s">
        <v>196</v>
      </c>
      <c r="E112" s="65" t="s">
        <v>197</v>
      </c>
      <c r="F112" s="65" t="s">
        <v>163</v>
      </c>
      <c r="G112" s="63" t="s">
        <v>164</v>
      </c>
      <c r="H112" s="63">
        <v>52</v>
      </c>
      <c r="I112" s="65" t="s">
        <v>165</v>
      </c>
      <c r="J112" s="63">
        <v>4926</v>
      </c>
      <c r="K112" s="64">
        <v>947.76</v>
      </c>
      <c r="L112" s="63" t="s">
        <v>1999</v>
      </c>
      <c r="M112" s="65" t="str">
        <f t="shared" si="1"/>
        <v>BRASIL MINERACAOUA SAO LUISPÓ DE BRITA</v>
      </c>
      <c r="N112" s="85" t="s">
        <v>224</v>
      </c>
    </row>
    <row r="113" spans="2:14" hidden="1" x14ac:dyDescent="0.25">
      <c r="B113" s="91">
        <v>46087</v>
      </c>
      <c r="C113" s="63">
        <v>1</v>
      </c>
      <c r="D113" s="63" t="s">
        <v>170</v>
      </c>
      <c r="E113" s="65" t="s">
        <v>171</v>
      </c>
      <c r="F113" s="65" t="s">
        <v>166</v>
      </c>
      <c r="G113" s="63" t="s">
        <v>824</v>
      </c>
      <c r="H113" s="63">
        <v>78</v>
      </c>
      <c r="I113" s="65" t="s">
        <v>169</v>
      </c>
      <c r="J113" s="63">
        <v>2476</v>
      </c>
      <c r="K113" s="64">
        <v>714.57</v>
      </c>
      <c r="L113" s="63" t="s">
        <v>2000</v>
      </c>
      <c r="M113" s="65" t="str">
        <f t="shared" si="1"/>
        <v>GRANORTECRUZAMENTO MA 201/202 (METROPOLITANA)PULMÃOZINHO</v>
      </c>
      <c r="N113" s="85" t="s">
        <v>108</v>
      </c>
    </row>
    <row r="114" spans="2:14" hidden="1" x14ac:dyDescent="0.25">
      <c r="B114" s="91">
        <v>46087</v>
      </c>
      <c r="C114" s="63">
        <v>1</v>
      </c>
      <c r="D114" s="63" t="s">
        <v>188</v>
      </c>
      <c r="E114" s="65" t="s">
        <v>189</v>
      </c>
      <c r="F114" s="65" t="s">
        <v>166</v>
      </c>
      <c r="G114" s="63" t="s">
        <v>164</v>
      </c>
      <c r="H114" s="63">
        <v>58</v>
      </c>
      <c r="I114" s="65" t="s">
        <v>195</v>
      </c>
      <c r="J114" s="63">
        <v>5874</v>
      </c>
      <c r="K114" s="64">
        <v>1260.56</v>
      </c>
      <c r="L114" s="63" t="s">
        <v>2001</v>
      </c>
      <c r="M114" s="65" t="str">
        <f t="shared" si="1"/>
        <v>GRANORTEUA SAO LUISBRITA 1</v>
      </c>
      <c r="N114" s="85" t="s">
        <v>224</v>
      </c>
    </row>
    <row r="115" spans="2:14" hidden="1" x14ac:dyDescent="0.25">
      <c r="B115" s="91">
        <v>46087</v>
      </c>
      <c r="C115" s="63">
        <v>1</v>
      </c>
      <c r="D115" s="63" t="s">
        <v>210</v>
      </c>
      <c r="E115" s="65" t="s">
        <v>211</v>
      </c>
      <c r="F115" s="65" t="s">
        <v>163</v>
      </c>
      <c r="G115" s="63" t="s">
        <v>164</v>
      </c>
      <c r="H115" s="63">
        <v>52</v>
      </c>
      <c r="I115" s="65" t="s">
        <v>165</v>
      </c>
      <c r="J115" s="63">
        <v>4462</v>
      </c>
      <c r="K115" s="64">
        <v>858.49</v>
      </c>
      <c r="L115" s="63" t="s">
        <v>2002</v>
      </c>
      <c r="M115" s="65" t="str">
        <f t="shared" si="1"/>
        <v>BRASIL MINERACAOUA SAO LUISPÓ DE BRITA</v>
      </c>
      <c r="N115" s="85" t="s">
        <v>224</v>
      </c>
    </row>
    <row r="116" spans="2:14" hidden="1" x14ac:dyDescent="0.25">
      <c r="B116" s="91">
        <v>46087</v>
      </c>
      <c r="C116" s="63">
        <v>1</v>
      </c>
      <c r="D116" s="63" t="s">
        <v>199</v>
      </c>
      <c r="E116" s="65" t="s">
        <v>180</v>
      </c>
      <c r="F116" s="65" t="s">
        <v>163</v>
      </c>
      <c r="G116" s="63" t="s">
        <v>111</v>
      </c>
      <c r="H116" s="63">
        <v>75</v>
      </c>
      <c r="I116" s="65" t="s">
        <v>185</v>
      </c>
      <c r="J116" s="63">
        <v>2824</v>
      </c>
      <c r="K116" s="64">
        <v>783.66</v>
      </c>
      <c r="L116" s="63" t="s">
        <v>2003</v>
      </c>
      <c r="M116" s="65" t="str">
        <f t="shared" si="1"/>
        <v>BRASIL MINERACAOBEIRA RIORACHÃOZINHO</v>
      </c>
      <c r="N116" s="85" t="s">
        <v>111</v>
      </c>
    </row>
    <row r="117" spans="2:14" hidden="1" x14ac:dyDescent="0.25">
      <c r="B117" s="91">
        <v>46087</v>
      </c>
      <c r="C117" s="63">
        <v>1</v>
      </c>
      <c r="D117" s="63" t="s">
        <v>213</v>
      </c>
      <c r="E117" s="65" t="s">
        <v>178</v>
      </c>
      <c r="F117" s="65" t="s">
        <v>166</v>
      </c>
      <c r="G117" s="63" t="s">
        <v>824</v>
      </c>
      <c r="H117" s="63">
        <v>78</v>
      </c>
      <c r="I117" s="65" t="s">
        <v>169</v>
      </c>
      <c r="J117" s="63">
        <v>3234</v>
      </c>
      <c r="K117" s="64">
        <v>933.33</v>
      </c>
      <c r="L117" s="63" t="s">
        <v>2004</v>
      </c>
      <c r="M117" s="65" t="str">
        <f t="shared" si="1"/>
        <v>GRANORTECRUZAMENTO MA 201/202 (METROPOLITANA)PULMÃOZINHO</v>
      </c>
      <c r="N117" s="85" t="s">
        <v>108</v>
      </c>
    </row>
    <row r="118" spans="2:14" hidden="1" x14ac:dyDescent="0.25">
      <c r="B118" s="91">
        <v>46087</v>
      </c>
      <c r="C118" s="63">
        <v>1</v>
      </c>
      <c r="D118" s="63" t="s">
        <v>208</v>
      </c>
      <c r="E118" s="65" t="s">
        <v>209</v>
      </c>
      <c r="F118" s="65" t="s">
        <v>163</v>
      </c>
      <c r="G118" s="63" t="s">
        <v>164</v>
      </c>
      <c r="H118" s="63">
        <v>52</v>
      </c>
      <c r="I118" s="65" t="s">
        <v>165</v>
      </c>
      <c r="J118" s="63">
        <v>460</v>
      </c>
      <c r="K118" s="64">
        <v>885.04</v>
      </c>
      <c r="L118" s="63" t="s">
        <v>2005</v>
      </c>
      <c r="M118" s="65" t="str">
        <f t="shared" si="1"/>
        <v>BRASIL MINERACAOUA SAO LUISPÓ DE BRITA</v>
      </c>
      <c r="N118" s="85" t="s">
        <v>224</v>
      </c>
    </row>
    <row r="119" spans="2:14" hidden="1" x14ac:dyDescent="0.25">
      <c r="B119" s="91">
        <v>46087</v>
      </c>
      <c r="C119" s="63">
        <v>1</v>
      </c>
      <c r="D119" s="63" t="s">
        <v>196</v>
      </c>
      <c r="E119" s="65" t="s">
        <v>197</v>
      </c>
      <c r="F119" s="65" t="s">
        <v>163</v>
      </c>
      <c r="G119" s="63" t="s">
        <v>164</v>
      </c>
      <c r="H119" s="63">
        <v>52</v>
      </c>
      <c r="I119" s="65" t="s">
        <v>165</v>
      </c>
      <c r="J119" s="63">
        <v>4858</v>
      </c>
      <c r="K119" s="64">
        <v>934.68</v>
      </c>
      <c r="L119" s="63" t="s">
        <v>2006</v>
      </c>
      <c r="M119" s="65" t="str">
        <f t="shared" si="1"/>
        <v>BRASIL MINERACAOUA SAO LUISPÓ DE BRITA</v>
      </c>
      <c r="N119" s="85" t="s">
        <v>224</v>
      </c>
    </row>
    <row r="120" spans="2:14" hidden="1" x14ac:dyDescent="0.25">
      <c r="B120" s="91">
        <v>46087</v>
      </c>
      <c r="C120" s="63">
        <v>1</v>
      </c>
      <c r="D120" s="63" t="s">
        <v>1948</v>
      </c>
      <c r="E120" s="65" t="s">
        <v>1949</v>
      </c>
      <c r="F120" s="65" t="s">
        <v>163</v>
      </c>
      <c r="G120" s="63" t="s">
        <v>164</v>
      </c>
      <c r="H120" s="63">
        <v>52</v>
      </c>
      <c r="I120" s="65" t="s">
        <v>165</v>
      </c>
      <c r="J120" s="63">
        <v>471</v>
      </c>
      <c r="K120" s="64">
        <v>906.2</v>
      </c>
      <c r="L120" s="63" t="s">
        <v>2007</v>
      </c>
      <c r="M120" s="65" t="str">
        <f t="shared" si="1"/>
        <v>BRASIL MINERACAOUA SAO LUISPÓ DE BRITA</v>
      </c>
      <c r="N120" s="85" t="s">
        <v>224</v>
      </c>
    </row>
    <row r="121" spans="2:14" hidden="1" x14ac:dyDescent="0.25">
      <c r="B121" s="91">
        <v>46087</v>
      </c>
      <c r="C121" s="63">
        <v>1</v>
      </c>
      <c r="D121" s="63" t="s">
        <v>1948</v>
      </c>
      <c r="E121" s="65" t="s">
        <v>1949</v>
      </c>
      <c r="F121" s="65" t="s">
        <v>163</v>
      </c>
      <c r="G121" s="63" t="s">
        <v>164</v>
      </c>
      <c r="H121" s="63">
        <v>52</v>
      </c>
      <c r="I121" s="65" t="s">
        <v>165</v>
      </c>
      <c r="J121" s="63">
        <v>469</v>
      </c>
      <c r="K121" s="64">
        <v>902.36</v>
      </c>
      <c r="L121" s="63" t="s">
        <v>2008</v>
      </c>
      <c r="M121" s="65" t="str">
        <f t="shared" si="1"/>
        <v>BRASIL MINERACAOUA SAO LUISPÓ DE BRITA</v>
      </c>
      <c r="N121" s="85" t="s">
        <v>224</v>
      </c>
    </row>
    <row r="122" spans="2:14" hidden="1" x14ac:dyDescent="0.25">
      <c r="B122" s="91">
        <v>46087</v>
      </c>
      <c r="C122" s="63">
        <v>1</v>
      </c>
      <c r="D122" s="63" t="s">
        <v>219</v>
      </c>
      <c r="E122" s="65" t="s">
        <v>220</v>
      </c>
      <c r="F122" s="65" t="s">
        <v>163</v>
      </c>
      <c r="G122" s="63" t="s">
        <v>164</v>
      </c>
      <c r="H122" s="63">
        <v>52</v>
      </c>
      <c r="I122" s="65" t="s">
        <v>175</v>
      </c>
      <c r="J122" s="63">
        <v>528</v>
      </c>
      <c r="K122" s="64">
        <v>1015.87</v>
      </c>
      <c r="L122" s="63" t="s">
        <v>2009</v>
      </c>
      <c r="M122" s="65" t="str">
        <f t="shared" si="1"/>
        <v>BRASIL MINERACAOUA SAO LUISBRITA 0</v>
      </c>
      <c r="N122" s="85" t="s">
        <v>224</v>
      </c>
    </row>
    <row r="123" spans="2:14" hidden="1" x14ac:dyDescent="0.25">
      <c r="B123" s="91">
        <v>46087</v>
      </c>
      <c r="C123" s="63">
        <v>1</v>
      </c>
      <c r="D123" s="63" t="s">
        <v>167</v>
      </c>
      <c r="E123" s="65" t="s">
        <v>168</v>
      </c>
      <c r="F123" s="65" t="s">
        <v>163</v>
      </c>
      <c r="G123" s="63" t="s">
        <v>111</v>
      </c>
      <c r="H123" s="63">
        <v>75</v>
      </c>
      <c r="I123" s="65" t="s">
        <v>185</v>
      </c>
      <c r="J123" s="63">
        <v>263</v>
      </c>
      <c r="K123" s="64">
        <v>729.83</v>
      </c>
      <c r="L123" s="63" t="s">
        <v>2010</v>
      </c>
      <c r="M123" s="65" t="str">
        <f t="shared" si="1"/>
        <v>BRASIL MINERACAOBEIRA RIORACHÃOZINHO</v>
      </c>
      <c r="N123" s="85" t="s">
        <v>111</v>
      </c>
    </row>
    <row r="124" spans="2:14" hidden="1" x14ac:dyDescent="0.25">
      <c r="B124" s="91">
        <v>46087</v>
      </c>
      <c r="C124" s="63">
        <v>1</v>
      </c>
      <c r="D124" s="63" t="s">
        <v>167</v>
      </c>
      <c r="E124" s="65" t="s">
        <v>168</v>
      </c>
      <c r="F124" s="65" t="s">
        <v>163</v>
      </c>
      <c r="G124" s="63" t="s">
        <v>111</v>
      </c>
      <c r="H124" s="63">
        <v>75</v>
      </c>
      <c r="I124" s="65" t="s">
        <v>185</v>
      </c>
      <c r="J124" s="63">
        <v>2766</v>
      </c>
      <c r="K124" s="64">
        <v>767.57</v>
      </c>
      <c r="L124" s="63" t="s">
        <v>2011</v>
      </c>
      <c r="M124" s="65" t="str">
        <f t="shared" si="1"/>
        <v>BRASIL MINERACAOBEIRA RIORACHÃOZINHO</v>
      </c>
      <c r="N124" s="85" t="s">
        <v>111</v>
      </c>
    </row>
    <row r="125" spans="2:14" hidden="1" x14ac:dyDescent="0.25">
      <c r="B125" s="91">
        <v>46087</v>
      </c>
      <c r="C125" s="63">
        <v>1</v>
      </c>
      <c r="D125" s="63" t="s">
        <v>283</v>
      </c>
      <c r="E125" s="65" t="s">
        <v>215</v>
      </c>
      <c r="F125" s="65" t="s">
        <v>166</v>
      </c>
      <c r="G125" s="63" t="s">
        <v>1936</v>
      </c>
      <c r="H125" s="63">
        <v>41</v>
      </c>
      <c r="I125" s="65" t="s">
        <v>172</v>
      </c>
      <c r="J125" s="63">
        <v>301</v>
      </c>
      <c r="K125" s="64">
        <v>456.62</v>
      </c>
      <c r="L125" s="63" t="s">
        <v>2012</v>
      </c>
      <c r="M125" s="65" t="str">
        <f t="shared" si="1"/>
        <v>GRANORTEEDECOMINAS CALCARIO PORTOBICA CORRIDA</v>
      </c>
      <c r="N125" s="85" t="s">
        <v>2858</v>
      </c>
    </row>
    <row r="126" spans="2:14" hidden="1" x14ac:dyDescent="0.25">
      <c r="B126" s="91">
        <v>46087</v>
      </c>
      <c r="C126" s="63">
        <v>1</v>
      </c>
      <c r="D126" s="63" t="s">
        <v>283</v>
      </c>
      <c r="E126" s="65" t="s">
        <v>215</v>
      </c>
      <c r="F126" s="65" t="s">
        <v>166</v>
      </c>
      <c r="G126" s="63" t="s">
        <v>1936</v>
      </c>
      <c r="H126" s="63">
        <v>41</v>
      </c>
      <c r="I126" s="65" t="s">
        <v>172</v>
      </c>
      <c r="J126" s="63">
        <v>3106</v>
      </c>
      <c r="K126" s="64">
        <v>471.18</v>
      </c>
      <c r="L126" s="63" t="s">
        <v>2013</v>
      </c>
      <c r="M126" s="65" t="str">
        <f t="shared" si="1"/>
        <v>GRANORTEEDECOMINAS CALCARIO PORTOBICA CORRIDA</v>
      </c>
      <c r="N126" s="85" t="s">
        <v>2858</v>
      </c>
    </row>
    <row r="127" spans="2:14" hidden="1" x14ac:dyDescent="0.25">
      <c r="B127" s="91">
        <v>46087</v>
      </c>
      <c r="C127" s="63">
        <v>1</v>
      </c>
      <c r="D127" s="63" t="s">
        <v>199</v>
      </c>
      <c r="E127" s="65" t="s">
        <v>180</v>
      </c>
      <c r="F127" s="65" t="s">
        <v>163</v>
      </c>
      <c r="G127" s="63" t="s">
        <v>111</v>
      </c>
      <c r="H127" s="63">
        <v>75</v>
      </c>
      <c r="I127" s="65" t="s">
        <v>185</v>
      </c>
      <c r="J127" s="63">
        <v>2684</v>
      </c>
      <c r="K127" s="64">
        <v>744.81</v>
      </c>
      <c r="L127" s="63" t="s">
        <v>2014</v>
      </c>
      <c r="M127" s="65" t="str">
        <f t="shared" si="1"/>
        <v>BRASIL MINERACAOBEIRA RIORACHÃOZINHO</v>
      </c>
      <c r="N127" s="85" t="s">
        <v>111</v>
      </c>
    </row>
    <row r="128" spans="2:14" hidden="1" x14ac:dyDescent="0.25">
      <c r="B128" s="91">
        <v>46087</v>
      </c>
      <c r="C128" s="63">
        <v>1</v>
      </c>
      <c r="D128" s="63" t="s">
        <v>210</v>
      </c>
      <c r="E128" s="65" t="s">
        <v>211</v>
      </c>
      <c r="F128" s="65" t="s">
        <v>163</v>
      </c>
      <c r="G128" s="63" t="s">
        <v>164</v>
      </c>
      <c r="H128" s="63">
        <v>52</v>
      </c>
      <c r="I128" s="65" t="s">
        <v>195</v>
      </c>
      <c r="J128" s="63">
        <v>459</v>
      </c>
      <c r="K128" s="64">
        <v>883.12</v>
      </c>
      <c r="L128" s="63" t="s">
        <v>2015</v>
      </c>
      <c r="M128" s="65" t="str">
        <f t="shared" si="1"/>
        <v>BRASIL MINERACAOUA SAO LUISBRITA 1</v>
      </c>
      <c r="N128" s="85" t="s">
        <v>224</v>
      </c>
    </row>
    <row r="129" spans="2:14" hidden="1" x14ac:dyDescent="0.25">
      <c r="B129" s="91">
        <v>46087</v>
      </c>
      <c r="C129" s="63">
        <v>1</v>
      </c>
      <c r="D129" s="63" t="s">
        <v>202</v>
      </c>
      <c r="E129" s="65" t="s">
        <v>214</v>
      </c>
      <c r="F129" s="65" t="s">
        <v>163</v>
      </c>
      <c r="G129" s="63" t="s">
        <v>164</v>
      </c>
      <c r="H129" s="63">
        <v>52</v>
      </c>
      <c r="I129" s="65" t="s">
        <v>165</v>
      </c>
      <c r="J129" s="63">
        <v>4744</v>
      </c>
      <c r="K129" s="64">
        <v>912.75</v>
      </c>
      <c r="L129" s="63" t="s">
        <v>2016</v>
      </c>
      <c r="M129" s="65" t="str">
        <f t="shared" si="1"/>
        <v>BRASIL MINERACAOUA SAO LUISPÓ DE BRITA</v>
      </c>
      <c r="N129" s="85" t="s">
        <v>224</v>
      </c>
    </row>
    <row r="130" spans="2:14" hidden="1" x14ac:dyDescent="0.25">
      <c r="B130" s="91">
        <v>46087</v>
      </c>
      <c r="C130" s="63">
        <v>1</v>
      </c>
      <c r="D130" s="63" t="s">
        <v>193</v>
      </c>
      <c r="E130" s="65" t="s">
        <v>285</v>
      </c>
      <c r="F130" s="65" t="s">
        <v>166</v>
      </c>
      <c r="G130" s="63" t="s">
        <v>111</v>
      </c>
      <c r="H130" s="63">
        <v>79</v>
      </c>
      <c r="I130" s="65" t="s">
        <v>169</v>
      </c>
      <c r="J130" s="63">
        <v>2536</v>
      </c>
      <c r="K130" s="64">
        <v>741.27</v>
      </c>
      <c r="L130" s="63" t="s">
        <v>2017</v>
      </c>
      <c r="M130" s="65" t="str">
        <f t="shared" si="1"/>
        <v>GRANORTEBEIRA RIOPULMÃOZINHO</v>
      </c>
      <c r="N130" s="85" t="s">
        <v>111</v>
      </c>
    </row>
    <row r="131" spans="2:14" hidden="1" x14ac:dyDescent="0.25">
      <c r="B131" s="91">
        <v>46087</v>
      </c>
      <c r="C131" s="63">
        <v>1</v>
      </c>
      <c r="D131" s="63" t="s">
        <v>193</v>
      </c>
      <c r="E131" s="65" t="s">
        <v>285</v>
      </c>
      <c r="F131" s="65" t="s">
        <v>166</v>
      </c>
      <c r="G131" s="63" t="s">
        <v>111</v>
      </c>
      <c r="H131" s="63">
        <v>79</v>
      </c>
      <c r="I131" s="65" t="s">
        <v>169</v>
      </c>
      <c r="J131" s="63">
        <v>2502</v>
      </c>
      <c r="K131" s="64">
        <v>731.33</v>
      </c>
      <c r="L131" s="63" t="s">
        <v>2018</v>
      </c>
      <c r="M131" s="65" t="str">
        <f t="shared" si="1"/>
        <v>GRANORTEBEIRA RIOPULMÃOZINHO</v>
      </c>
      <c r="N131" s="85" t="s">
        <v>111</v>
      </c>
    </row>
    <row r="132" spans="2:14" hidden="1" x14ac:dyDescent="0.25">
      <c r="B132" s="91">
        <v>46087</v>
      </c>
      <c r="C132" s="63">
        <v>1</v>
      </c>
      <c r="D132" s="63" t="s">
        <v>289</v>
      </c>
      <c r="E132" s="65" t="s">
        <v>290</v>
      </c>
      <c r="F132" s="65" t="s">
        <v>291</v>
      </c>
      <c r="G132" s="63" t="s">
        <v>667</v>
      </c>
      <c r="H132" s="63">
        <v>302</v>
      </c>
      <c r="I132" s="65" t="s">
        <v>279</v>
      </c>
      <c r="J132" s="63">
        <v>3288</v>
      </c>
      <c r="K132" s="64">
        <v>3674.01</v>
      </c>
      <c r="L132" s="63" t="s">
        <v>2019</v>
      </c>
      <c r="M132" s="65" t="str">
        <f t="shared" si="1"/>
        <v>MINERADORA PORTO FRANCO - MAVF CONSTRUTORA KM52MATACO</v>
      </c>
      <c r="N132" s="85" t="s">
        <v>15</v>
      </c>
    </row>
    <row r="133" spans="2:14" hidden="1" x14ac:dyDescent="0.25">
      <c r="B133" s="91">
        <v>46087</v>
      </c>
      <c r="C133" s="63">
        <v>1</v>
      </c>
      <c r="D133" s="63" t="s">
        <v>192</v>
      </c>
      <c r="E133" s="65" t="s">
        <v>287</v>
      </c>
      <c r="F133" s="65" t="s">
        <v>163</v>
      </c>
      <c r="G133" s="63" t="s">
        <v>164</v>
      </c>
      <c r="H133" s="63">
        <v>52</v>
      </c>
      <c r="I133" s="65" t="s">
        <v>165</v>
      </c>
      <c r="J133" s="63">
        <v>4764</v>
      </c>
      <c r="K133" s="64">
        <v>916.59</v>
      </c>
      <c r="L133" s="63" t="s">
        <v>2020</v>
      </c>
      <c r="M133" s="65" t="str">
        <f t="shared" ref="M133:M196" si="2">_xlfn.CONCAT(F133&amp;G133&amp;I133)</f>
        <v>BRASIL MINERACAOUA SAO LUISPÓ DE BRITA</v>
      </c>
      <c r="N133" s="85" t="s">
        <v>224</v>
      </c>
    </row>
    <row r="134" spans="2:14" hidden="1" x14ac:dyDescent="0.25">
      <c r="B134" s="91">
        <v>46087</v>
      </c>
      <c r="C134" s="63">
        <v>1</v>
      </c>
      <c r="D134" s="63" t="s">
        <v>192</v>
      </c>
      <c r="E134" s="65" t="s">
        <v>287</v>
      </c>
      <c r="F134" s="65" t="s">
        <v>163</v>
      </c>
      <c r="G134" s="63" t="s">
        <v>164</v>
      </c>
      <c r="H134" s="63">
        <v>52</v>
      </c>
      <c r="I134" s="65" t="s">
        <v>165</v>
      </c>
      <c r="J134" s="63">
        <v>485</v>
      </c>
      <c r="K134" s="64">
        <v>933.14</v>
      </c>
      <c r="L134" s="63" t="s">
        <v>2021</v>
      </c>
      <c r="M134" s="65" t="str">
        <f t="shared" si="2"/>
        <v>BRASIL MINERACAOUA SAO LUISPÓ DE BRITA</v>
      </c>
      <c r="N134" s="85" t="s">
        <v>224</v>
      </c>
    </row>
    <row r="135" spans="2:14" hidden="1" x14ac:dyDescent="0.25">
      <c r="B135" s="91">
        <v>46087</v>
      </c>
      <c r="C135" s="63">
        <v>1</v>
      </c>
      <c r="D135" s="63" t="s">
        <v>213</v>
      </c>
      <c r="E135" s="65" t="s">
        <v>178</v>
      </c>
      <c r="F135" s="65" t="s">
        <v>163</v>
      </c>
      <c r="G135" s="63" t="s">
        <v>111</v>
      </c>
      <c r="H135" s="63">
        <v>75</v>
      </c>
      <c r="I135" s="65" t="s">
        <v>185</v>
      </c>
      <c r="J135" s="63">
        <v>262</v>
      </c>
      <c r="K135" s="64">
        <v>727.05</v>
      </c>
      <c r="L135" s="63" t="s">
        <v>2022</v>
      </c>
      <c r="M135" s="65" t="str">
        <f t="shared" si="2"/>
        <v>BRASIL MINERACAOBEIRA RIORACHÃOZINHO</v>
      </c>
      <c r="N135" s="85" t="s">
        <v>111</v>
      </c>
    </row>
    <row r="136" spans="2:14" hidden="1" x14ac:dyDescent="0.25">
      <c r="B136" s="91">
        <v>46087</v>
      </c>
      <c r="C136" s="63">
        <v>1</v>
      </c>
      <c r="D136" s="63" t="s">
        <v>200</v>
      </c>
      <c r="E136" s="65" t="s">
        <v>201</v>
      </c>
      <c r="F136" s="65" t="s">
        <v>163</v>
      </c>
      <c r="G136" s="63" t="s">
        <v>164</v>
      </c>
      <c r="H136" s="63">
        <v>52</v>
      </c>
      <c r="I136" s="65" t="s">
        <v>165</v>
      </c>
      <c r="J136" s="63">
        <v>4598</v>
      </c>
      <c r="K136" s="64">
        <v>884.66</v>
      </c>
      <c r="L136" s="63" t="s">
        <v>2023</v>
      </c>
      <c r="M136" s="65" t="str">
        <f t="shared" si="2"/>
        <v>BRASIL MINERACAOUA SAO LUISPÓ DE BRITA</v>
      </c>
      <c r="N136" s="85" t="s">
        <v>224</v>
      </c>
    </row>
    <row r="137" spans="2:14" hidden="1" x14ac:dyDescent="0.25">
      <c r="B137" s="91">
        <v>46087</v>
      </c>
      <c r="C137" s="63">
        <v>1</v>
      </c>
      <c r="D137" s="63" t="s">
        <v>200</v>
      </c>
      <c r="E137" s="65" t="s">
        <v>201</v>
      </c>
      <c r="F137" s="65" t="s">
        <v>163</v>
      </c>
      <c r="G137" s="63" t="s">
        <v>164</v>
      </c>
      <c r="H137" s="63">
        <v>52</v>
      </c>
      <c r="I137" s="65" t="s">
        <v>165</v>
      </c>
      <c r="J137" s="63">
        <v>4586</v>
      </c>
      <c r="K137" s="64">
        <v>882.35</v>
      </c>
      <c r="L137" s="63" t="s">
        <v>2024</v>
      </c>
      <c r="M137" s="65" t="str">
        <f t="shared" si="2"/>
        <v>BRASIL MINERACAOUA SAO LUISPÓ DE BRITA</v>
      </c>
      <c r="N137" s="85" t="s">
        <v>224</v>
      </c>
    </row>
    <row r="138" spans="2:14" hidden="1" x14ac:dyDescent="0.25">
      <c r="B138" s="91">
        <v>46087</v>
      </c>
      <c r="C138" s="63">
        <v>1</v>
      </c>
      <c r="D138" s="63" t="s">
        <v>275</v>
      </c>
      <c r="E138" s="65" t="s">
        <v>217</v>
      </c>
      <c r="F138" s="65" t="s">
        <v>166</v>
      </c>
      <c r="G138" s="63" t="s">
        <v>164</v>
      </c>
      <c r="H138" s="63">
        <v>58</v>
      </c>
      <c r="I138" s="65" t="s">
        <v>165</v>
      </c>
      <c r="J138" s="63">
        <v>4702</v>
      </c>
      <c r="K138" s="64">
        <v>1009.05</v>
      </c>
      <c r="L138" s="63" t="s">
        <v>2025</v>
      </c>
      <c r="M138" s="65" t="str">
        <f t="shared" si="2"/>
        <v>GRANORTEUA SAO LUISPÓ DE BRITA</v>
      </c>
      <c r="N138" s="85" t="s">
        <v>224</v>
      </c>
    </row>
    <row r="139" spans="2:14" hidden="1" x14ac:dyDescent="0.25">
      <c r="B139" s="91">
        <v>46087</v>
      </c>
      <c r="C139" s="63">
        <v>1</v>
      </c>
      <c r="D139" s="63" t="s">
        <v>275</v>
      </c>
      <c r="E139" s="65" t="s">
        <v>217</v>
      </c>
      <c r="F139" s="65" t="s">
        <v>166</v>
      </c>
      <c r="G139" s="63" t="s">
        <v>164</v>
      </c>
      <c r="H139" s="63">
        <v>58</v>
      </c>
      <c r="I139" s="65" t="s">
        <v>165</v>
      </c>
      <c r="J139" s="63">
        <v>5102</v>
      </c>
      <c r="K139" s="64">
        <v>1094.8900000000001</v>
      </c>
      <c r="L139" s="63" t="s">
        <v>1986</v>
      </c>
      <c r="M139" s="65" t="str">
        <f t="shared" si="2"/>
        <v>GRANORTEUA SAO LUISPÓ DE BRITA</v>
      </c>
      <c r="N139" s="85" t="s">
        <v>224</v>
      </c>
    </row>
    <row r="140" spans="2:14" hidden="1" x14ac:dyDescent="0.25">
      <c r="B140" s="91">
        <v>46088</v>
      </c>
      <c r="C140" s="63">
        <v>1</v>
      </c>
      <c r="D140" s="63" t="s">
        <v>167</v>
      </c>
      <c r="E140" s="65" t="s">
        <v>168</v>
      </c>
      <c r="F140" s="65" t="s">
        <v>163</v>
      </c>
      <c r="G140" s="63" t="s">
        <v>111</v>
      </c>
      <c r="H140" s="63">
        <v>75</v>
      </c>
      <c r="I140" s="65" t="s">
        <v>185</v>
      </c>
      <c r="J140" s="63">
        <v>2654</v>
      </c>
      <c r="K140" s="64">
        <v>736.49</v>
      </c>
      <c r="L140" s="63" t="s">
        <v>2026</v>
      </c>
      <c r="M140" s="65" t="str">
        <f t="shared" si="2"/>
        <v>BRASIL MINERACAOBEIRA RIORACHÃOZINHO</v>
      </c>
      <c r="N140" s="85" t="s">
        <v>111</v>
      </c>
    </row>
    <row r="141" spans="2:14" hidden="1" x14ac:dyDescent="0.25">
      <c r="B141" s="91">
        <v>46088</v>
      </c>
      <c r="C141" s="63">
        <v>1</v>
      </c>
      <c r="D141" s="63" t="s">
        <v>170</v>
      </c>
      <c r="E141" s="65" t="s">
        <v>171</v>
      </c>
      <c r="F141" s="65" t="s">
        <v>166</v>
      </c>
      <c r="G141" s="63" t="s">
        <v>824</v>
      </c>
      <c r="H141" s="63">
        <v>78</v>
      </c>
      <c r="I141" s="65" t="s">
        <v>172</v>
      </c>
      <c r="J141" s="63">
        <v>2638</v>
      </c>
      <c r="K141" s="64">
        <v>761.33</v>
      </c>
      <c r="L141" s="63" t="s">
        <v>2027</v>
      </c>
      <c r="M141" s="65" t="str">
        <f t="shared" si="2"/>
        <v>GRANORTECRUZAMENTO MA 201/202 (METROPOLITANA)BICA CORRIDA</v>
      </c>
      <c r="N141" s="85" t="s">
        <v>108</v>
      </c>
    </row>
    <row r="142" spans="2:14" hidden="1" x14ac:dyDescent="0.25">
      <c r="B142" s="91">
        <v>46088</v>
      </c>
      <c r="C142" s="63">
        <v>1</v>
      </c>
      <c r="D142" s="63" t="s">
        <v>202</v>
      </c>
      <c r="E142" s="65" t="s">
        <v>214</v>
      </c>
      <c r="F142" s="65" t="s">
        <v>163</v>
      </c>
      <c r="G142" s="63" t="s">
        <v>164</v>
      </c>
      <c r="H142" s="63">
        <v>52</v>
      </c>
      <c r="I142" s="65" t="s">
        <v>165</v>
      </c>
      <c r="J142" s="63">
        <v>4766</v>
      </c>
      <c r="K142" s="64">
        <v>916.98</v>
      </c>
      <c r="L142" s="63" t="s">
        <v>2028</v>
      </c>
      <c r="M142" s="65" t="str">
        <f t="shared" si="2"/>
        <v>BRASIL MINERACAOUA SAO LUISPÓ DE BRITA</v>
      </c>
      <c r="N142" s="85" t="s">
        <v>224</v>
      </c>
    </row>
    <row r="143" spans="2:14" hidden="1" x14ac:dyDescent="0.25">
      <c r="B143" s="91">
        <v>46088</v>
      </c>
      <c r="C143" s="63">
        <v>1</v>
      </c>
      <c r="D143" s="63" t="s">
        <v>167</v>
      </c>
      <c r="E143" s="65" t="s">
        <v>168</v>
      </c>
      <c r="F143" s="65" t="s">
        <v>163</v>
      </c>
      <c r="G143" s="63" t="s">
        <v>164</v>
      </c>
      <c r="H143" s="63">
        <v>52</v>
      </c>
      <c r="I143" s="65" t="s">
        <v>175</v>
      </c>
      <c r="J143" s="63">
        <v>2742</v>
      </c>
      <c r="K143" s="64">
        <v>527.55999999999995</v>
      </c>
      <c r="L143" s="63" t="s">
        <v>2029</v>
      </c>
      <c r="M143" s="65" t="str">
        <f t="shared" si="2"/>
        <v>BRASIL MINERACAOUA SAO LUISBRITA 0</v>
      </c>
      <c r="N143" s="85" t="s">
        <v>224</v>
      </c>
    </row>
    <row r="144" spans="2:14" hidden="1" x14ac:dyDescent="0.25">
      <c r="B144" s="91">
        <v>46088</v>
      </c>
      <c r="C144" s="63">
        <v>1</v>
      </c>
      <c r="D144" s="63" t="s">
        <v>205</v>
      </c>
      <c r="E144" s="65" t="s">
        <v>206</v>
      </c>
      <c r="F144" s="65" t="s">
        <v>291</v>
      </c>
      <c r="G144" s="63" t="s">
        <v>667</v>
      </c>
      <c r="H144" s="63">
        <v>302</v>
      </c>
      <c r="I144" s="65" t="s">
        <v>279</v>
      </c>
      <c r="J144" s="63">
        <v>498</v>
      </c>
      <c r="K144" s="64">
        <v>5564.65</v>
      </c>
      <c r="L144" s="63" t="s">
        <v>2030</v>
      </c>
      <c r="M144" s="65" t="str">
        <f t="shared" si="2"/>
        <v>MINERADORA PORTO FRANCO - MAVF CONSTRUTORA KM52MATACO</v>
      </c>
      <c r="N144" s="85" t="s">
        <v>15</v>
      </c>
    </row>
    <row r="145" spans="2:14" hidden="1" x14ac:dyDescent="0.25">
      <c r="B145" s="91">
        <v>46088</v>
      </c>
      <c r="C145" s="63">
        <v>1</v>
      </c>
      <c r="D145" s="63" t="s">
        <v>181</v>
      </c>
      <c r="E145" s="65" t="s">
        <v>182</v>
      </c>
      <c r="F145" s="65" t="s">
        <v>166</v>
      </c>
      <c r="G145" s="63" t="s">
        <v>824</v>
      </c>
      <c r="H145" s="63">
        <v>78</v>
      </c>
      <c r="I145" s="65" t="s">
        <v>169</v>
      </c>
      <c r="J145" s="63">
        <v>2604</v>
      </c>
      <c r="K145" s="64">
        <v>751.51</v>
      </c>
      <c r="L145" s="63" t="s">
        <v>2031</v>
      </c>
      <c r="M145" s="65" t="str">
        <f t="shared" si="2"/>
        <v>GRANORTECRUZAMENTO MA 201/202 (METROPOLITANA)PULMÃOZINHO</v>
      </c>
      <c r="N145" s="85" t="s">
        <v>108</v>
      </c>
    </row>
    <row r="146" spans="2:14" hidden="1" x14ac:dyDescent="0.25">
      <c r="B146" s="91">
        <v>46088</v>
      </c>
      <c r="C146" s="63">
        <v>1</v>
      </c>
      <c r="D146" s="63" t="s">
        <v>181</v>
      </c>
      <c r="E146" s="65" t="s">
        <v>182</v>
      </c>
      <c r="F146" s="65" t="s">
        <v>166</v>
      </c>
      <c r="G146" s="63" t="s">
        <v>824</v>
      </c>
      <c r="H146" s="63">
        <v>78</v>
      </c>
      <c r="I146" s="65" t="s">
        <v>169</v>
      </c>
      <c r="J146" s="63">
        <v>258</v>
      </c>
      <c r="K146" s="64">
        <v>744.59</v>
      </c>
      <c r="L146" s="63" t="s">
        <v>2032</v>
      </c>
      <c r="M146" s="65" t="str">
        <f t="shared" si="2"/>
        <v>GRANORTECRUZAMENTO MA 201/202 (METROPOLITANA)PULMÃOZINHO</v>
      </c>
      <c r="N146" s="85" t="s">
        <v>108</v>
      </c>
    </row>
    <row r="147" spans="2:14" hidden="1" x14ac:dyDescent="0.25">
      <c r="B147" s="91">
        <v>46088</v>
      </c>
      <c r="C147" s="63">
        <v>1</v>
      </c>
      <c r="D147" s="63" t="s">
        <v>205</v>
      </c>
      <c r="E147" s="65" t="s">
        <v>206</v>
      </c>
      <c r="F147" s="65" t="s">
        <v>276</v>
      </c>
      <c r="G147" s="63" t="s">
        <v>2033</v>
      </c>
      <c r="H147" s="63">
        <v>323</v>
      </c>
      <c r="I147" s="65" t="s">
        <v>207</v>
      </c>
      <c r="J147" s="63">
        <v>6546</v>
      </c>
      <c r="K147" s="64">
        <v>6765.95</v>
      </c>
      <c r="L147" s="63" t="s">
        <v>2034</v>
      </c>
      <c r="M147" s="65" t="str">
        <f t="shared" si="2"/>
        <v>MINERADORA PORTO FRANCOVALE KM 386RACHÃO</v>
      </c>
      <c r="N147" s="85" t="s">
        <v>15</v>
      </c>
    </row>
    <row r="148" spans="2:14" hidden="1" x14ac:dyDescent="0.25">
      <c r="B148" s="91">
        <v>46088</v>
      </c>
      <c r="C148" s="63">
        <v>1</v>
      </c>
      <c r="D148" s="63" t="s">
        <v>283</v>
      </c>
      <c r="E148" s="65" t="s">
        <v>215</v>
      </c>
      <c r="F148" s="65" t="s">
        <v>166</v>
      </c>
      <c r="G148" s="63" t="s">
        <v>1936</v>
      </c>
      <c r="H148" s="63">
        <v>41</v>
      </c>
      <c r="I148" s="65" t="s">
        <v>172</v>
      </c>
      <c r="J148" s="63">
        <v>3006</v>
      </c>
      <c r="K148" s="64">
        <v>456.01</v>
      </c>
      <c r="L148" s="63" t="s">
        <v>2035</v>
      </c>
      <c r="M148" s="65" t="str">
        <f t="shared" si="2"/>
        <v>GRANORTEEDECOMINAS CALCARIO PORTOBICA CORRIDA</v>
      </c>
      <c r="N148" s="85" t="s">
        <v>2858</v>
      </c>
    </row>
    <row r="149" spans="2:14" hidden="1" x14ac:dyDescent="0.25">
      <c r="B149" s="91">
        <v>46088</v>
      </c>
      <c r="C149" s="63">
        <v>1</v>
      </c>
      <c r="D149" s="63" t="s">
        <v>192</v>
      </c>
      <c r="E149" s="65" t="s">
        <v>287</v>
      </c>
      <c r="F149" s="65" t="s">
        <v>163</v>
      </c>
      <c r="G149" s="63" t="s">
        <v>164</v>
      </c>
      <c r="H149" s="63">
        <v>52</v>
      </c>
      <c r="I149" s="65" t="s">
        <v>165</v>
      </c>
      <c r="J149" s="63">
        <v>496</v>
      </c>
      <c r="K149" s="64">
        <v>954.3</v>
      </c>
      <c r="L149" s="63" t="s">
        <v>2036</v>
      </c>
      <c r="M149" s="65" t="str">
        <f t="shared" si="2"/>
        <v>BRASIL MINERACAOUA SAO LUISPÓ DE BRITA</v>
      </c>
      <c r="N149" s="85" t="s">
        <v>224</v>
      </c>
    </row>
    <row r="150" spans="2:14" hidden="1" x14ac:dyDescent="0.25">
      <c r="B150" s="91">
        <v>46088</v>
      </c>
      <c r="C150" s="63">
        <v>1</v>
      </c>
      <c r="D150" s="63" t="s">
        <v>213</v>
      </c>
      <c r="E150" s="65" t="s">
        <v>178</v>
      </c>
      <c r="F150" s="65" t="s">
        <v>163</v>
      </c>
      <c r="G150" s="63" t="s">
        <v>111</v>
      </c>
      <c r="H150" s="63">
        <v>75</v>
      </c>
      <c r="I150" s="65" t="s">
        <v>185</v>
      </c>
      <c r="J150" s="63">
        <v>2542</v>
      </c>
      <c r="K150" s="64">
        <v>705.41</v>
      </c>
      <c r="L150" s="63" t="s">
        <v>2037</v>
      </c>
      <c r="M150" s="65" t="str">
        <f t="shared" si="2"/>
        <v>BRASIL MINERACAOBEIRA RIORACHÃOZINHO</v>
      </c>
      <c r="N150" s="85" t="s">
        <v>111</v>
      </c>
    </row>
    <row r="151" spans="2:14" hidden="1" x14ac:dyDescent="0.25">
      <c r="B151" s="91">
        <v>46088</v>
      </c>
      <c r="C151" s="63">
        <v>1</v>
      </c>
      <c r="D151" s="63" t="s">
        <v>1948</v>
      </c>
      <c r="E151" s="65" t="s">
        <v>1949</v>
      </c>
      <c r="F151" s="65" t="s">
        <v>163</v>
      </c>
      <c r="G151" s="63" t="s">
        <v>164</v>
      </c>
      <c r="H151" s="63">
        <v>52</v>
      </c>
      <c r="I151" s="65" t="s">
        <v>165</v>
      </c>
      <c r="J151" s="63">
        <v>485</v>
      </c>
      <c r="K151" s="64">
        <v>933.14</v>
      </c>
      <c r="L151" s="63" t="s">
        <v>2038</v>
      </c>
      <c r="M151" s="65" t="str">
        <f t="shared" si="2"/>
        <v>BRASIL MINERACAOUA SAO LUISPÓ DE BRITA</v>
      </c>
      <c r="N151" s="85" t="s">
        <v>224</v>
      </c>
    </row>
    <row r="152" spans="2:14" hidden="1" x14ac:dyDescent="0.25">
      <c r="B152" s="91">
        <v>46088</v>
      </c>
      <c r="C152" s="63">
        <v>1</v>
      </c>
      <c r="D152" s="63" t="s">
        <v>275</v>
      </c>
      <c r="E152" s="65" t="s">
        <v>217</v>
      </c>
      <c r="F152" s="65" t="s">
        <v>163</v>
      </c>
      <c r="G152" s="63" t="s">
        <v>164</v>
      </c>
      <c r="H152" s="63">
        <v>52</v>
      </c>
      <c r="I152" s="65" t="s">
        <v>165</v>
      </c>
      <c r="J152" s="63">
        <v>4968</v>
      </c>
      <c r="K152" s="64">
        <v>955.84</v>
      </c>
      <c r="L152" s="63" t="s">
        <v>2039</v>
      </c>
      <c r="M152" s="65" t="str">
        <f t="shared" si="2"/>
        <v>BRASIL MINERACAOUA SAO LUISPÓ DE BRITA</v>
      </c>
      <c r="N152" s="85" t="s">
        <v>224</v>
      </c>
    </row>
    <row r="153" spans="2:14" hidden="1" x14ac:dyDescent="0.25">
      <c r="B153" s="91">
        <v>46090</v>
      </c>
      <c r="C153" s="63">
        <v>1</v>
      </c>
      <c r="D153" s="63" t="s">
        <v>219</v>
      </c>
      <c r="E153" s="65" t="s">
        <v>220</v>
      </c>
      <c r="F153" s="65" t="s">
        <v>163</v>
      </c>
      <c r="G153" s="63" t="s">
        <v>164</v>
      </c>
      <c r="H153" s="63">
        <v>52</v>
      </c>
      <c r="I153" s="65" t="s">
        <v>175</v>
      </c>
      <c r="J153" s="63">
        <v>536</v>
      </c>
      <c r="K153" s="64">
        <v>1031.26</v>
      </c>
      <c r="L153" s="63" t="s">
        <v>2040</v>
      </c>
      <c r="M153" s="65" t="str">
        <f t="shared" si="2"/>
        <v>BRASIL MINERACAOUA SAO LUISBRITA 0</v>
      </c>
      <c r="N153" s="85" t="s">
        <v>224</v>
      </c>
    </row>
    <row r="154" spans="2:14" hidden="1" x14ac:dyDescent="0.25">
      <c r="B154" s="91">
        <v>46090</v>
      </c>
      <c r="C154" s="63">
        <v>1</v>
      </c>
      <c r="D154" s="63" t="s">
        <v>219</v>
      </c>
      <c r="E154" s="65" t="s">
        <v>220</v>
      </c>
      <c r="F154" s="65" t="s">
        <v>166</v>
      </c>
      <c r="G154" s="63" t="s">
        <v>164</v>
      </c>
      <c r="H154" s="63">
        <v>58</v>
      </c>
      <c r="I154" s="65" t="s">
        <v>165</v>
      </c>
      <c r="J154" s="63">
        <v>356</v>
      </c>
      <c r="K154" s="64">
        <v>763.98</v>
      </c>
      <c r="L154" s="63" t="s">
        <v>2041</v>
      </c>
      <c r="M154" s="65" t="str">
        <f t="shared" si="2"/>
        <v>GRANORTEUA SAO LUISPÓ DE BRITA</v>
      </c>
      <c r="N154" s="85" t="s">
        <v>224</v>
      </c>
    </row>
    <row r="155" spans="2:14" hidden="1" x14ac:dyDescent="0.25">
      <c r="B155" s="91">
        <v>46090</v>
      </c>
      <c r="C155" s="63">
        <v>1</v>
      </c>
      <c r="D155" s="63" t="s">
        <v>219</v>
      </c>
      <c r="E155" s="65" t="s">
        <v>220</v>
      </c>
      <c r="F155" s="65" t="s">
        <v>166</v>
      </c>
      <c r="G155" s="63" t="s">
        <v>164</v>
      </c>
      <c r="H155" s="63">
        <v>58</v>
      </c>
      <c r="I155" s="65" t="s">
        <v>195</v>
      </c>
      <c r="J155" s="63">
        <v>403</v>
      </c>
      <c r="K155" s="64">
        <v>864.84</v>
      </c>
      <c r="L155" s="63" t="s">
        <v>2042</v>
      </c>
      <c r="M155" s="65" t="str">
        <f t="shared" si="2"/>
        <v>GRANORTEUA SAO LUISBRITA 1</v>
      </c>
      <c r="N155" s="85" t="s">
        <v>224</v>
      </c>
    </row>
    <row r="156" spans="2:14" hidden="1" x14ac:dyDescent="0.25">
      <c r="B156" s="91">
        <v>46090</v>
      </c>
      <c r="C156" s="63">
        <v>1</v>
      </c>
      <c r="D156" s="63" t="s">
        <v>167</v>
      </c>
      <c r="E156" s="65" t="s">
        <v>168</v>
      </c>
      <c r="F156" s="65" t="s">
        <v>163</v>
      </c>
      <c r="G156" s="63" t="s">
        <v>164</v>
      </c>
      <c r="H156" s="63">
        <v>52</v>
      </c>
      <c r="I156" s="65" t="s">
        <v>175</v>
      </c>
      <c r="J156" s="63">
        <v>2738</v>
      </c>
      <c r="K156" s="64">
        <v>526.79</v>
      </c>
      <c r="L156" s="63" t="s">
        <v>2043</v>
      </c>
      <c r="M156" s="65" t="str">
        <f t="shared" si="2"/>
        <v>BRASIL MINERACAOUA SAO LUISBRITA 0</v>
      </c>
      <c r="N156" s="85" t="s">
        <v>224</v>
      </c>
    </row>
    <row r="157" spans="2:14" hidden="1" x14ac:dyDescent="0.25">
      <c r="B157" s="91">
        <v>46090</v>
      </c>
      <c r="C157" s="63">
        <v>1</v>
      </c>
      <c r="D157" s="63" t="s">
        <v>181</v>
      </c>
      <c r="E157" s="65" t="s">
        <v>182</v>
      </c>
      <c r="F157" s="65" t="s">
        <v>166</v>
      </c>
      <c r="G157" s="63" t="s">
        <v>111</v>
      </c>
      <c r="H157" s="63">
        <v>79</v>
      </c>
      <c r="I157" s="65" t="s">
        <v>169</v>
      </c>
      <c r="J157" s="63">
        <v>2492</v>
      </c>
      <c r="K157" s="64">
        <v>728.41</v>
      </c>
      <c r="L157" s="63" t="s">
        <v>2044</v>
      </c>
      <c r="M157" s="65" t="str">
        <f t="shared" si="2"/>
        <v>GRANORTEBEIRA RIOPULMÃOZINHO</v>
      </c>
      <c r="N157" s="85" t="s">
        <v>111</v>
      </c>
    </row>
    <row r="158" spans="2:14" hidden="1" x14ac:dyDescent="0.25">
      <c r="B158" s="91">
        <v>46090</v>
      </c>
      <c r="C158" s="63">
        <v>1</v>
      </c>
      <c r="D158" s="63" t="s">
        <v>167</v>
      </c>
      <c r="E158" s="65" t="s">
        <v>168</v>
      </c>
      <c r="F158" s="65" t="s">
        <v>163</v>
      </c>
      <c r="G158" s="63" t="s">
        <v>111</v>
      </c>
      <c r="H158" s="63">
        <v>75</v>
      </c>
      <c r="I158" s="65" t="s">
        <v>185</v>
      </c>
      <c r="J158" s="63">
        <v>249</v>
      </c>
      <c r="K158" s="64">
        <v>690.98</v>
      </c>
      <c r="L158" s="63" t="s">
        <v>2045</v>
      </c>
      <c r="M158" s="65" t="str">
        <f t="shared" si="2"/>
        <v>BRASIL MINERACAOBEIRA RIORACHÃOZINHO</v>
      </c>
      <c r="N158" s="85" t="s">
        <v>111</v>
      </c>
    </row>
    <row r="159" spans="2:14" hidden="1" x14ac:dyDescent="0.25">
      <c r="B159" s="91">
        <v>46090</v>
      </c>
      <c r="C159" s="63">
        <v>1</v>
      </c>
      <c r="D159" s="63" t="s">
        <v>192</v>
      </c>
      <c r="E159" s="65" t="s">
        <v>287</v>
      </c>
      <c r="F159" s="65" t="s">
        <v>163</v>
      </c>
      <c r="G159" s="63" t="s">
        <v>164</v>
      </c>
      <c r="H159" s="63">
        <v>52</v>
      </c>
      <c r="I159" s="65" t="s">
        <v>165</v>
      </c>
      <c r="J159" s="63">
        <v>4588</v>
      </c>
      <c r="K159" s="64">
        <v>882.73</v>
      </c>
      <c r="L159" s="63" t="s">
        <v>2046</v>
      </c>
      <c r="M159" s="65" t="str">
        <f t="shared" si="2"/>
        <v>BRASIL MINERACAOUA SAO LUISPÓ DE BRITA</v>
      </c>
      <c r="N159" s="85" t="s">
        <v>224</v>
      </c>
    </row>
    <row r="160" spans="2:14" hidden="1" x14ac:dyDescent="0.25">
      <c r="B160" s="91">
        <v>46090</v>
      </c>
      <c r="C160" s="63">
        <v>1</v>
      </c>
      <c r="D160" s="63" t="s">
        <v>192</v>
      </c>
      <c r="E160" s="65" t="s">
        <v>287</v>
      </c>
      <c r="F160" s="65" t="s">
        <v>163</v>
      </c>
      <c r="G160" s="63" t="s">
        <v>164</v>
      </c>
      <c r="H160" s="63">
        <v>52</v>
      </c>
      <c r="I160" s="65" t="s">
        <v>165</v>
      </c>
      <c r="J160" s="63">
        <v>486</v>
      </c>
      <c r="K160" s="64">
        <v>935.06</v>
      </c>
      <c r="L160" s="63" t="s">
        <v>2047</v>
      </c>
      <c r="M160" s="65" t="str">
        <f t="shared" si="2"/>
        <v>BRASIL MINERACAOUA SAO LUISPÓ DE BRITA</v>
      </c>
      <c r="N160" s="85" t="s">
        <v>224</v>
      </c>
    </row>
    <row r="161" spans="2:14" hidden="1" x14ac:dyDescent="0.25">
      <c r="B161" s="91">
        <v>46090</v>
      </c>
      <c r="C161" s="63">
        <v>1</v>
      </c>
      <c r="D161" s="63" t="s">
        <v>188</v>
      </c>
      <c r="E161" s="65" t="s">
        <v>189</v>
      </c>
      <c r="F161" s="65" t="s">
        <v>163</v>
      </c>
      <c r="G161" s="63" t="s">
        <v>2048</v>
      </c>
      <c r="H161" s="63">
        <v>237</v>
      </c>
      <c r="I161" s="65" t="s">
        <v>165</v>
      </c>
      <c r="J161" s="63">
        <v>5858</v>
      </c>
      <c r="K161" s="64">
        <v>4442.71</v>
      </c>
      <c r="L161" s="63" t="s">
        <v>2049</v>
      </c>
      <c r="M161" s="65" t="str">
        <f t="shared" si="2"/>
        <v>BRASIL MINERACAOOLINDA NOVAPÓ DE BRITA</v>
      </c>
      <c r="N161" s="85" t="s">
        <v>191</v>
      </c>
    </row>
    <row r="162" spans="2:14" hidden="1" x14ac:dyDescent="0.25">
      <c r="B162" s="91">
        <v>46090</v>
      </c>
      <c r="C162" s="63">
        <v>1</v>
      </c>
      <c r="D162" s="63" t="s">
        <v>193</v>
      </c>
      <c r="E162" s="65" t="s">
        <v>285</v>
      </c>
      <c r="F162" s="65" t="s">
        <v>166</v>
      </c>
      <c r="G162" s="63" t="s">
        <v>111</v>
      </c>
      <c r="H162" s="63">
        <v>79</v>
      </c>
      <c r="I162" s="65" t="s">
        <v>169</v>
      </c>
      <c r="J162" s="63">
        <v>2436</v>
      </c>
      <c r="K162" s="64">
        <v>712.04</v>
      </c>
      <c r="L162" s="63" t="s">
        <v>2050</v>
      </c>
      <c r="M162" s="65" t="str">
        <f t="shared" si="2"/>
        <v>GRANORTEBEIRA RIOPULMÃOZINHO</v>
      </c>
      <c r="N162" s="85" t="s">
        <v>111</v>
      </c>
    </row>
    <row r="163" spans="2:14" hidden="1" x14ac:dyDescent="0.25">
      <c r="B163" s="91">
        <v>46090</v>
      </c>
      <c r="C163" s="63">
        <v>1</v>
      </c>
      <c r="D163" s="63" t="s">
        <v>286</v>
      </c>
      <c r="E163" s="65" t="s">
        <v>506</v>
      </c>
      <c r="F163" s="65" t="s">
        <v>163</v>
      </c>
      <c r="G163" s="63" t="s">
        <v>164</v>
      </c>
      <c r="H163" s="63">
        <v>52</v>
      </c>
      <c r="I163" s="65" t="s">
        <v>165</v>
      </c>
      <c r="J163" s="63">
        <v>2606</v>
      </c>
      <c r="K163" s="64">
        <v>501.39</v>
      </c>
      <c r="L163" s="63" t="s">
        <v>2051</v>
      </c>
      <c r="M163" s="65" t="str">
        <f t="shared" si="2"/>
        <v>BRASIL MINERACAOUA SAO LUISPÓ DE BRITA</v>
      </c>
      <c r="N163" s="85" t="s">
        <v>224</v>
      </c>
    </row>
    <row r="164" spans="2:14" hidden="1" x14ac:dyDescent="0.25">
      <c r="B164" s="91">
        <v>46090</v>
      </c>
      <c r="C164" s="63">
        <v>1</v>
      </c>
      <c r="D164" s="63" t="s">
        <v>1948</v>
      </c>
      <c r="E164" s="65" t="s">
        <v>1949</v>
      </c>
      <c r="F164" s="65" t="s">
        <v>163</v>
      </c>
      <c r="G164" s="63" t="s">
        <v>164</v>
      </c>
      <c r="H164" s="63">
        <v>52</v>
      </c>
      <c r="I164" s="65" t="s">
        <v>165</v>
      </c>
      <c r="J164" s="63">
        <v>475</v>
      </c>
      <c r="K164" s="64">
        <v>913.9</v>
      </c>
      <c r="L164" s="63" t="s">
        <v>2052</v>
      </c>
      <c r="M164" s="65" t="str">
        <f t="shared" si="2"/>
        <v>BRASIL MINERACAOUA SAO LUISPÓ DE BRITA</v>
      </c>
      <c r="N164" s="85" t="s">
        <v>224</v>
      </c>
    </row>
    <row r="165" spans="2:14" hidden="1" x14ac:dyDescent="0.25">
      <c r="B165" s="91">
        <v>46090</v>
      </c>
      <c r="C165" s="63">
        <v>1</v>
      </c>
      <c r="D165" s="63" t="s">
        <v>286</v>
      </c>
      <c r="E165" s="65" t="s">
        <v>343</v>
      </c>
      <c r="F165" s="65" t="s">
        <v>163</v>
      </c>
      <c r="G165" s="63" t="s">
        <v>164</v>
      </c>
      <c r="H165" s="63">
        <v>52</v>
      </c>
      <c r="I165" s="65" t="s">
        <v>165</v>
      </c>
      <c r="J165" s="63">
        <v>4778</v>
      </c>
      <c r="K165" s="64">
        <v>919.29</v>
      </c>
      <c r="L165" s="63" t="s">
        <v>2053</v>
      </c>
      <c r="M165" s="65" t="str">
        <f t="shared" si="2"/>
        <v>BRASIL MINERACAOUA SAO LUISPÓ DE BRITA</v>
      </c>
      <c r="N165" s="85" t="s">
        <v>224</v>
      </c>
    </row>
    <row r="166" spans="2:14" hidden="1" x14ac:dyDescent="0.25">
      <c r="B166" s="91">
        <v>46091</v>
      </c>
      <c r="C166" s="63">
        <v>1</v>
      </c>
      <c r="D166" s="63" t="s">
        <v>167</v>
      </c>
      <c r="E166" s="65" t="s">
        <v>168</v>
      </c>
      <c r="F166" s="65" t="s">
        <v>163</v>
      </c>
      <c r="G166" s="63" t="s">
        <v>111</v>
      </c>
      <c r="H166" s="63">
        <v>75</v>
      </c>
      <c r="I166" s="65" t="s">
        <v>185</v>
      </c>
      <c r="J166" s="63">
        <v>2656</v>
      </c>
      <c r="K166" s="64">
        <v>737.04</v>
      </c>
      <c r="L166" s="63" t="s">
        <v>2054</v>
      </c>
      <c r="M166" s="65" t="str">
        <f t="shared" si="2"/>
        <v>BRASIL MINERACAOBEIRA RIORACHÃOZINHO</v>
      </c>
      <c r="N166" s="85" t="s">
        <v>111</v>
      </c>
    </row>
    <row r="167" spans="2:14" hidden="1" x14ac:dyDescent="0.25">
      <c r="B167" s="91">
        <v>46091</v>
      </c>
      <c r="C167" s="63">
        <v>1</v>
      </c>
      <c r="D167" s="63" t="s">
        <v>202</v>
      </c>
      <c r="E167" s="65" t="s">
        <v>214</v>
      </c>
      <c r="F167" s="65" t="s">
        <v>163</v>
      </c>
      <c r="G167" s="63" t="s">
        <v>191</v>
      </c>
      <c r="H167" s="63">
        <v>243</v>
      </c>
      <c r="I167" s="65" t="s">
        <v>165</v>
      </c>
      <c r="J167" s="63">
        <v>590</v>
      </c>
      <c r="K167" s="64">
        <v>5304.69</v>
      </c>
      <c r="L167" s="63" t="s">
        <v>2055</v>
      </c>
      <c r="M167" s="65" t="str">
        <f t="shared" si="2"/>
        <v>BRASIL MINERACAOOLINDA NOVA - MAPÓ DE BRITA</v>
      </c>
      <c r="N167" s="85" t="s">
        <v>191</v>
      </c>
    </row>
    <row r="168" spans="2:14" hidden="1" x14ac:dyDescent="0.25">
      <c r="B168" s="91">
        <v>46091</v>
      </c>
      <c r="C168" s="63">
        <v>1</v>
      </c>
      <c r="D168" s="63" t="s">
        <v>203</v>
      </c>
      <c r="E168" s="65" t="s">
        <v>204</v>
      </c>
      <c r="F168" s="65" t="s">
        <v>163</v>
      </c>
      <c r="G168" s="63" t="s">
        <v>2048</v>
      </c>
      <c r="H168" s="63">
        <v>237</v>
      </c>
      <c r="I168" s="65" t="s">
        <v>165</v>
      </c>
      <c r="J168" s="63">
        <v>443</v>
      </c>
      <c r="K168" s="64">
        <v>3884.67</v>
      </c>
      <c r="L168" s="63" t="s">
        <v>2056</v>
      </c>
      <c r="M168" s="65" t="str">
        <f t="shared" si="2"/>
        <v>BRASIL MINERACAOOLINDA NOVAPÓ DE BRITA</v>
      </c>
      <c r="N168" s="85" t="s">
        <v>191</v>
      </c>
    </row>
    <row r="169" spans="2:14" hidden="1" x14ac:dyDescent="0.25">
      <c r="B169" s="91">
        <v>46091</v>
      </c>
      <c r="C169" s="63">
        <v>1</v>
      </c>
      <c r="D169" s="63" t="s">
        <v>196</v>
      </c>
      <c r="E169" s="65" t="s">
        <v>197</v>
      </c>
      <c r="F169" s="65" t="s">
        <v>163</v>
      </c>
      <c r="G169" s="63" t="s">
        <v>191</v>
      </c>
      <c r="H169" s="63">
        <v>243</v>
      </c>
      <c r="I169" s="65" t="s">
        <v>165</v>
      </c>
      <c r="J169" s="63">
        <v>6412</v>
      </c>
      <c r="K169" s="64">
        <v>5765.03</v>
      </c>
      <c r="L169" s="63" t="s">
        <v>2057</v>
      </c>
      <c r="M169" s="65" t="str">
        <f t="shared" si="2"/>
        <v>BRASIL MINERACAOOLINDA NOVA - MAPÓ DE BRITA</v>
      </c>
      <c r="N169" s="85" t="s">
        <v>191</v>
      </c>
    </row>
    <row r="170" spans="2:14" hidden="1" x14ac:dyDescent="0.25">
      <c r="B170" s="91">
        <v>46091</v>
      </c>
      <c r="C170" s="63">
        <v>1</v>
      </c>
      <c r="D170" s="63" t="s">
        <v>170</v>
      </c>
      <c r="E170" s="65" t="s">
        <v>171</v>
      </c>
      <c r="F170" s="65" t="s">
        <v>163</v>
      </c>
      <c r="G170" s="63" t="s">
        <v>111</v>
      </c>
      <c r="H170" s="63">
        <v>75</v>
      </c>
      <c r="I170" s="65" t="s">
        <v>185</v>
      </c>
      <c r="J170" s="63">
        <v>2444</v>
      </c>
      <c r="K170" s="64">
        <v>678.21</v>
      </c>
      <c r="L170" s="63" t="s">
        <v>2058</v>
      </c>
      <c r="M170" s="65" t="str">
        <f t="shared" si="2"/>
        <v>BRASIL MINERACAOBEIRA RIORACHÃOZINHO</v>
      </c>
      <c r="N170" s="85" t="s">
        <v>111</v>
      </c>
    </row>
    <row r="171" spans="2:14" hidden="1" x14ac:dyDescent="0.25">
      <c r="B171" s="91">
        <v>46091</v>
      </c>
      <c r="C171" s="63">
        <v>1</v>
      </c>
      <c r="D171" s="63" t="s">
        <v>181</v>
      </c>
      <c r="E171" s="65" t="s">
        <v>182</v>
      </c>
      <c r="F171" s="65" t="s">
        <v>166</v>
      </c>
      <c r="G171" s="63" t="s">
        <v>111</v>
      </c>
      <c r="H171" s="63">
        <v>79</v>
      </c>
      <c r="I171" s="65" t="s">
        <v>169</v>
      </c>
      <c r="J171" s="63">
        <v>2476</v>
      </c>
      <c r="K171" s="64">
        <v>723.73</v>
      </c>
      <c r="L171" s="63" t="s">
        <v>2059</v>
      </c>
      <c r="M171" s="65" t="str">
        <f t="shared" si="2"/>
        <v>GRANORTEBEIRA RIOPULMÃOZINHO</v>
      </c>
      <c r="N171" s="85" t="s">
        <v>111</v>
      </c>
    </row>
    <row r="172" spans="2:14" hidden="1" x14ac:dyDescent="0.25">
      <c r="B172" s="91">
        <v>46091</v>
      </c>
      <c r="C172" s="63">
        <v>1</v>
      </c>
      <c r="D172" s="63" t="s">
        <v>199</v>
      </c>
      <c r="E172" s="65" t="s">
        <v>180</v>
      </c>
      <c r="F172" s="65" t="s">
        <v>163</v>
      </c>
      <c r="G172" s="63" t="s">
        <v>218</v>
      </c>
      <c r="H172" s="63">
        <v>65</v>
      </c>
      <c r="I172" s="65" t="s">
        <v>185</v>
      </c>
      <c r="J172" s="63">
        <v>2722</v>
      </c>
      <c r="K172" s="64">
        <v>654.64</v>
      </c>
      <c r="L172" s="63" t="s">
        <v>2060</v>
      </c>
      <c r="M172" s="65" t="str">
        <f t="shared" si="2"/>
        <v>BRASIL MINERACAOEXPOEMARACHÃOZINHO</v>
      </c>
      <c r="N172" s="85" t="s">
        <v>111</v>
      </c>
    </row>
    <row r="173" spans="2:14" hidden="1" x14ac:dyDescent="0.25">
      <c r="B173" s="91">
        <v>46091</v>
      </c>
      <c r="C173" s="63">
        <v>1</v>
      </c>
      <c r="D173" s="63" t="s">
        <v>219</v>
      </c>
      <c r="E173" s="65" t="s">
        <v>220</v>
      </c>
      <c r="F173" s="65" t="s">
        <v>163</v>
      </c>
      <c r="G173" s="63" t="s">
        <v>164</v>
      </c>
      <c r="H173" s="63">
        <v>52</v>
      </c>
      <c r="I173" s="65" t="s">
        <v>195</v>
      </c>
      <c r="J173" s="63">
        <v>439</v>
      </c>
      <c r="K173" s="64">
        <v>844.64</v>
      </c>
      <c r="L173" s="63" t="s">
        <v>2061</v>
      </c>
      <c r="M173" s="65" t="str">
        <f t="shared" si="2"/>
        <v>BRASIL MINERACAOUA SAO LUISBRITA 1</v>
      </c>
      <c r="N173" s="85" t="s">
        <v>224</v>
      </c>
    </row>
    <row r="174" spans="2:14" hidden="1" x14ac:dyDescent="0.25">
      <c r="B174" s="91">
        <v>46091</v>
      </c>
      <c r="C174" s="63">
        <v>1</v>
      </c>
      <c r="D174" s="63" t="s">
        <v>199</v>
      </c>
      <c r="E174" s="65" t="s">
        <v>180</v>
      </c>
      <c r="F174" s="65" t="s">
        <v>163</v>
      </c>
      <c r="G174" s="63" t="s">
        <v>218</v>
      </c>
      <c r="H174" s="63">
        <v>65</v>
      </c>
      <c r="I174" s="65" t="s">
        <v>185</v>
      </c>
      <c r="J174" s="63">
        <v>2676</v>
      </c>
      <c r="K174" s="64">
        <v>643.58000000000004</v>
      </c>
      <c r="L174" s="63" t="s">
        <v>2062</v>
      </c>
      <c r="M174" s="65" t="str">
        <f t="shared" si="2"/>
        <v>BRASIL MINERACAOEXPOEMARACHÃOZINHO</v>
      </c>
      <c r="N174" s="85" t="s">
        <v>111</v>
      </c>
    </row>
    <row r="175" spans="2:14" hidden="1" x14ac:dyDescent="0.25">
      <c r="B175" s="91">
        <v>46091</v>
      </c>
      <c r="C175" s="63">
        <v>1</v>
      </c>
      <c r="D175" s="63" t="s">
        <v>205</v>
      </c>
      <c r="E175" s="65" t="s">
        <v>206</v>
      </c>
      <c r="F175" s="65" t="s">
        <v>291</v>
      </c>
      <c r="G175" s="63" t="s">
        <v>783</v>
      </c>
      <c r="H175" s="63">
        <v>358</v>
      </c>
      <c r="I175" s="65" t="s">
        <v>221</v>
      </c>
      <c r="J175" s="63">
        <v>5076</v>
      </c>
      <c r="K175" s="64">
        <v>6723.67</v>
      </c>
      <c r="L175" s="63" t="s">
        <v>2063</v>
      </c>
      <c r="M175" s="65" t="str">
        <f t="shared" si="2"/>
        <v>MINERADORA PORTO FRANCO - MAVF CONSTRUTORA KM114BGS</v>
      </c>
      <c r="N175" s="85" t="s">
        <v>15</v>
      </c>
    </row>
    <row r="176" spans="2:14" hidden="1" x14ac:dyDescent="0.25">
      <c r="B176" s="91">
        <v>46091</v>
      </c>
      <c r="C176" s="63">
        <v>1</v>
      </c>
      <c r="D176" s="63" t="s">
        <v>188</v>
      </c>
      <c r="E176" s="65" t="s">
        <v>189</v>
      </c>
      <c r="F176" s="65" t="s">
        <v>163</v>
      </c>
      <c r="G176" s="63" t="s">
        <v>2048</v>
      </c>
      <c r="H176" s="63">
        <v>237</v>
      </c>
      <c r="I176" s="65" t="s">
        <v>165</v>
      </c>
      <c r="J176" s="63">
        <v>6044</v>
      </c>
      <c r="K176" s="64">
        <v>4583.7700000000004</v>
      </c>
      <c r="L176" s="63" t="s">
        <v>2064</v>
      </c>
      <c r="M176" s="65" t="str">
        <f t="shared" si="2"/>
        <v>BRASIL MINERACAOOLINDA NOVAPÓ DE BRITA</v>
      </c>
      <c r="N176" s="85" t="s">
        <v>191</v>
      </c>
    </row>
    <row r="177" spans="2:14" hidden="1" x14ac:dyDescent="0.25">
      <c r="B177" s="91">
        <v>46091</v>
      </c>
      <c r="C177" s="63">
        <v>1</v>
      </c>
      <c r="D177" s="63" t="s">
        <v>199</v>
      </c>
      <c r="E177" s="65" t="s">
        <v>180</v>
      </c>
      <c r="F177" s="65" t="s">
        <v>163</v>
      </c>
      <c r="G177" s="63" t="s">
        <v>218</v>
      </c>
      <c r="H177" s="63">
        <v>65</v>
      </c>
      <c r="I177" s="65" t="s">
        <v>185</v>
      </c>
      <c r="J177" s="63">
        <v>266</v>
      </c>
      <c r="K177" s="64">
        <v>639.73</v>
      </c>
      <c r="L177" s="63" t="s">
        <v>2065</v>
      </c>
      <c r="M177" s="65" t="str">
        <f t="shared" si="2"/>
        <v>BRASIL MINERACAOEXPOEMARACHÃOZINHO</v>
      </c>
      <c r="N177" s="85" t="s">
        <v>111</v>
      </c>
    </row>
    <row r="178" spans="2:14" hidden="1" x14ac:dyDescent="0.25">
      <c r="B178" s="91">
        <v>46091</v>
      </c>
      <c r="C178" s="63">
        <v>1</v>
      </c>
      <c r="D178" s="63" t="s">
        <v>170</v>
      </c>
      <c r="E178" s="65" t="s">
        <v>171</v>
      </c>
      <c r="F178" s="65" t="s">
        <v>163</v>
      </c>
      <c r="G178" s="63" t="s">
        <v>111</v>
      </c>
      <c r="H178" s="63">
        <v>75</v>
      </c>
      <c r="I178" s="65" t="s">
        <v>185</v>
      </c>
      <c r="J178" s="63">
        <v>2554</v>
      </c>
      <c r="K178" s="64">
        <v>708.74</v>
      </c>
      <c r="L178" s="63" t="s">
        <v>2066</v>
      </c>
      <c r="M178" s="65" t="str">
        <f t="shared" si="2"/>
        <v>BRASIL MINERACAOBEIRA RIORACHÃOZINHO</v>
      </c>
      <c r="N178" s="85" t="s">
        <v>111</v>
      </c>
    </row>
    <row r="179" spans="2:14" hidden="1" x14ac:dyDescent="0.25">
      <c r="B179" s="91">
        <v>46091</v>
      </c>
      <c r="C179" s="63">
        <v>1</v>
      </c>
      <c r="D179" s="63" t="s">
        <v>203</v>
      </c>
      <c r="E179" s="65" t="s">
        <v>204</v>
      </c>
      <c r="F179" s="65" t="s">
        <v>163</v>
      </c>
      <c r="G179" s="63" t="s">
        <v>191</v>
      </c>
      <c r="H179" s="63">
        <v>243</v>
      </c>
      <c r="I179" s="65" t="s">
        <v>165</v>
      </c>
      <c r="J179" s="63">
        <v>486</v>
      </c>
      <c r="K179" s="64">
        <v>4369.63</v>
      </c>
      <c r="L179" s="63" t="s">
        <v>2067</v>
      </c>
      <c r="M179" s="65" t="str">
        <f t="shared" si="2"/>
        <v>BRASIL MINERACAOOLINDA NOVA - MAPÓ DE BRITA</v>
      </c>
      <c r="N179" s="85" t="s">
        <v>191</v>
      </c>
    </row>
    <row r="180" spans="2:14" hidden="1" x14ac:dyDescent="0.25">
      <c r="B180" s="91">
        <v>46091</v>
      </c>
      <c r="C180" s="63">
        <v>1</v>
      </c>
      <c r="D180" s="63" t="s">
        <v>208</v>
      </c>
      <c r="E180" s="65" t="s">
        <v>209</v>
      </c>
      <c r="F180" s="65" t="s">
        <v>190</v>
      </c>
      <c r="G180" s="63" t="s">
        <v>191</v>
      </c>
      <c r="H180" s="63">
        <v>217</v>
      </c>
      <c r="I180" s="65" t="s">
        <v>165</v>
      </c>
      <c r="J180" s="63">
        <v>580</v>
      </c>
      <c r="K180" s="64">
        <v>4656.82</v>
      </c>
      <c r="L180" s="63" t="s">
        <v>2068</v>
      </c>
      <c r="M180" s="65" t="str">
        <f t="shared" si="2"/>
        <v>SERVENGOLINDA NOVA - MAPÓ DE BRITA</v>
      </c>
      <c r="N180" s="85" t="s">
        <v>191</v>
      </c>
    </row>
    <row r="181" spans="2:14" hidden="1" x14ac:dyDescent="0.25">
      <c r="B181" s="91">
        <v>46091</v>
      </c>
      <c r="C181" s="63">
        <v>1</v>
      </c>
      <c r="D181" s="63" t="s">
        <v>283</v>
      </c>
      <c r="E181" s="65" t="s">
        <v>215</v>
      </c>
      <c r="F181" s="65" t="s">
        <v>166</v>
      </c>
      <c r="G181" s="63" t="s">
        <v>1936</v>
      </c>
      <c r="H181" s="63">
        <v>41</v>
      </c>
      <c r="I181" s="65" t="s">
        <v>172</v>
      </c>
      <c r="J181" s="63">
        <v>3584</v>
      </c>
      <c r="K181" s="64">
        <v>543.69000000000005</v>
      </c>
      <c r="L181" s="63" t="s">
        <v>2069</v>
      </c>
      <c r="M181" s="65" t="str">
        <f t="shared" si="2"/>
        <v>GRANORTEEDECOMINAS CALCARIO PORTOBICA CORRIDA</v>
      </c>
      <c r="N181" s="85" t="s">
        <v>2858</v>
      </c>
    </row>
    <row r="182" spans="2:14" hidden="1" x14ac:dyDescent="0.25">
      <c r="B182" s="91">
        <v>46091</v>
      </c>
      <c r="C182" s="63">
        <v>1</v>
      </c>
      <c r="D182" s="63" t="s">
        <v>283</v>
      </c>
      <c r="E182" s="65" t="s">
        <v>215</v>
      </c>
      <c r="F182" s="65" t="s">
        <v>163</v>
      </c>
      <c r="G182" s="63" t="s">
        <v>164</v>
      </c>
      <c r="H182" s="63">
        <v>52</v>
      </c>
      <c r="I182" s="65" t="s">
        <v>165</v>
      </c>
      <c r="J182" s="63">
        <v>2612</v>
      </c>
      <c r="K182" s="64">
        <v>502.55</v>
      </c>
      <c r="L182" s="63" t="s">
        <v>2070</v>
      </c>
      <c r="M182" s="65" t="str">
        <f t="shared" si="2"/>
        <v>BRASIL MINERACAOUA SAO LUISPÓ DE BRITA</v>
      </c>
      <c r="N182" s="85" t="s">
        <v>224</v>
      </c>
    </row>
    <row r="183" spans="2:14" hidden="1" x14ac:dyDescent="0.25">
      <c r="B183" s="91">
        <v>46091</v>
      </c>
      <c r="C183" s="63">
        <v>1</v>
      </c>
      <c r="D183" s="63" t="s">
        <v>193</v>
      </c>
      <c r="E183" s="65" t="s">
        <v>285</v>
      </c>
      <c r="F183" s="65" t="s">
        <v>166</v>
      </c>
      <c r="G183" s="63" t="s">
        <v>111</v>
      </c>
      <c r="H183" s="63">
        <v>79</v>
      </c>
      <c r="I183" s="65" t="s">
        <v>169</v>
      </c>
      <c r="J183" s="63">
        <v>2582</v>
      </c>
      <c r="K183" s="64">
        <v>754.72</v>
      </c>
      <c r="L183" s="63" t="s">
        <v>2071</v>
      </c>
      <c r="M183" s="65" t="str">
        <f t="shared" si="2"/>
        <v>GRANORTEBEIRA RIOPULMÃOZINHO</v>
      </c>
      <c r="N183" s="85" t="s">
        <v>111</v>
      </c>
    </row>
    <row r="184" spans="2:14" hidden="1" x14ac:dyDescent="0.25">
      <c r="B184" s="91">
        <v>46091</v>
      </c>
      <c r="C184" s="63">
        <v>1</v>
      </c>
      <c r="D184" s="63" t="s">
        <v>193</v>
      </c>
      <c r="E184" s="65" t="s">
        <v>285</v>
      </c>
      <c r="F184" s="65" t="s">
        <v>166</v>
      </c>
      <c r="G184" s="63" t="s">
        <v>111</v>
      </c>
      <c r="H184" s="63">
        <v>79</v>
      </c>
      <c r="I184" s="65" t="s">
        <v>169</v>
      </c>
      <c r="J184" s="63">
        <v>267</v>
      </c>
      <c r="K184" s="64">
        <v>780.44</v>
      </c>
      <c r="L184" s="63" t="s">
        <v>2072</v>
      </c>
      <c r="M184" s="65" t="str">
        <f t="shared" si="2"/>
        <v>GRANORTEBEIRA RIOPULMÃOZINHO</v>
      </c>
      <c r="N184" s="85" t="s">
        <v>111</v>
      </c>
    </row>
    <row r="185" spans="2:14" hidden="1" x14ac:dyDescent="0.25">
      <c r="B185" s="91">
        <v>46091</v>
      </c>
      <c r="C185" s="63">
        <v>1</v>
      </c>
      <c r="D185" s="63" t="s">
        <v>213</v>
      </c>
      <c r="E185" s="65" t="s">
        <v>178</v>
      </c>
      <c r="F185" s="65" t="s">
        <v>163</v>
      </c>
      <c r="G185" s="63" t="s">
        <v>191</v>
      </c>
      <c r="H185" s="63">
        <v>243</v>
      </c>
      <c r="I185" s="65" t="s">
        <v>165</v>
      </c>
      <c r="J185" s="63">
        <v>496</v>
      </c>
      <c r="K185" s="64">
        <v>4459.54</v>
      </c>
      <c r="L185" s="63" t="s">
        <v>2073</v>
      </c>
      <c r="M185" s="65" t="str">
        <f t="shared" si="2"/>
        <v>BRASIL MINERACAOOLINDA NOVA - MAPÓ DE BRITA</v>
      </c>
      <c r="N185" s="85" t="s">
        <v>191</v>
      </c>
    </row>
    <row r="186" spans="2:14" hidden="1" x14ac:dyDescent="0.25">
      <c r="B186" s="91">
        <v>46091</v>
      </c>
      <c r="C186" s="63">
        <v>1</v>
      </c>
      <c r="D186" s="63" t="s">
        <v>183</v>
      </c>
      <c r="E186" s="65" t="s">
        <v>184</v>
      </c>
      <c r="F186" s="65" t="s">
        <v>166</v>
      </c>
      <c r="G186" s="63" t="s">
        <v>164</v>
      </c>
      <c r="H186" s="63">
        <v>58</v>
      </c>
      <c r="I186" s="65" t="s">
        <v>165</v>
      </c>
      <c r="J186" s="63">
        <v>2654</v>
      </c>
      <c r="K186" s="64">
        <v>569.54999999999995</v>
      </c>
      <c r="L186" s="63" t="s">
        <v>2074</v>
      </c>
      <c r="M186" s="65" t="str">
        <f t="shared" si="2"/>
        <v>GRANORTEUA SAO LUISPÓ DE BRITA</v>
      </c>
      <c r="N186" s="85" t="s">
        <v>224</v>
      </c>
    </row>
    <row r="187" spans="2:14" hidden="1" x14ac:dyDescent="0.25">
      <c r="B187" s="91">
        <v>46091</v>
      </c>
      <c r="C187" s="63">
        <v>1</v>
      </c>
      <c r="D187" s="63" t="s">
        <v>183</v>
      </c>
      <c r="E187" s="65" t="s">
        <v>184</v>
      </c>
      <c r="F187" s="65" t="s">
        <v>166</v>
      </c>
      <c r="G187" s="63" t="s">
        <v>164</v>
      </c>
      <c r="H187" s="63">
        <v>58</v>
      </c>
      <c r="I187" s="65" t="s">
        <v>165</v>
      </c>
      <c r="J187" s="63">
        <v>2536</v>
      </c>
      <c r="K187" s="64">
        <v>544.23</v>
      </c>
      <c r="L187" s="63" t="s">
        <v>2075</v>
      </c>
      <c r="M187" s="65" t="str">
        <f t="shared" si="2"/>
        <v>GRANORTEUA SAO LUISPÓ DE BRITA</v>
      </c>
      <c r="N187" s="85" t="s">
        <v>224</v>
      </c>
    </row>
    <row r="188" spans="2:14" hidden="1" x14ac:dyDescent="0.25">
      <c r="B188" s="91">
        <v>46091</v>
      </c>
      <c r="C188" s="63">
        <v>1</v>
      </c>
      <c r="D188" s="63" t="s">
        <v>286</v>
      </c>
      <c r="E188" s="65" t="s">
        <v>506</v>
      </c>
      <c r="F188" s="65" t="s">
        <v>163</v>
      </c>
      <c r="G188" s="63" t="s">
        <v>164</v>
      </c>
      <c r="H188" s="63">
        <v>52</v>
      </c>
      <c r="I188" s="65" t="s">
        <v>165</v>
      </c>
      <c r="J188" s="63">
        <v>2738</v>
      </c>
      <c r="K188" s="64">
        <v>526.79</v>
      </c>
      <c r="L188" s="63" t="s">
        <v>2076</v>
      </c>
      <c r="M188" s="65" t="str">
        <f t="shared" si="2"/>
        <v>BRASIL MINERACAOUA SAO LUISPÓ DE BRITA</v>
      </c>
      <c r="N188" s="85" t="s">
        <v>224</v>
      </c>
    </row>
    <row r="189" spans="2:14" hidden="1" x14ac:dyDescent="0.25">
      <c r="B189" s="91">
        <v>46091</v>
      </c>
      <c r="C189" s="63">
        <v>1</v>
      </c>
      <c r="D189" s="63" t="s">
        <v>286</v>
      </c>
      <c r="E189" s="65" t="s">
        <v>506</v>
      </c>
      <c r="F189" s="65" t="s">
        <v>166</v>
      </c>
      <c r="G189" s="63" t="s">
        <v>164</v>
      </c>
      <c r="H189" s="63">
        <v>58</v>
      </c>
      <c r="I189" s="65" t="s">
        <v>165</v>
      </c>
      <c r="J189" s="63">
        <v>259</v>
      </c>
      <c r="K189" s="64">
        <v>555.80999999999995</v>
      </c>
      <c r="L189" s="63" t="s">
        <v>2077</v>
      </c>
      <c r="M189" s="65" t="str">
        <f t="shared" si="2"/>
        <v>GRANORTEUA SAO LUISPÓ DE BRITA</v>
      </c>
      <c r="N189" s="85" t="s">
        <v>224</v>
      </c>
    </row>
    <row r="190" spans="2:14" hidden="1" x14ac:dyDescent="0.25">
      <c r="B190" s="91">
        <v>46091</v>
      </c>
      <c r="C190" s="63">
        <v>1</v>
      </c>
      <c r="D190" s="63" t="s">
        <v>286</v>
      </c>
      <c r="E190" s="65" t="s">
        <v>506</v>
      </c>
      <c r="F190" s="65" t="s">
        <v>166</v>
      </c>
      <c r="G190" s="63" t="s">
        <v>164</v>
      </c>
      <c r="H190" s="63">
        <v>58</v>
      </c>
      <c r="I190" s="65" t="s">
        <v>165</v>
      </c>
      <c r="J190" s="63">
        <v>2864</v>
      </c>
      <c r="K190" s="64">
        <v>614.61</v>
      </c>
      <c r="L190" s="63" t="s">
        <v>2078</v>
      </c>
      <c r="M190" s="65" t="str">
        <f t="shared" si="2"/>
        <v>GRANORTEUA SAO LUISPÓ DE BRITA</v>
      </c>
      <c r="N190" s="85" t="s">
        <v>224</v>
      </c>
    </row>
    <row r="191" spans="2:14" hidden="1" x14ac:dyDescent="0.25">
      <c r="B191" s="91">
        <v>46091</v>
      </c>
      <c r="C191" s="63">
        <v>1</v>
      </c>
      <c r="D191" s="63" t="s">
        <v>192</v>
      </c>
      <c r="E191" s="65" t="s">
        <v>287</v>
      </c>
      <c r="F191" s="65" t="s">
        <v>163</v>
      </c>
      <c r="G191" s="63" t="s">
        <v>164</v>
      </c>
      <c r="H191" s="63">
        <v>52</v>
      </c>
      <c r="I191" s="65" t="s">
        <v>165</v>
      </c>
      <c r="J191" s="63">
        <v>4746</v>
      </c>
      <c r="K191" s="64">
        <v>913.13</v>
      </c>
      <c r="L191" s="63" t="s">
        <v>2079</v>
      </c>
      <c r="M191" s="65" t="str">
        <f t="shared" si="2"/>
        <v>BRASIL MINERACAOUA SAO LUISPÓ DE BRITA</v>
      </c>
      <c r="N191" s="85" t="s">
        <v>224</v>
      </c>
    </row>
    <row r="192" spans="2:14" hidden="1" x14ac:dyDescent="0.25">
      <c r="B192" s="91">
        <v>46091</v>
      </c>
      <c r="C192" s="63">
        <v>1</v>
      </c>
      <c r="D192" s="63" t="s">
        <v>192</v>
      </c>
      <c r="E192" s="65" t="s">
        <v>287</v>
      </c>
      <c r="F192" s="65" t="s">
        <v>163</v>
      </c>
      <c r="G192" s="63" t="s">
        <v>164</v>
      </c>
      <c r="H192" s="63">
        <v>52</v>
      </c>
      <c r="I192" s="65" t="s">
        <v>165</v>
      </c>
      <c r="J192" s="63">
        <v>4656</v>
      </c>
      <c r="K192" s="64">
        <v>895.81</v>
      </c>
      <c r="L192" s="63" t="s">
        <v>2080</v>
      </c>
      <c r="M192" s="65" t="str">
        <f t="shared" si="2"/>
        <v>BRASIL MINERACAOUA SAO LUISPÓ DE BRITA</v>
      </c>
      <c r="N192" s="85" t="s">
        <v>224</v>
      </c>
    </row>
    <row r="193" spans="2:14" hidden="1" x14ac:dyDescent="0.25">
      <c r="B193" s="91">
        <v>46091</v>
      </c>
      <c r="C193" s="63">
        <v>1</v>
      </c>
      <c r="D193" s="63" t="s">
        <v>1948</v>
      </c>
      <c r="E193" s="65" t="s">
        <v>1949</v>
      </c>
      <c r="F193" s="65" t="s">
        <v>163</v>
      </c>
      <c r="G193" s="63" t="s">
        <v>191</v>
      </c>
      <c r="H193" s="63">
        <v>243</v>
      </c>
      <c r="I193" s="65" t="s">
        <v>165</v>
      </c>
      <c r="J193" s="63">
        <v>471</v>
      </c>
      <c r="K193" s="64">
        <v>4234.76</v>
      </c>
      <c r="L193" s="63" t="s">
        <v>2081</v>
      </c>
      <c r="M193" s="65" t="str">
        <f t="shared" si="2"/>
        <v>BRASIL MINERACAOOLINDA NOVA - MAPÓ DE BRITA</v>
      </c>
      <c r="N193" s="85" t="s">
        <v>191</v>
      </c>
    </row>
    <row r="194" spans="2:14" hidden="1" x14ac:dyDescent="0.25">
      <c r="B194" s="91">
        <v>46091</v>
      </c>
      <c r="C194" s="63">
        <v>1</v>
      </c>
      <c r="D194" s="63" t="s">
        <v>270</v>
      </c>
      <c r="E194" s="65" t="s">
        <v>288</v>
      </c>
      <c r="F194" s="65" t="s">
        <v>190</v>
      </c>
      <c r="G194" s="63" t="s">
        <v>191</v>
      </c>
      <c r="H194" s="63">
        <v>217</v>
      </c>
      <c r="I194" s="65" t="s">
        <v>165</v>
      </c>
      <c r="J194" s="63">
        <v>5568</v>
      </c>
      <c r="K194" s="64">
        <v>4470.55</v>
      </c>
      <c r="L194" s="63" t="s">
        <v>2082</v>
      </c>
      <c r="M194" s="65" t="str">
        <f t="shared" si="2"/>
        <v>SERVENGOLINDA NOVA - MAPÓ DE BRITA</v>
      </c>
      <c r="N194" s="85" t="s">
        <v>191</v>
      </c>
    </row>
    <row r="195" spans="2:14" hidden="1" x14ac:dyDescent="0.25">
      <c r="B195" s="91">
        <v>46091</v>
      </c>
      <c r="C195" s="63">
        <v>1</v>
      </c>
      <c r="D195" s="63" t="s">
        <v>200</v>
      </c>
      <c r="E195" s="65" t="s">
        <v>201</v>
      </c>
      <c r="F195" s="65" t="s">
        <v>163</v>
      </c>
      <c r="G195" s="63" t="s">
        <v>2048</v>
      </c>
      <c r="H195" s="63">
        <v>237</v>
      </c>
      <c r="I195" s="65" t="s">
        <v>165</v>
      </c>
      <c r="J195" s="63">
        <v>4636</v>
      </c>
      <c r="K195" s="64">
        <v>3515.94</v>
      </c>
      <c r="L195" s="63" t="s">
        <v>2083</v>
      </c>
      <c r="M195" s="65" t="str">
        <f t="shared" si="2"/>
        <v>BRASIL MINERACAOOLINDA NOVAPÓ DE BRITA</v>
      </c>
      <c r="N195" s="85" t="s">
        <v>191</v>
      </c>
    </row>
    <row r="196" spans="2:14" hidden="1" x14ac:dyDescent="0.25">
      <c r="B196" s="91">
        <v>46091</v>
      </c>
      <c r="C196" s="63">
        <v>1</v>
      </c>
      <c r="D196" s="63" t="s">
        <v>275</v>
      </c>
      <c r="E196" s="65" t="s">
        <v>217</v>
      </c>
      <c r="F196" s="65" t="s">
        <v>163</v>
      </c>
      <c r="G196" s="63" t="s">
        <v>2048</v>
      </c>
      <c r="H196" s="63">
        <v>237</v>
      </c>
      <c r="I196" s="65" t="s">
        <v>165</v>
      </c>
      <c r="J196" s="63">
        <v>4486</v>
      </c>
      <c r="K196" s="64">
        <v>3402.18</v>
      </c>
      <c r="L196" s="63" t="s">
        <v>2084</v>
      </c>
      <c r="M196" s="65" t="str">
        <f t="shared" si="2"/>
        <v>BRASIL MINERACAOOLINDA NOVAPÓ DE BRITA</v>
      </c>
      <c r="N196" s="85" t="s">
        <v>191</v>
      </c>
    </row>
    <row r="197" spans="2:14" hidden="1" x14ac:dyDescent="0.25">
      <c r="B197" s="91">
        <v>46092</v>
      </c>
      <c r="C197" s="63">
        <v>1</v>
      </c>
      <c r="D197" s="63" t="s">
        <v>210</v>
      </c>
      <c r="E197" s="65" t="s">
        <v>211</v>
      </c>
      <c r="F197" s="65" t="s">
        <v>163</v>
      </c>
      <c r="G197" s="63" t="s">
        <v>2048</v>
      </c>
      <c r="H197" s="63">
        <v>237</v>
      </c>
      <c r="I197" s="65" t="s">
        <v>165</v>
      </c>
      <c r="J197" s="63">
        <v>4636</v>
      </c>
      <c r="K197" s="64">
        <v>3515.94</v>
      </c>
      <c r="L197" s="63" t="s">
        <v>2085</v>
      </c>
      <c r="M197" s="65" t="str">
        <f t="shared" ref="M197:M260" si="3">_xlfn.CONCAT(F197&amp;G197&amp;I197)</f>
        <v>BRASIL MINERACAOOLINDA NOVAPÓ DE BRITA</v>
      </c>
      <c r="N197" s="85" t="s">
        <v>191</v>
      </c>
    </row>
    <row r="198" spans="2:14" hidden="1" x14ac:dyDescent="0.25">
      <c r="B198" s="91">
        <v>46092</v>
      </c>
      <c r="C198" s="63">
        <v>1</v>
      </c>
      <c r="D198" s="63" t="s">
        <v>210</v>
      </c>
      <c r="E198" s="65" t="s">
        <v>211</v>
      </c>
      <c r="F198" s="65" t="s">
        <v>190</v>
      </c>
      <c r="G198" s="63" t="s">
        <v>191</v>
      </c>
      <c r="H198" s="63">
        <v>217</v>
      </c>
      <c r="I198" s="65" t="s">
        <v>165</v>
      </c>
      <c r="J198" s="63">
        <v>4544</v>
      </c>
      <c r="K198" s="64">
        <v>3648.38</v>
      </c>
      <c r="L198" s="63" t="s">
        <v>2086</v>
      </c>
      <c r="M198" s="65" t="str">
        <f t="shared" si="3"/>
        <v>SERVENGOLINDA NOVA - MAPÓ DE BRITA</v>
      </c>
      <c r="N198" s="85" t="s">
        <v>191</v>
      </c>
    </row>
    <row r="199" spans="2:14" hidden="1" x14ac:dyDescent="0.25">
      <c r="B199" s="91">
        <v>46092</v>
      </c>
      <c r="C199" s="63">
        <v>1</v>
      </c>
      <c r="D199" s="63" t="s">
        <v>289</v>
      </c>
      <c r="E199" s="65" t="s">
        <v>290</v>
      </c>
      <c r="F199" s="65" t="s">
        <v>291</v>
      </c>
      <c r="G199" s="63" t="s">
        <v>2087</v>
      </c>
      <c r="H199" s="63">
        <v>200</v>
      </c>
      <c r="I199" s="65" t="s">
        <v>172</v>
      </c>
      <c r="J199" s="63">
        <v>4008</v>
      </c>
      <c r="K199" s="64">
        <v>2965.92</v>
      </c>
      <c r="L199" s="63" t="s">
        <v>2088</v>
      </c>
      <c r="M199" s="65" t="str">
        <f t="shared" si="3"/>
        <v>MINERADORA PORTO FRANCO - MACIDELANDIABICA CORRIDA</v>
      </c>
      <c r="N199" s="85" t="s">
        <v>15</v>
      </c>
    </row>
    <row r="200" spans="2:14" hidden="1" x14ac:dyDescent="0.25">
      <c r="B200" s="91">
        <v>46092</v>
      </c>
      <c r="C200" s="63">
        <v>1</v>
      </c>
      <c r="D200" s="63" t="s">
        <v>170</v>
      </c>
      <c r="E200" s="65" t="s">
        <v>171</v>
      </c>
      <c r="F200" s="65" t="s">
        <v>163</v>
      </c>
      <c r="G200" s="63" t="s">
        <v>218</v>
      </c>
      <c r="H200" s="63">
        <v>65</v>
      </c>
      <c r="I200" s="65" t="s">
        <v>185</v>
      </c>
      <c r="J200" s="63">
        <v>256</v>
      </c>
      <c r="K200" s="64">
        <v>615.67999999999995</v>
      </c>
      <c r="L200" s="63" t="s">
        <v>2089</v>
      </c>
      <c r="M200" s="65" t="str">
        <f t="shared" si="3"/>
        <v>BRASIL MINERACAOEXPOEMARACHÃOZINHO</v>
      </c>
      <c r="N200" s="85" t="s">
        <v>111</v>
      </c>
    </row>
    <row r="201" spans="2:14" hidden="1" x14ac:dyDescent="0.25">
      <c r="B201" s="91">
        <v>46092</v>
      </c>
      <c r="C201" s="63">
        <v>1</v>
      </c>
      <c r="D201" s="63" t="s">
        <v>219</v>
      </c>
      <c r="E201" s="65" t="s">
        <v>220</v>
      </c>
      <c r="F201" s="65" t="s">
        <v>166</v>
      </c>
      <c r="G201" s="63" t="s">
        <v>164</v>
      </c>
      <c r="H201" s="63">
        <v>58</v>
      </c>
      <c r="I201" s="65" t="s">
        <v>195</v>
      </c>
      <c r="J201" s="63">
        <v>366</v>
      </c>
      <c r="K201" s="64">
        <v>785.44</v>
      </c>
      <c r="L201" s="63" t="s">
        <v>2090</v>
      </c>
      <c r="M201" s="65" t="str">
        <f t="shared" si="3"/>
        <v>GRANORTEUA SAO LUISBRITA 1</v>
      </c>
      <c r="N201" s="85" t="s">
        <v>224</v>
      </c>
    </row>
    <row r="202" spans="2:14" hidden="1" x14ac:dyDescent="0.25">
      <c r="B202" s="91">
        <v>46092</v>
      </c>
      <c r="C202" s="63">
        <v>1</v>
      </c>
      <c r="D202" s="63" t="s">
        <v>219</v>
      </c>
      <c r="E202" s="65" t="s">
        <v>220</v>
      </c>
      <c r="F202" s="65" t="s">
        <v>163</v>
      </c>
      <c r="G202" s="63" t="s">
        <v>164</v>
      </c>
      <c r="H202" s="63">
        <v>52</v>
      </c>
      <c r="I202" s="65" t="s">
        <v>175</v>
      </c>
      <c r="J202" s="63">
        <v>529</v>
      </c>
      <c r="K202" s="64">
        <v>1017.8</v>
      </c>
      <c r="L202" s="63" t="s">
        <v>2091</v>
      </c>
      <c r="M202" s="65" t="str">
        <f t="shared" si="3"/>
        <v>BRASIL MINERACAOUA SAO LUISBRITA 0</v>
      </c>
      <c r="N202" s="85" t="s">
        <v>224</v>
      </c>
    </row>
    <row r="203" spans="2:14" hidden="1" x14ac:dyDescent="0.25">
      <c r="B203" s="91">
        <v>46092</v>
      </c>
      <c r="C203" s="63">
        <v>1</v>
      </c>
      <c r="D203" s="63" t="s">
        <v>196</v>
      </c>
      <c r="E203" s="65" t="s">
        <v>197</v>
      </c>
      <c r="F203" s="65" t="s">
        <v>163</v>
      </c>
      <c r="G203" s="63" t="s">
        <v>191</v>
      </c>
      <c r="H203" s="63">
        <v>243</v>
      </c>
      <c r="I203" s="65" t="s">
        <v>165</v>
      </c>
      <c r="J203" s="63">
        <v>6072</v>
      </c>
      <c r="K203" s="64">
        <v>5459.34</v>
      </c>
      <c r="L203" s="63" t="s">
        <v>2092</v>
      </c>
      <c r="M203" s="65" t="str">
        <f t="shared" si="3"/>
        <v>BRASIL MINERACAOOLINDA NOVA - MAPÓ DE BRITA</v>
      </c>
      <c r="N203" s="85" t="s">
        <v>191</v>
      </c>
    </row>
    <row r="204" spans="2:14" hidden="1" x14ac:dyDescent="0.25">
      <c r="B204" s="91">
        <v>46092</v>
      </c>
      <c r="C204" s="63">
        <v>1</v>
      </c>
      <c r="D204" s="63" t="s">
        <v>202</v>
      </c>
      <c r="E204" s="65" t="s">
        <v>214</v>
      </c>
      <c r="F204" s="65" t="s">
        <v>163</v>
      </c>
      <c r="G204" s="63" t="s">
        <v>191</v>
      </c>
      <c r="H204" s="63">
        <v>243</v>
      </c>
      <c r="I204" s="65" t="s">
        <v>165</v>
      </c>
      <c r="J204" s="63">
        <v>6044</v>
      </c>
      <c r="K204" s="64">
        <v>5434.16</v>
      </c>
      <c r="L204" s="63" t="s">
        <v>2093</v>
      </c>
      <c r="M204" s="65" t="str">
        <f t="shared" si="3"/>
        <v>BRASIL MINERACAOOLINDA NOVA - MAPÓ DE BRITA</v>
      </c>
      <c r="N204" s="85" t="s">
        <v>191</v>
      </c>
    </row>
    <row r="205" spans="2:14" hidden="1" x14ac:dyDescent="0.25">
      <c r="B205" s="91">
        <v>46092</v>
      </c>
      <c r="C205" s="63">
        <v>1</v>
      </c>
      <c r="D205" s="63" t="s">
        <v>199</v>
      </c>
      <c r="E205" s="65" t="s">
        <v>180</v>
      </c>
      <c r="F205" s="65" t="s">
        <v>163</v>
      </c>
      <c r="G205" s="63" t="s">
        <v>111</v>
      </c>
      <c r="H205" s="63">
        <v>75</v>
      </c>
      <c r="I205" s="65" t="s">
        <v>185</v>
      </c>
      <c r="J205" s="63">
        <v>2582</v>
      </c>
      <c r="K205" s="64">
        <v>716.51</v>
      </c>
      <c r="L205" s="63" t="s">
        <v>2094</v>
      </c>
      <c r="M205" s="65" t="str">
        <f t="shared" si="3"/>
        <v>BRASIL MINERACAOBEIRA RIORACHÃOZINHO</v>
      </c>
      <c r="N205" s="85" t="s">
        <v>111</v>
      </c>
    </row>
    <row r="206" spans="2:14" hidden="1" x14ac:dyDescent="0.25">
      <c r="B206" s="91">
        <v>46092</v>
      </c>
      <c r="C206" s="63">
        <v>1</v>
      </c>
      <c r="D206" s="63" t="s">
        <v>167</v>
      </c>
      <c r="E206" s="65" t="s">
        <v>168</v>
      </c>
      <c r="F206" s="65" t="s">
        <v>163</v>
      </c>
      <c r="G206" s="63" t="s">
        <v>111</v>
      </c>
      <c r="H206" s="63">
        <v>75</v>
      </c>
      <c r="I206" s="65" t="s">
        <v>185</v>
      </c>
      <c r="J206" s="63">
        <v>2614</v>
      </c>
      <c r="K206" s="64">
        <v>725.39</v>
      </c>
      <c r="L206" s="63" t="s">
        <v>2095</v>
      </c>
      <c r="M206" s="65" t="str">
        <f t="shared" si="3"/>
        <v>BRASIL MINERACAOBEIRA RIORACHÃOZINHO</v>
      </c>
      <c r="N206" s="85" t="s">
        <v>111</v>
      </c>
    </row>
    <row r="207" spans="2:14" hidden="1" x14ac:dyDescent="0.25">
      <c r="B207" s="91">
        <v>46092</v>
      </c>
      <c r="C207" s="63">
        <v>1</v>
      </c>
      <c r="D207" s="63" t="s">
        <v>167</v>
      </c>
      <c r="E207" s="65" t="s">
        <v>168</v>
      </c>
      <c r="F207" s="65" t="s">
        <v>163</v>
      </c>
      <c r="G207" s="63" t="s">
        <v>111</v>
      </c>
      <c r="H207" s="63">
        <v>75</v>
      </c>
      <c r="I207" s="65" t="s">
        <v>185</v>
      </c>
      <c r="J207" s="63">
        <v>268</v>
      </c>
      <c r="K207" s="64">
        <v>743.7</v>
      </c>
      <c r="L207" s="63" t="s">
        <v>2096</v>
      </c>
      <c r="M207" s="65" t="str">
        <f t="shared" si="3"/>
        <v>BRASIL MINERACAOBEIRA RIORACHÃOZINHO</v>
      </c>
      <c r="N207" s="85" t="s">
        <v>111</v>
      </c>
    </row>
    <row r="208" spans="2:14" hidden="1" x14ac:dyDescent="0.25">
      <c r="B208" s="91">
        <v>46092</v>
      </c>
      <c r="C208" s="63">
        <v>1</v>
      </c>
      <c r="D208" s="63" t="s">
        <v>170</v>
      </c>
      <c r="E208" s="65" t="s">
        <v>171</v>
      </c>
      <c r="F208" s="65" t="s">
        <v>163</v>
      </c>
      <c r="G208" s="63" t="s">
        <v>111</v>
      </c>
      <c r="H208" s="63">
        <v>75</v>
      </c>
      <c r="I208" s="65" t="s">
        <v>185</v>
      </c>
      <c r="J208" s="63">
        <v>2614</v>
      </c>
      <c r="K208" s="64">
        <v>725.39</v>
      </c>
      <c r="L208" s="63" t="s">
        <v>2097</v>
      </c>
      <c r="M208" s="65" t="str">
        <f t="shared" si="3"/>
        <v>BRASIL MINERACAOBEIRA RIORACHÃOZINHO</v>
      </c>
      <c r="N208" s="85" t="s">
        <v>111</v>
      </c>
    </row>
    <row r="209" spans="2:14" hidden="1" x14ac:dyDescent="0.25">
      <c r="B209" s="91">
        <v>46092</v>
      </c>
      <c r="C209" s="63">
        <v>1</v>
      </c>
      <c r="D209" s="63" t="s">
        <v>162</v>
      </c>
      <c r="E209" s="65" t="s">
        <v>281</v>
      </c>
      <c r="F209" s="65" t="s">
        <v>166</v>
      </c>
      <c r="G209" s="63" t="s">
        <v>111</v>
      </c>
      <c r="H209" s="63">
        <v>79</v>
      </c>
      <c r="I209" s="65" t="s">
        <v>169</v>
      </c>
      <c r="J209" s="63">
        <v>2598</v>
      </c>
      <c r="K209" s="64">
        <v>759.4</v>
      </c>
      <c r="L209" s="63" t="s">
        <v>2098</v>
      </c>
      <c r="M209" s="65" t="str">
        <f t="shared" si="3"/>
        <v>GRANORTEBEIRA RIOPULMÃOZINHO</v>
      </c>
      <c r="N209" s="85" t="s">
        <v>111</v>
      </c>
    </row>
    <row r="210" spans="2:14" hidden="1" x14ac:dyDescent="0.25">
      <c r="B210" s="91">
        <v>46092</v>
      </c>
      <c r="C210" s="63">
        <v>1</v>
      </c>
      <c r="D210" s="63" t="s">
        <v>199</v>
      </c>
      <c r="E210" s="65" t="s">
        <v>180</v>
      </c>
      <c r="F210" s="65" t="s">
        <v>166</v>
      </c>
      <c r="G210" s="63" t="s">
        <v>164</v>
      </c>
      <c r="H210" s="63">
        <v>58</v>
      </c>
      <c r="I210" s="65" t="s">
        <v>175</v>
      </c>
      <c r="J210" s="63">
        <v>3036</v>
      </c>
      <c r="K210" s="64">
        <v>651.53</v>
      </c>
      <c r="L210" s="63" t="s">
        <v>2099</v>
      </c>
      <c r="M210" s="65" t="str">
        <f t="shared" si="3"/>
        <v>GRANORTEUA SAO LUISBRITA 0</v>
      </c>
      <c r="N210" s="85" t="s">
        <v>224</v>
      </c>
    </row>
    <row r="211" spans="2:14" hidden="1" x14ac:dyDescent="0.25">
      <c r="B211" s="91">
        <v>46092</v>
      </c>
      <c r="C211" s="63">
        <v>1</v>
      </c>
      <c r="D211" s="63" t="s">
        <v>167</v>
      </c>
      <c r="E211" s="65" t="s">
        <v>168</v>
      </c>
      <c r="F211" s="65" t="s">
        <v>163</v>
      </c>
      <c r="G211" s="63" t="s">
        <v>111</v>
      </c>
      <c r="H211" s="63">
        <v>75</v>
      </c>
      <c r="I211" s="65" t="s">
        <v>185</v>
      </c>
      <c r="J211" s="63">
        <v>2772</v>
      </c>
      <c r="K211" s="64">
        <v>769.23</v>
      </c>
      <c r="L211" s="63" t="s">
        <v>2100</v>
      </c>
      <c r="M211" s="65" t="str">
        <f t="shared" si="3"/>
        <v>BRASIL MINERACAOBEIRA RIORACHÃOZINHO</v>
      </c>
      <c r="N211" s="85" t="s">
        <v>111</v>
      </c>
    </row>
    <row r="212" spans="2:14" hidden="1" x14ac:dyDescent="0.25">
      <c r="B212" s="91">
        <v>46092</v>
      </c>
      <c r="C212" s="63">
        <v>1</v>
      </c>
      <c r="D212" s="63" t="s">
        <v>219</v>
      </c>
      <c r="E212" s="65" t="s">
        <v>220</v>
      </c>
      <c r="F212" s="65" t="s">
        <v>166</v>
      </c>
      <c r="G212" s="63" t="s">
        <v>164</v>
      </c>
      <c r="H212" s="63">
        <v>58</v>
      </c>
      <c r="I212" s="65" t="s">
        <v>175</v>
      </c>
      <c r="J212" s="63">
        <v>624</v>
      </c>
      <c r="K212" s="64">
        <v>1339.1</v>
      </c>
      <c r="L212" s="63" t="s">
        <v>2101</v>
      </c>
      <c r="M212" s="65" t="str">
        <f t="shared" si="3"/>
        <v>GRANORTEUA SAO LUISBRITA 0</v>
      </c>
      <c r="N212" s="85" t="s">
        <v>224</v>
      </c>
    </row>
    <row r="213" spans="2:14" hidden="1" x14ac:dyDescent="0.25">
      <c r="B213" s="91">
        <v>46092</v>
      </c>
      <c r="C213" s="63">
        <v>1</v>
      </c>
      <c r="D213" s="63" t="s">
        <v>181</v>
      </c>
      <c r="E213" s="65" t="s">
        <v>182</v>
      </c>
      <c r="F213" s="65" t="s">
        <v>166</v>
      </c>
      <c r="G213" s="63" t="s">
        <v>111</v>
      </c>
      <c r="H213" s="63">
        <v>79</v>
      </c>
      <c r="I213" s="65" t="s">
        <v>169</v>
      </c>
      <c r="J213" s="63">
        <v>250</v>
      </c>
      <c r="K213" s="64">
        <v>730.75</v>
      </c>
      <c r="L213" s="63" t="s">
        <v>2102</v>
      </c>
      <c r="M213" s="65" t="str">
        <f t="shared" si="3"/>
        <v>GRANORTEBEIRA RIOPULMÃOZINHO</v>
      </c>
      <c r="N213" s="85" t="s">
        <v>111</v>
      </c>
    </row>
    <row r="214" spans="2:14" hidden="1" x14ac:dyDescent="0.25">
      <c r="B214" s="91">
        <v>46092</v>
      </c>
      <c r="C214" s="63">
        <v>1</v>
      </c>
      <c r="D214" s="63" t="s">
        <v>181</v>
      </c>
      <c r="E214" s="65" t="s">
        <v>182</v>
      </c>
      <c r="F214" s="65" t="s">
        <v>166</v>
      </c>
      <c r="G214" s="63" t="s">
        <v>111</v>
      </c>
      <c r="H214" s="63">
        <v>79</v>
      </c>
      <c r="I214" s="65" t="s">
        <v>169</v>
      </c>
      <c r="J214" s="63">
        <v>2522</v>
      </c>
      <c r="K214" s="64">
        <v>737.18</v>
      </c>
      <c r="L214" s="63" t="s">
        <v>2103</v>
      </c>
      <c r="M214" s="65" t="str">
        <f t="shared" si="3"/>
        <v>GRANORTEBEIRA RIOPULMÃOZINHO</v>
      </c>
      <c r="N214" s="85" t="s">
        <v>111</v>
      </c>
    </row>
    <row r="215" spans="2:14" hidden="1" x14ac:dyDescent="0.25">
      <c r="B215" s="91">
        <v>46092</v>
      </c>
      <c r="C215" s="63">
        <v>1</v>
      </c>
      <c r="D215" s="63" t="s">
        <v>199</v>
      </c>
      <c r="E215" s="65" t="s">
        <v>180</v>
      </c>
      <c r="F215" s="65" t="s">
        <v>166</v>
      </c>
      <c r="G215" s="63" t="s">
        <v>164</v>
      </c>
      <c r="H215" s="63">
        <v>58</v>
      </c>
      <c r="I215" s="65" t="s">
        <v>175</v>
      </c>
      <c r="J215" s="63">
        <v>2754</v>
      </c>
      <c r="K215" s="64">
        <v>591.01</v>
      </c>
      <c r="L215" s="63" t="s">
        <v>2104</v>
      </c>
      <c r="M215" s="65" t="str">
        <f t="shared" si="3"/>
        <v>GRANORTEUA SAO LUISBRITA 0</v>
      </c>
      <c r="N215" s="85" t="s">
        <v>224</v>
      </c>
    </row>
    <row r="216" spans="2:14" hidden="1" x14ac:dyDescent="0.25">
      <c r="B216" s="91">
        <v>46092</v>
      </c>
      <c r="C216" s="63">
        <v>1</v>
      </c>
      <c r="D216" s="63" t="s">
        <v>283</v>
      </c>
      <c r="E216" s="65" t="s">
        <v>215</v>
      </c>
      <c r="F216" s="65" t="s">
        <v>163</v>
      </c>
      <c r="G216" s="63" t="s">
        <v>164</v>
      </c>
      <c r="H216" s="63">
        <v>52</v>
      </c>
      <c r="I216" s="65" t="s">
        <v>165</v>
      </c>
      <c r="J216" s="63">
        <v>2656</v>
      </c>
      <c r="K216" s="64">
        <v>511.01</v>
      </c>
      <c r="L216" s="63" t="s">
        <v>2105</v>
      </c>
      <c r="M216" s="65" t="str">
        <f t="shared" si="3"/>
        <v>BRASIL MINERACAOUA SAO LUISPÓ DE BRITA</v>
      </c>
      <c r="N216" s="85" t="s">
        <v>224</v>
      </c>
    </row>
    <row r="217" spans="2:14" hidden="1" x14ac:dyDescent="0.25">
      <c r="B217" s="91">
        <v>46092</v>
      </c>
      <c r="C217" s="63">
        <v>1</v>
      </c>
      <c r="D217" s="63" t="s">
        <v>283</v>
      </c>
      <c r="E217" s="65" t="s">
        <v>215</v>
      </c>
      <c r="F217" s="65" t="s">
        <v>166</v>
      </c>
      <c r="G217" s="63" t="s">
        <v>164</v>
      </c>
      <c r="H217" s="63">
        <v>58</v>
      </c>
      <c r="I217" s="65" t="s">
        <v>175</v>
      </c>
      <c r="J217" s="63">
        <v>2532</v>
      </c>
      <c r="K217" s="64">
        <v>543.37</v>
      </c>
      <c r="L217" s="63" t="s">
        <v>2106</v>
      </c>
      <c r="M217" s="65" t="str">
        <f t="shared" si="3"/>
        <v>GRANORTEUA SAO LUISBRITA 0</v>
      </c>
      <c r="N217" s="85" t="s">
        <v>224</v>
      </c>
    </row>
    <row r="218" spans="2:14" hidden="1" x14ac:dyDescent="0.25">
      <c r="B218" s="91">
        <v>46092</v>
      </c>
      <c r="C218" s="63">
        <v>1</v>
      </c>
      <c r="D218" s="63" t="s">
        <v>188</v>
      </c>
      <c r="E218" s="65" t="s">
        <v>189</v>
      </c>
      <c r="F218" s="65" t="s">
        <v>163</v>
      </c>
      <c r="G218" s="63" t="s">
        <v>2048</v>
      </c>
      <c r="H218" s="63">
        <v>237</v>
      </c>
      <c r="I218" s="65" t="s">
        <v>165</v>
      </c>
      <c r="J218" s="63">
        <v>609</v>
      </c>
      <c r="K218" s="64">
        <v>4618.66</v>
      </c>
      <c r="L218" s="63" t="s">
        <v>2107</v>
      </c>
      <c r="M218" s="65" t="str">
        <f t="shared" si="3"/>
        <v>BRASIL MINERACAOOLINDA NOVAPÓ DE BRITA</v>
      </c>
      <c r="N218" s="85" t="s">
        <v>191</v>
      </c>
    </row>
    <row r="219" spans="2:14" hidden="1" x14ac:dyDescent="0.25">
      <c r="B219" s="91">
        <v>46092</v>
      </c>
      <c r="C219" s="63">
        <v>1</v>
      </c>
      <c r="D219" s="63" t="s">
        <v>208</v>
      </c>
      <c r="E219" s="65" t="s">
        <v>209</v>
      </c>
      <c r="F219" s="65" t="s">
        <v>163</v>
      </c>
      <c r="G219" s="63" t="s">
        <v>2048</v>
      </c>
      <c r="H219" s="63">
        <v>237</v>
      </c>
      <c r="I219" s="65" t="s">
        <v>165</v>
      </c>
      <c r="J219" s="63">
        <v>580</v>
      </c>
      <c r="K219" s="64">
        <v>4398.72</v>
      </c>
      <c r="L219" s="63" t="s">
        <v>2108</v>
      </c>
      <c r="M219" s="65" t="str">
        <f t="shared" si="3"/>
        <v>BRASIL MINERACAOOLINDA NOVAPÓ DE BRITA</v>
      </c>
      <c r="N219" s="85" t="s">
        <v>191</v>
      </c>
    </row>
    <row r="220" spans="2:14" hidden="1" x14ac:dyDescent="0.25">
      <c r="B220" s="91">
        <v>46092</v>
      </c>
      <c r="C220" s="63">
        <v>1</v>
      </c>
      <c r="D220" s="63" t="s">
        <v>183</v>
      </c>
      <c r="E220" s="65" t="s">
        <v>184</v>
      </c>
      <c r="F220" s="65" t="s">
        <v>166</v>
      </c>
      <c r="G220" s="63" t="s">
        <v>111</v>
      </c>
      <c r="H220" s="63">
        <v>79</v>
      </c>
      <c r="I220" s="65" t="s">
        <v>185</v>
      </c>
      <c r="J220" s="63">
        <v>254</v>
      </c>
      <c r="K220" s="64">
        <v>742.44</v>
      </c>
      <c r="L220" s="63" t="s">
        <v>2109</v>
      </c>
      <c r="M220" s="65" t="str">
        <f t="shared" si="3"/>
        <v>GRANORTEBEIRA RIORACHÃOZINHO</v>
      </c>
      <c r="N220" s="85" t="s">
        <v>111</v>
      </c>
    </row>
    <row r="221" spans="2:14" hidden="1" x14ac:dyDescent="0.25">
      <c r="B221" s="91">
        <v>46092</v>
      </c>
      <c r="C221" s="63">
        <v>1</v>
      </c>
      <c r="D221" s="63" t="s">
        <v>183</v>
      </c>
      <c r="E221" s="65" t="s">
        <v>184</v>
      </c>
      <c r="F221" s="65" t="s">
        <v>166</v>
      </c>
      <c r="G221" s="63" t="s">
        <v>111</v>
      </c>
      <c r="H221" s="63">
        <v>79</v>
      </c>
      <c r="I221" s="65" t="s">
        <v>185</v>
      </c>
      <c r="J221" s="63">
        <v>2596</v>
      </c>
      <c r="K221" s="64">
        <v>758.81</v>
      </c>
      <c r="L221" s="63" t="s">
        <v>2110</v>
      </c>
      <c r="M221" s="65" t="str">
        <f t="shared" si="3"/>
        <v>GRANORTEBEIRA RIORACHÃOZINHO</v>
      </c>
      <c r="N221" s="85" t="s">
        <v>111</v>
      </c>
    </row>
    <row r="222" spans="2:14" hidden="1" x14ac:dyDescent="0.25">
      <c r="B222" s="91">
        <v>46092</v>
      </c>
      <c r="C222" s="63">
        <v>1</v>
      </c>
      <c r="D222" s="63" t="s">
        <v>286</v>
      </c>
      <c r="E222" s="65" t="s">
        <v>506</v>
      </c>
      <c r="F222" s="65" t="s">
        <v>166</v>
      </c>
      <c r="G222" s="63" t="s">
        <v>164</v>
      </c>
      <c r="H222" s="63">
        <v>58</v>
      </c>
      <c r="I222" s="65" t="s">
        <v>169</v>
      </c>
      <c r="J222" s="63">
        <v>2552</v>
      </c>
      <c r="K222" s="64">
        <v>547.66</v>
      </c>
      <c r="L222" s="63" t="s">
        <v>2111</v>
      </c>
      <c r="M222" s="65" t="str">
        <f t="shared" si="3"/>
        <v>GRANORTEUA SAO LUISPULMÃOZINHO</v>
      </c>
      <c r="N222" s="85" t="s">
        <v>224</v>
      </c>
    </row>
    <row r="223" spans="2:14" hidden="1" x14ac:dyDescent="0.25">
      <c r="B223" s="91">
        <v>46092</v>
      </c>
      <c r="C223" s="63">
        <v>1</v>
      </c>
      <c r="D223" s="63" t="s">
        <v>286</v>
      </c>
      <c r="E223" s="65" t="s">
        <v>506</v>
      </c>
      <c r="F223" s="65" t="s">
        <v>11</v>
      </c>
      <c r="G223" s="63" t="s">
        <v>2112</v>
      </c>
      <c r="H223" s="63">
        <v>76</v>
      </c>
      <c r="I223" s="65" t="s">
        <v>185</v>
      </c>
      <c r="J223" s="63">
        <v>2542</v>
      </c>
      <c r="K223" s="64">
        <v>714.81</v>
      </c>
      <c r="L223" s="63" t="s">
        <v>2113</v>
      </c>
      <c r="M223" s="65" t="str">
        <f t="shared" si="3"/>
        <v>METROPOLITANARETORNO DA UEMARACHÃOZINHO</v>
      </c>
      <c r="N223" s="85" t="s">
        <v>108</v>
      </c>
    </row>
    <row r="224" spans="2:14" hidden="1" x14ac:dyDescent="0.25">
      <c r="B224" s="91">
        <v>46092</v>
      </c>
      <c r="C224" s="63">
        <v>1</v>
      </c>
      <c r="D224" s="63" t="s">
        <v>192</v>
      </c>
      <c r="E224" s="65" t="s">
        <v>287</v>
      </c>
      <c r="F224" s="65" t="s">
        <v>166</v>
      </c>
      <c r="G224" s="63" t="s">
        <v>164</v>
      </c>
      <c r="H224" s="63">
        <v>58</v>
      </c>
      <c r="I224" s="65" t="s">
        <v>175</v>
      </c>
      <c r="J224" s="63">
        <v>266</v>
      </c>
      <c r="K224" s="64">
        <v>570.84</v>
      </c>
      <c r="L224" s="63" t="s">
        <v>2114</v>
      </c>
      <c r="M224" s="65" t="str">
        <f t="shared" si="3"/>
        <v>GRANORTEUA SAO LUISBRITA 0</v>
      </c>
      <c r="N224" s="85" t="s">
        <v>224</v>
      </c>
    </row>
    <row r="225" spans="2:14" hidden="1" x14ac:dyDescent="0.25">
      <c r="B225" s="91">
        <v>46092</v>
      </c>
      <c r="C225" s="63">
        <v>1</v>
      </c>
      <c r="D225" s="63" t="s">
        <v>213</v>
      </c>
      <c r="E225" s="65" t="s">
        <v>178</v>
      </c>
      <c r="F225" s="65" t="s">
        <v>163</v>
      </c>
      <c r="G225" s="63" t="s">
        <v>191</v>
      </c>
      <c r="H225" s="63">
        <v>243</v>
      </c>
      <c r="I225" s="65" t="s">
        <v>165</v>
      </c>
      <c r="J225" s="63">
        <v>4854</v>
      </c>
      <c r="K225" s="64">
        <v>4364.2299999999996</v>
      </c>
      <c r="L225" s="63" t="s">
        <v>2115</v>
      </c>
      <c r="M225" s="65" t="str">
        <f t="shared" si="3"/>
        <v>BRASIL MINERACAOOLINDA NOVA - MAPÓ DE BRITA</v>
      </c>
      <c r="N225" s="85" t="s">
        <v>191</v>
      </c>
    </row>
    <row r="226" spans="2:14" hidden="1" x14ac:dyDescent="0.25">
      <c r="B226" s="91">
        <v>46092</v>
      </c>
      <c r="C226" s="63">
        <v>1</v>
      </c>
      <c r="D226" s="63" t="s">
        <v>270</v>
      </c>
      <c r="E226" s="65" t="s">
        <v>288</v>
      </c>
      <c r="F226" s="65" t="s">
        <v>163</v>
      </c>
      <c r="G226" s="63" t="s">
        <v>2048</v>
      </c>
      <c r="H226" s="63">
        <v>237</v>
      </c>
      <c r="I226" s="65" t="s">
        <v>165</v>
      </c>
      <c r="J226" s="63">
        <v>4898</v>
      </c>
      <c r="K226" s="64">
        <v>3714.64</v>
      </c>
      <c r="L226" s="63" t="s">
        <v>2116</v>
      </c>
      <c r="M226" s="65" t="str">
        <f t="shared" si="3"/>
        <v>BRASIL MINERACAOOLINDA NOVAPÓ DE BRITA</v>
      </c>
      <c r="N226" s="85" t="s">
        <v>191</v>
      </c>
    </row>
    <row r="227" spans="2:14" hidden="1" x14ac:dyDescent="0.25">
      <c r="B227" s="91">
        <v>46092</v>
      </c>
      <c r="C227" s="63">
        <v>1</v>
      </c>
      <c r="D227" s="63" t="s">
        <v>193</v>
      </c>
      <c r="E227" s="65" t="s">
        <v>285</v>
      </c>
      <c r="F227" s="65" t="s">
        <v>166</v>
      </c>
      <c r="G227" s="63" t="s">
        <v>111</v>
      </c>
      <c r="H227" s="63">
        <v>79</v>
      </c>
      <c r="I227" s="65" t="s">
        <v>169</v>
      </c>
      <c r="J227" s="63">
        <v>2484</v>
      </c>
      <c r="K227" s="64">
        <v>726.07</v>
      </c>
      <c r="L227" s="63" t="s">
        <v>2117</v>
      </c>
      <c r="M227" s="65" t="str">
        <f t="shared" si="3"/>
        <v>GRANORTEBEIRA RIOPULMÃOZINHO</v>
      </c>
      <c r="N227" s="85" t="s">
        <v>111</v>
      </c>
    </row>
    <row r="228" spans="2:14" hidden="1" x14ac:dyDescent="0.25">
      <c r="B228" s="91">
        <v>46092</v>
      </c>
      <c r="C228" s="63">
        <v>1</v>
      </c>
      <c r="D228" s="63" t="s">
        <v>193</v>
      </c>
      <c r="E228" s="65" t="s">
        <v>285</v>
      </c>
      <c r="F228" s="65" t="s">
        <v>166</v>
      </c>
      <c r="G228" s="63" t="s">
        <v>111</v>
      </c>
      <c r="H228" s="63">
        <v>79</v>
      </c>
      <c r="I228" s="65" t="s">
        <v>169</v>
      </c>
      <c r="J228" s="63">
        <v>259</v>
      </c>
      <c r="K228" s="64">
        <v>757.06</v>
      </c>
      <c r="L228" s="63" t="s">
        <v>2118</v>
      </c>
      <c r="M228" s="65" t="str">
        <f t="shared" si="3"/>
        <v>GRANORTEBEIRA RIOPULMÃOZINHO</v>
      </c>
      <c r="N228" s="85" t="s">
        <v>111</v>
      </c>
    </row>
    <row r="229" spans="2:14" hidden="1" x14ac:dyDescent="0.25">
      <c r="B229" s="91">
        <v>46092</v>
      </c>
      <c r="C229" s="63">
        <v>1</v>
      </c>
      <c r="D229" s="63" t="s">
        <v>200</v>
      </c>
      <c r="E229" s="65" t="s">
        <v>201</v>
      </c>
      <c r="F229" s="65" t="s">
        <v>163</v>
      </c>
      <c r="G229" s="63" t="s">
        <v>2048</v>
      </c>
      <c r="H229" s="63">
        <v>237</v>
      </c>
      <c r="I229" s="65" t="s">
        <v>165</v>
      </c>
      <c r="J229" s="63">
        <v>472</v>
      </c>
      <c r="K229" s="64">
        <v>3579.65</v>
      </c>
      <c r="L229" s="63" t="s">
        <v>2119</v>
      </c>
      <c r="M229" s="65" t="str">
        <f t="shared" si="3"/>
        <v>BRASIL MINERACAOOLINDA NOVAPÓ DE BRITA</v>
      </c>
      <c r="N229" s="85" t="s">
        <v>191</v>
      </c>
    </row>
    <row r="230" spans="2:14" hidden="1" x14ac:dyDescent="0.25">
      <c r="B230" s="91">
        <v>46092</v>
      </c>
      <c r="C230" s="63">
        <v>1</v>
      </c>
      <c r="D230" s="63" t="s">
        <v>275</v>
      </c>
      <c r="E230" s="65" t="s">
        <v>217</v>
      </c>
      <c r="F230" s="65" t="s">
        <v>163</v>
      </c>
      <c r="G230" s="63" t="s">
        <v>2048</v>
      </c>
      <c r="H230" s="63">
        <v>237</v>
      </c>
      <c r="I230" s="65" t="s">
        <v>165</v>
      </c>
      <c r="J230" s="63">
        <v>4454</v>
      </c>
      <c r="K230" s="64">
        <v>3377.91</v>
      </c>
      <c r="L230" s="63" t="s">
        <v>2120</v>
      </c>
      <c r="M230" s="65" t="str">
        <f t="shared" si="3"/>
        <v>BRASIL MINERACAOOLINDA NOVAPÓ DE BRITA</v>
      </c>
      <c r="N230" s="85" t="s">
        <v>191</v>
      </c>
    </row>
    <row r="231" spans="2:14" hidden="1" x14ac:dyDescent="0.25">
      <c r="B231" s="91">
        <v>46093</v>
      </c>
      <c r="C231" s="63">
        <v>1</v>
      </c>
      <c r="D231" s="63" t="s">
        <v>170</v>
      </c>
      <c r="E231" s="65" t="s">
        <v>171</v>
      </c>
      <c r="F231" s="65" t="s">
        <v>166</v>
      </c>
      <c r="G231" s="63" t="s">
        <v>824</v>
      </c>
      <c r="H231" s="63">
        <v>78</v>
      </c>
      <c r="I231" s="65" t="s">
        <v>169</v>
      </c>
      <c r="J231" s="63">
        <v>2542</v>
      </c>
      <c r="K231" s="64">
        <v>733.62</v>
      </c>
      <c r="L231" s="63" t="s">
        <v>2121</v>
      </c>
      <c r="M231" s="65" t="str">
        <f t="shared" si="3"/>
        <v>GRANORTECRUZAMENTO MA 201/202 (METROPOLITANA)PULMÃOZINHO</v>
      </c>
      <c r="N231" s="85" t="s">
        <v>108</v>
      </c>
    </row>
    <row r="232" spans="2:14" hidden="1" x14ac:dyDescent="0.25">
      <c r="B232" s="91">
        <v>46093</v>
      </c>
      <c r="C232" s="63">
        <v>1</v>
      </c>
      <c r="D232" s="63" t="s">
        <v>196</v>
      </c>
      <c r="E232" s="65" t="s">
        <v>197</v>
      </c>
      <c r="F232" s="65" t="s">
        <v>190</v>
      </c>
      <c r="G232" s="63" t="s">
        <v>191</v>
      </c>
      <c r="H232" s="63">
        <v>217</v>
      </c>
      <c r="I232" s="65" t="s">
        <v>165</v>
      </c>
      <c r="J232" s="63">
        <v>6368</v>
      </c>
      <c r="K232" s="64">
        <v>5112.87</v>
      </c>
      <c r="L232" s="63" t="s">
        <v>2122</v>
      </c>
      <c r="M232" s="65" t="str">
        <f t="shared" si="3"/>
        <v>SERVENGOLINDA NOVA - MAPÓ DE BRITA</v>
      </c>
      <c r="N232" s="85" t="s">
        <v>191</v>
      </c>
    </row>
    <row r="233" spans="2:14" x14ac:dyDescent="0.25">
      <c r="B233" s="91">
        <v>46093</v>
      </c>
      <c r="C233" s="63">
        <v>1</v>
      </c>
      <c r="D233" s="63" t="s">
        <v>162</v>
      </c>
      <c r="E233" s="65" t="s">
        <v>281</v>
      </c>
      <c r="F233" s="65" t="s">
        <v>166</v>
      </c>
      <c r="G233" s="63" t="s">
        <v>2123</v>
      </c>
      <c r="H233" s="63">
        <v>60</v>
      </c>
      <c r="I233" s="65" t="s">
        <v>169</v>
      </c>
      <c r="J233" s="63">
        <v>2636</v>
      </c>
      <c r="K233" s="64">
        <v>585.19000000000005</v>
      </c>
      <c r="L233" s="63" t="s">
        <v>2124</v>
      </c>
      <c r="M233" s="65" t="str">
        <f t="shared" si="3"/>
        <v>GRANORTEVIADUTO DO CAFEPULMÃOZINHO</v>
      </c>
      <c r="N233" s="85" t="s">
        <v>2854</v>
      </c>
    </row>
    <row r="234" spans="2:14" hidden="1" x14ac:dyDescent="0.25">
      <c r="B234" s="91">
        <v>46093</v>
      </c>
      <c r="C234" s="63">
        <v>1</v>
      </c>
      <c r="D234" s="63" t="s">
        <v>192</v>
      </c>
      <c r="E234" s="65" t="s">
        <v>287</v>
      </c>
      <c r="F234" s="65" t="s">
        <v>166</v>
      </c>
      <c r="G234" s="63" t="s">
        <v>164</v>
      </c>
      <c r="H234" s="63">
        <v>58</v>
      </c>
      <c r="I234" s="65" t="s">
        <v>175</v>
      </c>
      <c r="J234" s="63">
        <v>278</v>
      </c>
      <c r="K234" s="64">
        <v>596.59</v>
      </c>
      <c r="L234" s="63" t="s">
        <v>2125</v>
      </c>
      <c r="M234" s="65" t="str">
        <f t="shared" si="3"/>
        <v>GRANORTEUA SAO LUISBRITA 0</v>
      </c>
      <c r="N234" s="85" t="s">
        <v>224</v>
      </c>
    </row>
    <row r="235" spans="2:14" hidden="1" x14ac:dyDescent="0.25">
      <c r="B235" s="91">
        <v>46093</v>
      </c>
      <c r="C235" s="63">
        <v>1</v>
      </c>
      <c r="D235" s="63" t="s">
        <v>192</v>
      </c>
      <c r="E235" s="65" t="s">
        <v>287</v>
      </c>
      <c r="F235" s="65" t="s">
        <v>166</v>
      </c>
      <c r="G235" s="63" t="s">
        <v>164</v>
      </c>
      <c r="H235" s="63">
        <v>58</v>
      </c>
      <c r="I235" s="65" t="s">
        <v>175</v>
      </c>
      <c r="J235" s="63">
        <v>2504</v>
      </c>
      <c r="K235" s="64">
        <v>537.36</v>
      </c>
      <c r="L235" s="63" t="s">
        <v>2126</v>
      </c>
      <c r="M235" s="65" t="str">
        <f t="shared" si="3"/>
        <v>GRANORTEUA SAO LUISBRITA 0</v>
      </c>
      <c r="N235" s="85" t="s">
        <v>224</v>
      </c>
    </row>
    <row r="236" spans="2:14" hidden="1" x14ac:dyDescent="0.25">
      <c r="B236" s="91">
        <v>46093</v>
      </c>
      <c r="C236" s="63">
        <v>1</v>
      </c>
      <c r="D236" s="63" t="s">
        <v>170</v>
      </c>
      <c r="E236" s="65" t="s">
        <v>171</v>
      </c>
      <c r="F236" s="65" t="s">
        <v>166</v>
      </c>
      <c r="G236" s="63" t="s">
        <v>824</v>
      </c>
      <c r="H236" s="63">
        <v>78</v>
      </c>
      <c r="I236" s="65" t="s">
        <v>169</v>
      </c>
      <c r="J236" s="63">
        <v>2552</v>
      </c>
      <c r="K236" s="64">
        <v>736.51</v>
      </c>
      <c r="L236" s="63" t="s">
        <v>2127</v>
      </c>
      <c r="M236" s="65" t="str">
        <f t="shared" si="3"/>
        <v>GRANORTECRUZAMENTO MA 201/202 (METROPOLITANA)PULMÃOZINHO</v>
      </c>
      <c r="N236" s="85" t="s">
        <v>108</v>
      </c>
    </row>
    <row r="237" spans="2:14" hidden="1" x14ac:dyDescent="0.25">
      <c r="B237" s="91">
        <v>46093</v>
      </c>
      <c r="C237" s="63">
        <v>1</v>
      </c>
      <c r="D237" s="63" t="s">
        <v>208</v>
      </c>
      <c r="E237" s="65" t="s">
        <v>209</v>
      </c>
      <c r="F237" s="65" t="s">
        <v>190</v>
      </c>
      <c r="G237" s="63" t="s">
        <v>191</v>
      </c>
      <c r="H237" s="63">
        <v>217</v>
      </c>
      <c r="I237" s="65" t="s">
        <v>165</v>
      </c>
      <c r="J237" s="63">
        <v>550</v>
      </c>
      <c r="K237" s="64">
        <v>4415.95</v>
      </c>
      <c r="L237" s="63" t="s">
        <v>2128</v>
      </c>
      <c r="M237" s="65" t="str">
        <f t="shared" si="3"/>
        <v>SERVENGOLINDA NOVA - MAPÓ DE BRITA</v>
      </c>
      <c r="N237" s="85" t="s">
        <v>191</v>
      </c>
    </row>
    <row r="238" spans="2:14" hidden="1" x14ac:dyDescent="0.25">
      <c r="B238" s="91">
        <v>46093</v>
      </c>
      <c r="C238" s="63">
        <v>1</v>
      </c>
      <c r="D238" s="63" t="s">
        <v>203</v>
      </c>
      <c r="E238" s="65" t="s">
        <v>204</v>
      </c>
      <c r="F238" s="65" t="s">
        <v>163</v>
      </c>
      <c r="G238" s="63" t="s">
        <v>191</v>
      </c>
      <c r="H238" s="63">
        <v>243</v>
      </c>
      <c r="I238" s="65" t="s">
        <v>165</v>
      </c>
      <c r="J238" s="63">
        <v>4814</v>
      </c>
      <c r="K238" s="64">
        <v>4328.2700000000004</v>
      </c>
      <c r="L238" s="63" t="s">
        <v>2129</v>
      </c>
      <c r="M238" s="65" t="str">
        <f t="shared" si="3"/>
        <v>BRASIL MINERACAOOLINDA NOVA - MAPÓ DE BRITA</v>
      </c>
      <c r="N238" s="85" t="s">
        <v>191</v>
      </c>
    </row>
    <row r="239" spans="2:14" x14ac:dyDescent="0.25">
      <c r="B239" s="91">
        <v>46093</v>
      </c>
      <c r="C239" s="63">
        <v>1</v>
      </c>
      <c r="D239" s="63" t="s">
        <v>162</v>
      </c>
      <c r="E239" s="65" t="s">
        <v>281</v>
      </c>
      <c r="F239" s="65" t="s">
        <v>166</v>
      </c>
      <c r="G239" s="63" t="s">
        <v>2123</v>
      </c>
      <c r="H239" s="63">
        <v>60</v>
      </c>
      <c r="I239" s="65" t="s">
        <v>169</v>
      </c>
      <c r="J239" s="63">
        <v>258</v>
      </c>
      <c r="K239" s="64">
        <v>572.76</v>
      </c>
      <c r="L239" s="63" t="s">
        <v>2130</v>
      </c>
      <c r="M239" s="65" t="str">
        <f t="shared" si="3"/>
        <v>GRANORTEVIADUTO DO CAFEPULMÃOZINHO</v>
      </c>
      <c r="N239" s="85" t="s">
        <v>2854</v>
      </c>
    </row>
    <row r="240" spans="2:14" hidden="1" x14ac:dyDescent="0.25">
      <c r="B240" s="91">
        <v>46093</v>
      </c>
      <c r="C240" s="63">
        <v>1</v>
      </c>
      <c r="D240" s="63" t="s">
        <v>181</v>
      </c>
      <c r="E240" s="65" t="s">
        <v>182</v>
      </c>
      <c r="F240" s="65" t="s">
        <v>166</v>
      </c>
      <c r="G240" s="63" t="s">
        <v>824</v>
      </c>
      <c r="H240" s="63">
        <v>78</v>
      </c>
      <c r="I240" s="65" t="s">
        <v>169</v>
      </c>
      <c r="J240" s="63">
        <v>2548</v>
      </c>
      <c r="K240" s="64">
        <v>735.35</v>
      </c>
      <c r="L240" s="63" t="s">
        <v>2131</v>
      </c>
      <c r="M240" s="65" t="str">
        <f t="shared" si="3"/>
        <v>GRANORTECRUZAMENTO MA 201/202 (METROPOLITANA)PULMÃOZINHO</v>
      </c>
      <c r="N240" s="85" t="s">
        <v>108</v>
      </c>
    </row>
    <row r="241" spans="2:14" hidden="1" x14ac:dyDescent="0.25">
      <c r="B241" s="91">
        <v>46093</v>
      </c>
      <c r="C241" s="63">
        <v>1</v>
      </c>
      <c r="D241" s="63" t="s">
        <v>202</v>
      </c>
      <c r="E241" s="65" t="s">
        <v>214</v>
      </c>
      <c r="F241" s="65" t="s">
        <v>163</v>
      </c>
      <c r="G241" s="63" t="s">
        <v>191</v>
      </c>
      <c r="H241" s="63">
        <v>243</v>
      </c>
      <c r="I241" s="65" t="s">
        <v>165</v>
      </c>
      <c r="J241" s="63">
        <v>5968</v>
      </c>
      <c r="K241" s="64">
        <v>5365.83</v>
      </c>
      <c r="L241" s="63" t="s">
        <v>2132</v>
      </c>
      <c r="M241" s="65" t="str">
        <f t="shared" si="3"/>
        <v>BRASIL MINERACAOOLINDA NOVA - MAPÓ DE BRITA</v>
      </c>
      <c r="N241" s="85" t="s">
        <v>191</v>
      </c>
    </row>
    <row r="242" spans="2:14" hidden="1" x14ac:dyDescent="0.25">
      <c r="B242" s="91">
        <v>46093</v>
      </c>
      <c r="C242" s="63">
        <v>1</v>
      </c>
      <c r="D242" s="63" t="s">
        <v>213</v>
      </c>
      <c r="E242" s="65" t="s">
        <v>178</v>
      </c>
      <c r="F242" s="65" t="s">
        <v>163</v>
      </c>
      <c r="G242" s="63" t="s">
        <v>191</v>
      </c>
      <c r="H242" s="63">
        <v>243</v>
      </c>
      <c r="I242" s="65" t="s">
        <v>165</v>
      </c>
      <c r="J242" s="63">
        <v>4892</v>
      </c>
      <c r="K242" s="64">
        <v>4398.3999999999996</v>
      </c>
      <c r="L242" s="63" t="s">
        <v>2133</v>
      </c>
      <c r="M242" s="65" t="str">
        <f t="shared" si="3"/>
        <v>BRASIL MINERACAOOLINDA NOVA - MAPÓ DE BRITA</v>
      </c>
      <c r="N242" s="85" t="s">
        <v>191</v>
      </c>
    </row>
    <row r="243" spans="2:14" hidden="1" x14ac:dyDescent="0.25">
      <c r="B243" s="91">
        <v>46093</v>
      </c>
      <c r="C243" s="63">
        <v>1</v>
      </c>
      <c r="D243" s="63" t="s">
        <v>167</v>
      </c>
      <c r="E243" s="65" t="s">
        <v>168</v>
      </c>
      <c r="F243" s="65" t="s">
        <v>166</v>
      </c>
      <c r="G243" s="63" t="s">
        <v>824</v>
      </c>
      <c r="H243" s="63">
        <v>78</v>
      </c>
      <c r="I243" s="65" t="s">
        <v>169</v>
      </c>
      <c r="J243" s="63">
        <v>2718</v>
      </c>
      <c r="K243" s="64">
        <v>784.41</v>
      </c>
      <c r="L243" s="63" t="s">
        <v>2134</v>
      </c>
      <c r="M243" s="65" t="str">
        <f t="shared" si="3"/>
        <v>GRANORTECRUZAMENTO MA 201/202 (METROPOLITANA)PULMÃOZINHO</v>
      </c>
      <c r="N243" s="85" t="s">
        <v>108</v>
      </c>
    </row>
    <row r="244" spans="2:14" hidden="1" x14ac:dyDescent="0.25">
      <c r="B244" s="91">
        <v>46093</v>
      </c>
      <c r="C244" s="63">
        <v>1</v>
      </c>
      <c r="D244" s="63" t="s">
        <v>283</v>
      </c>
      <c r="E244" s="65" t="s">
        <v>215</v>
      </c>
      <c r="F244" s="65" t="s">
        <v>166</v>
      </c>
      <c r="G244" s="63" t="s">
        <v>164</v>
      </c>
      <c r="H244" s="63">
        <v>58</v>
      </c>
      <c r="I244" s="65" t="s">
        <v>175</v>
      </c>
      <c r="J244" s="63">
        <v>2638</v>
      </c>
      <c r="K244" s="64">
        <v>566.11</v>
      </c>
      <c r="L244" s="63" t="s">
        <v>2135</v>
      </c>
      <c r="M244" s="65" t="str">
        <f t="shared" si="3"/>
        <v>GRANORTEUA SAO LUISBRITA 0</v>
      </c>
      <c r="N244" s="85" t="s">
        <v>224</v>
      </c>
    </row>
    <row r="245" spans="2:14" hidden="1" x14ac:dyDescent="0.25">
      <c r="B245" s="91">
        <v>46093</v>
      </c>
      <c r="C245" s="63">
        <v>1</v>
      </c>
      <c r="D245" s="63" t="s">
        <v>283</v>
      </c>
      <c r="E245" s="65" t="s">
        <v>215</v>
      </c>
      <c r="F245" s="65" t="s">
        <v>166</v>
      </c>
      <c r="G245" s="63" t="s">
        <v>164</v>
      </c>
      <c r="H245" s="63">
        <v>58</v>
      </c>
      <c r="I245" s="65" t="s">
        <v>175</v>
      </c>
      <c r="J245" s="63">
        <v>2588</v>
      </c>
      <c r="K245" s="64">
        <v>555.38</v>
      </c>
      <c r="L245" s="63" t="s">
        <v>2136</v>
      </c>
      <c r="M245" s="65" t="str">
        <f t="shared" si="3"/>
        <v>GRANORTEUA SAO LUISBRITA 0</v>
      </c>
      <c r="N245" s="85" t="s">
        <v>224</v>
      </c>
    </row>
    <row r="246" spans="2:14" hidden="1" x14ac:dyDescent="0.25">
      <c r="B246" s="91">
        <v>46093</v>
      </c>
      <c r="C246" s="63">
        <v>1</v>
      </c>
      <c r="D246" s="63" t="s">
        <v>283</v>
      </c>
      <c r="E246" s="65" t="s">
        <v>215</v>
      </c>
      <c r="F246" s="65" t="s">
        <v>166</v>
      </c>
      <c r="G246" s="63" t="s">
        <v>164</v>
      </c>
      <c r="H246" s="63">
        <v>58</v>
      </c>
      <c r="I246" s="65" t="s">
        <v>175</v>
      </c>
      <c r="J246" s="63">
        <v>2614</v>
      </c>
      <c r="K246" s="64">
        <v>560.96</v>
      </c>
      <c r="L246" s="63" t="s">
        <v>2137</v>
      </c>
      <c r="M246" s="65" t="str">
        <f t="shared" si="3"/>
        <v>GRANORTEUA SAO LUISBRITA 0</v>
      </c>
      <c r="N246" s="85" t="s">
        <v>224</v>
      </c>
    </row>
    <row r="247" spans="2:14" hidden="1" x14ac:dyDescent="0.25">
      <c r="B247" s="91">
        <v>46093</v>
      </c>
      <c r="C247" s="63">
        <v>1</v>
      </c>
      <c r="D247" s="63" t="s">
        <v>286</v>
      </c>
      <c r="E247" s="65" t="s">
        <v>506</v>
      </c>
      <c r="F247" s="65" t="s">
        <v>163</v>
      </c>
      <c r="G247" s="63" t="s">
        <v>111</v>
      </c>
      <c r="H247" s="63">
        <v>75</v>
      </c>
      <c r="I247" s="65" t="s">
        <v>185</v>
      </c>
      <c r="J247" s="63">
        <v>2598</v>
      </c>
      <c r="K247" s="64">
        <v>720.95</v>
      </c>
      <c r="L247" s="63" t="s">
        <v>2138</v>
      </c>
      <c r="M247" s="65" t="str">
        <f t="shared" si="3"/>
        <v>BRASIL MINERACAOBEIRA RIORACHÃOZINHO</v>
      </c>
      <c r="N247" s="85" t="s">
        <v>111</v>
      </c>
    </row>
    <row r="248" spans="2:14" hidden="1" x14ac:dyDescent="0.25">
      <c r="B248" s="91">
        <v>46093</v>
      </c>
      <c r="C248" s="63">
        <v>1</v>
      </c>
      <c r="D248" s="63" t="s">
        <v>286</v>
      </c>
      <c r="E248" s="65" t="s">
        <v>506</v>
      </c>
      <c r="F248" s="65" t="s">
        <v>166</v>
      </c>
      <c r="G248" s="63" t="s">
        <v>111</v>
      </c>
      <c r="H248" s="63">
        <v>79</v>
      </c>
      <c r="I248" s="65" t="s">
        <v>169</v>
      </c>
      <c r="J248" s="63">
        <v>2616</v>
      </c>
      <c r="K248" s="64">
        <v>764.66</v>
      </c>
      <c r="L248" s="63" t="s">
        <v>2139</v>
      </c>
      <c r="M248" s="65" t="str">
        <f t="shared" si="3"/>
        <v>GRANORTEBEIRA RIOPULMÃOZINHO</v>
      </c>
      <c r="N248" s="85" t="s">
        <v>111</v>
      </c>
    </row>
    <row r="249" spans="2:14" hidden="1" x14ac:dyDescent="0.25">
      <c r="B249" s="91">
        <v>46093</v>
      </c>
      <c r="C249" s="63">
        <v>1</v>
      </c>
      <c r="D249" s="63" t="s">
        <v>183</v>
      </c>
      <c r="E249" s="65" t="s">
        <v>184</v>
      </c>
      <c r="F249" s="65" t="s">
        <v>166</v>
      </c>
      <c r="G249" s="63" t="s">
        <v>111</v>
      </c>
      <c r="H249" s="63">
        <v>79</v>
      </c>
      <c r="I249" s="65" t="s">
        <v>169</v>
      </c>
      <c r="J249" s="63">
        <v>2424</v>
      </c>
      <c r="K249" s="64">
        <v>708.54</v>
      </c>
      <c r="L249" s="63" t="s">
        <v>2140</v>
      </c>
      <c r="M249" s="65" t="str">
        <f t="shared" si="3"/>
        <v>GRANORTEBEIRA RIOPULMÃOZINHO</v>
      </c>
      <c r="N249" s="85" t="s">
        <v>111</v>
      </c>
    </row>
    <row r="250" spans="2:14" hidden="1" x14ac:dyDescent="0.25">
      <c r="B250" s="91">
        <v>46093</v>
      </c>
      <c r="C250" s="63">
        <v>1</v>
      </c>
      <c r="D250" s="63" t="s">
        <v>183</v>
      </c>
      <c r="E250" s="65" t="s">
        <v>184</v>
      </c>
      <c r="F250" s="65" t="s">
        <v>166</v>
      </c>
      <c r="G250" s="63" t="s">
        <v>111</v>
      </c>
      <c r="H250" s="63">
        <v>79</v>
      </c>
      <c r="I250" s="65" t="s">
        <v>185</v>
      </c>
      <c r="J250" s="63">
        <v>2564</v>
      </c>
      <c r="K250" s="64">
        <v>749.46</v>
      </c>
      <c r="L250" s="63" t="s">
        <v>2141</v>
      </c>
      <c r="M250" s="65" t="str">
        <f t="shared" si="3"/>
        <v>GRANORTEBEIRA RIORACHÃOZINHO</v>
      </c>
      <c r="N250" s="85" t="s">
        <v>111</v>
      </c>
    </row>
    <row r="251" spans="2:14" hidden="1" x14ac:dyDescent="0.25">
      <c r="B251" s="91">
        <v>46093</v>
      </c>
      <c r="C251" s="63">
        <v>1</v>
      </c>
      <c r="D251" s="63" t="s">
        <v>210</v>
      </c>
      <c r="E251" s="65" t="s">
        <v>211</v>
      </c>
      <c r="F251" s="65" t="s">
        <v>190</v>
      </c>
      <c r="G251" s="63" t="s">
        <v>191</v>
      </c>
      <c r="H251" s="63">
        <v>217</v>
      </c>
      <c r="I251" s="65" t="s">
        <v>165</v>
      </c>
      <c r="J251" s="63">
        <v>4646</v>
      </c>
      <c r="K251" s="64">
        <v>3730.27</v>
      </c>
      <c r="L251" s="63" t="s">
        <v>2142</v>
      </c>
      <c r="M251" s="65" t="str">
        <f t="shared" si="3"/>
        <v>SERVENGOLINDA NOVA - MAPÓ DE BRITA</v>
      </c>
      <c r="N251" s="85" t="s">
        <v>191</v>
      </c>
    </row>
    <row r="252" spans="2:14" hidden="1" x14ac:dyDescent="0.25">
      <c r="B252" s="91">
        <v>46093</v>
      </c>
      <c r="C252" s="63">
        <v>1</v>
      </c>
      <c r="D252" s="63" t="s">
        <v>289</v>
      </c>
      <c r="E252" s="65" t="s">
        <v>290</v>
      </c>
      <c r="F252" s="65" t="s">
        <v>276</v>
      </c>
      <c r="G252" s="63" t="s">
        <v>2143</v>
      </c>
      <c r="H252" s="63">
        <v>281</v>
      </c>
      <c r="I252" s="65" t="s">
        <v>207</v>
      </c>
      <c r="J252" s="63">
        <v>3532</v>
      </c>
      <c r="K252" s="64">
        <v>3175.97</v>
      </c>
      <c r="L252" s="63" t="s">
        <v>2144</v>
      </c>
      <c r="M252" s="65" t="str">
        <f t="shared" si="3"/>
        <v>MINERADORA PORTO FRANCOSAO PEDRO DA AGUA BRANCARACHÃO</v>
      </c>
      <c r="N252" s="85" t="s">
        <v>15</v>
      </c>
    </row>
    <row r="253" spans="2:14" hidden="1" x14ac:dyDescent="0.25">
      <c r="B253" s="91">
        <v>46093</v>
      </c>
      <c r="C253" s="63">
        <v>1</v>
      </c>
      <c r="D253" s="63" t="s">
        <v>186</v>
      </c>
      <c r="E253" s="65" t="s">
        <v>187</v>
      </c>
      <c r="F253" s="65" t="s">
        <v>190</v>
      </c>
      <c r="G253" s="63" t="s">
        <v>191</v>
      </c>
      <c r="H253" s="63">
        <v>217</v>
      </c>
      <c r="I253" s="65" t="s">
        <v>165</v>
      </c>
      <c r="J253" s="63">
        <v>468</v>
      </c>
      <c r="K253" s="64">
        <v>3757.57</v>
      </c>
      <c r="L253" s="63" t="s">
        <v>2145</v>
      </c>
      <c r="M253" s="65" t="str">
        <f t="shared" si="3"/>
        <v>SERVENGOLINDA NOVA - MAPÓ DE BRITA</v>
      </c>
      <c r="N253" s="85" t="s">
        <v>191</v>
      </c>
    </row>
    <row r="254" spans="2:14" hidden="1" x14ac:dyDescent="0.25">
      <c r="B254" s="91">
        <v>46093</v>
      </c>
      <c r="C254" s="63">
        <v>1</v>
      </c>
      <c r="D254" s="63" t="s">
        <v>188</v>
      </c>
      <c r="E254" s="65" t="s">
        <v>189</v>
      </c>
      <c r="F254" s="65" t="s">
        <v>163</v>
      </c>
      <c r="G254" s="63" t="s">
        <v>2048</v>
      </c>
      <c r="H254" s="63">
        <v>237</v>
      </c>
      <c r="I254" s="65" t="s">
        <v>165</v>
      </c>
      <c r="J254" s="63">
        <v>6326</v>
      </c>
      <c r="K254" s="64">
        <v>4797.6400000000003</v>
      </c>
      <c r="L254" s="63" t="s">
        <v>2146</v>
      </c>
      <c r="M254" s="65" t="str">
        <f t="shared" si="3"/>
        <v>BRASIL MINERACAOOLINDA NOVAPÓ DE BRITA</v>
      </c>
      <c r="N254" s="85" t="s">
        <v>191</v>
      </c>
    </row>
    <row r="255" spans="2:14" hidden="1" x14ac:dyDescent="0.25">
      <c r="B255" s="91">
        <v>46093</v>
      </c>
      <c r="C255" s="63">
        <v>1</v>
      </c>
      <c r="D255" s="63" t="s">
        <v>181</v>
      </c>
      <c r="E255" s="65" t="s">
        <v>182</v>
      </c>
      <c r="F255" s="65" t="s">
        <v>166</v>
      </c>
      <c r="G255" s="63" t="s">
        <v>824</v>
      </c>
      <c r="H255" s="63">
        <v>78</v>
      </c>
      <c r="I255" s="65" t="s">
        <v>169</v>
      </c>
      <c r="J255" s="63">
        <v>2556</v>
      </c>
      <c r="K255" s="64">
        <v>737.66</v>
      </c>
      <c r="L255" s="63" t="s">
        <v>2147</v>
      </c>
      <c r="M255" s="65" t="str">
        <f t="shared" si="3"/>
        <v>GRANORTECRUZAMENTO MA 201/202 (METROPOLITANA)PULMÃOZINHO</v>
      </c>
      <c r="N255" s="85" t="s">
        <v>108</v>
      </c>
    </row>
    <row r="256" spans="2:14" hidden="1" x14ac:dyDescent="0.25">
      <c r="B256" s="91">
        <v>46093</v>
      </c>
      <c r="C256" s="63">
        <v>1</v>
      </c>
      <c r="D256" s="63" t="s">
        <v>1948</v>
      </c>
      <c r="E256" s="65" t="s">
        <v>1949</v>
      </c>
      <c r="F256" s="65" t="s">
        <v>163</v>
      </c>
      <c r="G256" s="63" t="s">
        <v>191</v>
      </c>
      <c r="H256" s="63">
        <v>243</v>
      </c>
      <c r="I256" s="65" t="s">
        <v>165</v>
      </c>
      <c r="J256" s="63">
        <v>471</v>
      </c>
      <c r="K256" s="64">
        <v>4234.76</v>
      </c>
      <c r="L256" s="63" t="s">
        <v>2148</v>
      </c>
      <c r="M256" s="65" t="str">
        <f t="shared" si="3"/>
        <v>BRASIL MINERACAOOLINDA NOVA - MAPÓ DE BRITA</v>
      </c>
      <c r="N256" s="85" t="s">
        <v>191</v>
      </c>
    </row>
    <row r="257" spans="2:14" hidden="1" x14ac:dyDescent="0.25">
      <c r="B257" s="91">
        <v>46093</v>
      </c>
      <c r="C257" s="63">
        <v>1</v>
      </c>
      <c r="D257" s="63" t="s">
        <v>192</v>
      </c>
      <c r="E257" s="65" t="s">
        <v>287</v>
      </c>
      <c r="F257" s="65" t="s">
        <v>166</v>
      </c>
      <c r="G257" s="63" t="s">
        <v>164</v>
      </c>
      <c r="H257" s="63">
        <v>58</v>
      </c>
      <c r="I257" s="65" t="s">
        <v>175</v>
      </c>
      <c r="J257" s="63">
        <v>312</v>
      </c>
      <c r="K257" s="64">
        <v>669.55</v>
      </c>
      <c r="L257" s="63" t="s">
        <v>2149</v>
      </c>
      <c r="M257" s="65" t="str">
        <f t="shared" si="3"/>
        <v>GRANORTEUA SAO LUISBRITA 0</v>
      </c>
      <c r="N257" s="85" t="s">
        <v>224</v>
      </c>
    </row>
    <row r="258" spans="2:14" hidden="1" x14ac:dyDescent="0.25">
      <c r="B258" s="91">
        <v>46093</v>
      </c>
      <c r="C258" s="63">
        <v>1</v>
      </c>
      <c r="D258" s="63" t="s">
        <v>200</v>
      </c>
      <c r="E258" s="65" t="s">
        <v>201</v>
      </c>
      <c r="F258" s="65" t="s">
        <v>163</v>
      </c>
      <c r="G258" s="63" t="s">
        <v>2048</v>
      </c>
      <c r="H258" s="63">
        <v>237</v>
      </c>
      <c r="I258" s="65" t="s">
        <v>165</v>
      </c>
      <c r="J258" s="63">
        <v>4832</v>
      </c>
      <c r="K258" s="64">
        <v>3664.59</v>
      </c>
      <c r="L258" s="63" t="s">
        <v>2150</v>
      </c>
      <c r="M258" s="65" t="str">
        <f t="shared" si="3"/>
        <v>BRASIL MINERACAOOLINDA NOVAPÓ DE BRITA</v>
      </c>
      <c r="N258" s="85" t="s">
        <v>191</v>
      </c>
    </row>
    <row r="259" spans="2:14" hidden="1" x14ac:dyDescent="0.25">
      <c r="B259" s="91">
        <v>46093</v>
      </c>
      <c r="C259" s="63">
        <v>1</v>
      </c>
      <c r="D259" s="63" t="s">
        <v>270</v>
      </c>
      <c r="E259" s="65" t="s">
        <v>288</v>
      </c>
      <c r="F259" s="65" t="s">
        <v>190</v>
      </c>
      <c r="G259" s="63" t="s">
        <v>191</v>
      </c>
      <c r="H259" s="63">
        <v>217</v>
      </c>
      <c r="I259" s="65" t="s">
        <v>165</v>
      </c>
      <c r="J259" s="63">
        <v>551</v>
      </c>
      <c r="K259" s="64">
        <v>4423.9799999999996</v>
      </c>
      <c r="L259" s="63" t="s">
        <v>2151</v>
      </c>
      <c r="M259" s="65" t="str">
        <f t="shared" si="3"/>
        <v>SERVENGOLINDA NOVA - MAPÓ DE BRITA</v>
      </c>
      <c r="N259" s="85" t="s">
        <v>191</v>
      </c>
    </row>
    <row r="260" spans="2:14" hidden="1" x14ac:dyDescent="0.25">
      <c r="B260" s="91">
        <v>46093</v>
      </c>
      <c r="C260" s="63">
        <v>1</v>
      </c>
      <c r="D260" s="63" t="s">
        <v>193</v>
      </c>
      <c r="E260" s="65" t="s">
        <v>285</v>
      </c>
      <c r="F260" s="65" t="s">
        <v>166</v>
      </c>
      <c r="G260" s="63" t="s">
        <v>111</v>
      </c>
      <c r="H260" s="63">
        <v>79</v>
      </c>
      <c r="I260" s="65" t="s">
        <v>169</v>
      </c>
      <c r="J260" s="63">
        <v>2574</v>
      </c>
      <c r="K260" s="64">
        <v>752.38</v>
      </c>
      <c r="L260" s="63" t="s">
        <v>2152</v>
      </c>
      <c r="M260" s="65" t="str">
        <f t="shared" si="3"/>
        <v>GRANORTEBEIRA RIOPULMÃOZINHO</v>
      </c>
      <c r="N260" s="85" t="s">
        <v>111</v>
      </c>
    </row>
    <row r="261" spans="2:14" hidden="1" x14ac:dyDescent="0.25">
      <c r="B261" s="91">
        <v>46093</v>
      </c>
      <c r="C261" s="63">
        <v>1</v>
      </c>
      <c r="D261" s="63" t="s">
        <v>275</v>
      </c>
      <c r="E261" s="65" t="s">
        <v>217</v>
      </c>
      <c r="F261" s="65" t="s">
        <v>163</v>
      </c>
      <c r="G261" s="63" t="s">
        <v>2048</v>
      </c>
      <c r="H261" s="63">
        <v>237</v>
      </c>
      <c r="I261" s="65" t="s">
        <v>165</v>
      </c>
      <c r="J261" s="63">
        <v>4632</v>
      </c>
      <c r="K261" s="64">
        <v>3512.91</v>
      </c>
      <c r="L261" s="63" t="s">
        <v>2153</v>
      </c>
      <c r="M261" s="65" t="str">
        <f t="shared" ref="M261:M324" si="4">_xlfn.CONCAT(F261&amp;G261&amp;I261)</f>
        <v>BRASIL MINERACAOOLINDA NOVAPÓ DE BRITA</v>
      </c>
      <c r="N261" s="85" t="s">
        <v>191</v>
      </c>
    </row>
    <row r="262" spans="2:14" hidden="1" x14ac:dyDescent="0.25">
      <c r="B262" s="91">
        <v>46093</v>
      </c>
      <c r="C262" s="63">
        <v>1</v>
      </c>
      <c r="D262" s="63" t="s">
        <v>286</v>
      </c>
      <c r="E262" s="65" t="s">
        <v>343</v>
      </c>
      <c r="F262" s="65" t="s">
        <v>190</v>
      </c>
      <c r="G262" s="63" t="s">
        <v>198</v>
      </c>
      <c r="H262" s="63">
        <v>70</v>
      </c>
      <c r="I262" s="65" t="s">
        <v>165</v>
      </c>
      <c r="J262" s="63">
        <v>4702</v>
      </c>
      <c r="K262" s="64">
        <v>1217.82</v>
      </c>
      <c r="L262" s="63" t="s">
        <v>2154</v>
      </c>
      <c r="M262" s="65" t="str">
        <f t="shared" si="4"/>
        <v>SERVENGUSINA SAO LUISPÓ DE BRITA</v>
      </c>
      <c r="N262" s="85" t="s">
        <v>224</v>
      </c>
    </row>
    <row r="263" spans="2:14" hidden="1" x14ac:dyDescent="0.25">
      <c r="B263" s="91">
        <v>46094</v>
      </c>
      <c r="C263" s="63">
        <v>1</v>
      </c>
      <c r="D263" s="63" t="s">
        <v>170</v>
      </c>
      <c r="E263" s="65" t="s">
        <v>171</v>
      </c>
      <c r="F263" s="65" t="s">
        <v>166</v>
      </c>
      <c r="G263" s="63" t="s">
        <v>824</v>
      </c>
      <c r="H263" s="63">
        <v>78</v>
      </c>
      <c r="I263" s="65" t="s">
        <v>169</v>
      </c>
      <c r="J263" s="63">
        <v>2494</v>
      </c>
      <c r="K263" s="64">
        <v>719.77</v>
      </c>
      <c r="L263" s="63" t="s">
        <v>2155</v>
      </c>
      <c r="M263" s="65" t="str">
        <f t="shared" si="4"/>
        <v>GRANORTECRUZAMENTO MA 201/202 (METROPOLITANA)PULMÃOZINHO</v>
      </c>
      <c r="N263" s="85" t="s">
        <v>108</v>
      </c>
    </row>
    <row r="264" spans="2:14" hidden="1" x14ac:dyDescent="0.25">
      <c r="B264" s="91">
        <v>46094</v>
      </c>
      <c r="C264" s="63">
        <v>1</v>
      </c>
      <c r="D264" s="63" t="s">
        <v>219</v>
      </c>
      <c r="E264" s="65" t="s">
        <v>220</v>
      </c>
      <c r="F264" s="65" t="s">
        <v>163</v>
      </c>
      <c r="G264" s="63" t="s">
        <v>164</v>
      </c>
      <c r="H264" s="63">
        <v>52</v>
      </c>
      <c r="I264" s="65" t="s">
        <v>195</v>
      </c>
      <c r="J264" s="63">
        <v>891</v>
      </c>
      <c r="K264" s="64">
        <v>1714.28</v>
      </c>
      <c r="L264" s="63" t="s">
        <v>2156</v>
      </c>
      <c r="M264" s="65" t="str">
        <f t="shared" si="4"/>
        <v>BRASIL MINERACAOUA SAO LUISBRITA 1</v>
      </c>
      <c r="N264" s="85" t="s">
        <v>224</v>
      </c>
    </row>
    <row r="265" spans="2:14" hidden="1" x14ac:dyDescent="0.25">
      <c r="B265" s="91">
        <v>46094</v>
      </c>
      <c r="C265" s="63">
        <v>1</v>
      </c>
      <c r="D265" s="63" t="s">
        <v>219</v>
      </c>
      <c r="E265" s="65" t="s">
        <v>220</v>
      </c>
      <c r="F265" s="65" t="s">
        <v>166</v>
      </c>
      <c r="G265" s="63" t="s">
        <v>164</v>
      </c>
      <c r="H265" s="63">
        <v>58</v>
      </c>
      <c r="I265" s="65" t="s">
        <v>175</v>
      </c>
      <c r="J265" s="63">
        <v>324</v>
      </c>
      <c r="K265" s="64">
        <v>695.3</v>
      </c>
      <c r="L265" s="63" t="s">
        <v>2157</v>
      </c>
      <c r="M265" s="65" t="str">
        <f t="shared" si="4"/>
        <v>GRANORTEUA SAO LUISBRITA 0</v>
      </c>
      <c r="N265" s="85" t="s">
        <v>224</v>
      </c>
    </row>
    <row r="266" spans="2:14" hidden="1" x14ac:dyDescent="0.25">
      <c r="B266" s="91">
        <v>46094</v>
      </c>
      <c r="C266" s="63">
        <v>1</v>
      </c>
      <c r="D266" s="63" t="s">
        <v>205</v>
      </c>
      <c r="E266" s="65" t="s">
        <v>206</v>
      </c>
      <c r="F266" s="65" t="s">
        <v>276</v>
      </c>
      <c r="G266" s="63" t="s">
        <v>2143</v>
      </c>
      <c r="H266" s="63">
        <v>281</v>
      </c>
      <c r="I266" s="65" t="s">
        <v>172</v>
      </c>
      <c r="J266" s="63">
        <v>6542</v>
      </c>
      <c r="K266" s="64">
        <v>5882.57</v>
      </c>
      <c r="L266" s="63" t="s">
        <v>2158</v>
      </c>
      <c r="M266" s="65" t="str">
        <f t="shared" si="4"/>
        <v>MINERADORA PORTO FRANCOSAO PEDRO DA AGUA BRANCABICA CORRIDA</v>
      </c>
      <c r="N266" s="85" t="s">
        <v>15</v>
      </c>
    </row>
    <row r="267" spans="2:14" hidden="1" x14ac:dyDescent="0.25">
      <c r="B267" s="91">
        <v>46094</v>
      </c>
      <c r="C267" s="63">
        <v>1</v>
      </c>
      <c r="D267" s="63" t="s">
        <v>188</v>
      </c>
      <c r="E267" s="65" t="s">
        <v>189</v>
      </c>
      <c r="F267" s="65" t="s">
        <v>163</v>
      </c>
      <c r="G267" s="63" t="s">
        <v>2048</v>
      </c>
      <c r="H267" s="63">
        <v>237</v>
      </c>
      <c r="I267" s="65" t="s">
        <v>165</v>
      </c>
      <c r="J267" s="63">
        <v>632</v>
      </c>
      <c r="K267" s="64">
        <v>4793.09</v>
      </c>
      <c r="L267" s="63" t="s">
        <v>2159</v>
      </c>
      <c r="M267" s="65" t="str">
        <f t="shared" si="4"/>
        <v>BRASIL MINERACAOOLINDA NOVAPÓ DE BRITA</v>
      </c>
      <c r="N267" s="85" t="s">
        <v>191</v>
      </c>
    </row>
    <row r="268" spans="2:14" hidden="1" x14ac:dyDescent="0.25">
      <c r="B268" s="91">
        <v>46094</v>
      </c>
      <c r="C268" s="63">
        <v>1</v>
      </c>
      <c r="D268" s="63" t="s">
        <v>210</v>
      </c>
      <c r="E268" s="65" t="s">
        <v>211</v>
      </c>
      <c r="F268" s="65" t="s">
        <v>166</v>
      </c>
      <c r="G268" s="63" t="s">
        <v>191</v>
      </c>
      <c r="H268" s="63">
        <v>243</v>
      </c>
      <c r="I268" s="65" t="s">
        <v>165</v>
      </c>
      <c r="J268" s="63">
        <v>5734</v>
      </c>
      <c r="K268" s="64">
        <v>5155.4399999999996</v>
      </c>
      <c r="L268" s="63" t="s">
        <v>2160</v>
      </c>
      <c r="M268" s="65" t="str">
        <f t="shared" si="4"/>
        <v>GRANORTEOLINDA NOVA - MAPÓ DE BRITA</v>
      </c>
      <c r="N268" s="85" t="s">
        <v>191</v>
      </c>
    </row>
    <row r="269" spans="2:14" hidden="1" x14ac:dyDescent="0.25">
      <c r="B269" s="91">
        <v>46094</v>
      </c>
      <c r="C269" s="63">
        <v>1</v>
      </c>
      <c r="D269" s="63" t="s">
        <v>170</v>
      </c>
      <c r="E269" s="65" t="s">
        <v>171</v>
      </c>
      <c r="F269" s="65" t="s">
        <v>166</v>
      </c>
      <c r="G269" s="63" t="s">
        <v>824</v>
      </c>
      <c r="H269" s="63">
        <v>78</v>
      </c>
      <c r="I269" s="65" t="s">
        <v>169</v>
      </c>
      <c r="J269" s="63">
        <v>2628</v>
      </c>
      <c r="K269" s="64">
        <v>758.44</v>
      </c>
      <c r="L269" s="63" t="s">
        <v>2161</v>
      </c>
      <c r="M269" s="65" t="str">
        <f t="shared" si="4"/>
        <v>GRANORTECRUZAMENTO MA 201/202 (METROPOLITANA)PULMÃOZINHO</v>
      </c>
      <c r="N269" s="85" t="s">
        <v>108</v>
      </c>
    </row>
    <row r="270" spans="2:14" hidden="1" x14ac:dyDescent="0.25">
      <c r="B270" s="91">
        <v>46094</v>
      </c>
      <c r="C270" s="63">
        <v>1</v>
      </c>
      <c r="D270" s="63" t="s">
        <v>167</v>
      </c>
      <c r="E270" s="65" t="s">
        <v>168</v>
      </c>
      <c r="F270" s="65" t="s">
        <v>163</v>
      </c>
      <c r="G270" s="63" t="s">
        <v>111</v>
      </c>
      <c r="H270" s="63">
        <v>75</v>
      </c>
      <c r="I270" s="65" t="s">
        <v>185</v>
      </c>
      <c r="J270" s="63">
        <v>269</v>
      </c>
      <c r="K270" s="64">
        <v>746.48</v>
      </c>
      <c r="L270" s="63" t="s">
        <v>2162</v>
      </c>
      <c r="M270" s="65" t="str">
        <f t="shared" si="4"/>
        <v>BRASIL MINERACAOBEIRA RIORACHÃOZINHO</v>
      </c>
      <c r="N270" s="85" t="s">
        <v>111</v>
      </c>
    </row>
    <row r="271" spans="2:14" hidden="1" x14ac:dyDescent="0.25">
      <c r="B271" s="91">
        <v>46094</v>
      </c>
      <c r="C271" s="63">
        <v>1</v>
      </c>
      <c r="D271" s="63" t="s">
        <v>167</v>
      </c>
      <c r="E271" s="65" t="s">
        <v>168</v>
      </c>
      <c r="F271" s="65" t="s">
        <v>163</v>
      </c>
      <c r="G271" s="63" t="s">
        <v>111</v>
      </c>
      <c r="H271" s="63">
        <v>75</v>
      </c>
      <c r="I271" s="65" t="s">
        <v>185</v>
      </c>
      <c r="J271" s="63">
        <v>2594</v>
      </c>
      <c r="K271" s="64">
        <v>719.84</v>
      </c>
      <c r="L271" s="63" t="s">
        <v>2163</v>
      </c>
      <c r="M271" s="65" t="str">
        <f t="shared" si="4"/>
        <v>BRASIL MINERACAOBEIRA RIORACHÃOZINHO</v>
      </c>
      <c r="N271" s="85" t="s">
        <v>111</v>
      </c>
    </row>
    <row r="272" spans="2:14" hidden="1" x14ac:dyDescent="0.25">
      <c r="B272" s="91">
        <v>46094</v>
      </c>
      <c r="C272" s="63">
        <v>1</v>
      </c>
      <c r="D272" s="63" t="s">
        <v>202</v>
      </c>
      <c r="E272" s="65" t="s">
        <v>214</v>
      </c>
      <c r="F272" s="65" t="s">
        <v>163</v>
      </c>
      <c r="G272" s="63" t="s">
        <v>191</v>
      </c>
      <c r="H272" s="63">
        <v>243</v>
      </c>
      <c r="I272" s="65" t="s">
        <v>165</v>
      </c>
      <c r="J272" s="63">
        <v>629</v>
      </c>
      <c r="K272" s="64">
        <v>5655.34</v>
      </c>
      <c r="L272" s="63" t="s">
        <v>2164</v>
      </c>
      <c r="M272" s="65" t="str">
        <f t="shared" si="4"/>
        <v>BRASIL MINERACAOOLINDA NOVA - MAPÓ DE BRITA</v>
      </c>
      <c r="N272" s="85" t="s">
        <v>191</v>
      </c>
    </row>
    <row r="273" spans="2:14" hidden="1" x14ac:dyDescent="0.25">
      <c r="B273" s="91">
        <v>46094</v>
      </c>
      <c r="C273" s="63">
        <v>1</v>
      </c>
      <c r="D273" s="63" t="s">
        <v>208</v>
      </c>
      <c r="E273" s="65" t="s">
        <v>209</v>
      </c>
      <c r="F273" s="65" t="s">
        <v>190</v>
      </c>
      <c r="G273" s="63" t="s">
        <v>191</v>
      </c>
      <c r="H273" s="63">
        <v>217</v>
      </c>
      <c r="I273" s="65" t="s">
        <v>165</v>
      </c>
      <c r="J273" s="63">
        <v>550</v>
      </c>
      <c r="K273" s="64">
        <v>4415.95</v>
      </c>
      <c r="L273" s="63" t="s">
        <v>2165</v>
      </c>
      <c r="M273" s="65" t="str">
        <f t="shared" si="4"/>
        <v>SERVENGOLINDA NOVA - MAPÓ DE BRITA</v>
      </c>
      <c r="N273" s="85" t="s">
        <v>191</v>
      </c>
    </row>
    <row r="274" spans="2:14" hidden="1" x14ac:dyDescent="0.25">
      <c r="B274" s="91">
        <v>46094</v>
      </c>
      <c r="C274" s="63">
        <v>1</v>
      </c>
      <c r="D274" s="63" t="s">
        <v>289</v>
      </c>
      <c r="E274" s="65" t="s">
        <v>290</v>
      </c>
      <c r="F274" s="65" t="s">
        <v>276</v>
      </c>
      <c r="G274" s="63" t="s">
        <v>277</v>
      </c>
      <c r="H274" s="63">
        <v>118</v>
      </c>
      <c r="I274" s="65" t="s">
        <v>165</v>
      </c>
      <c r="J274" s="63">
        <v>3332</v>
      </c>
      <c r="K274" s="64">
        <v>1258.1600000000001</v>
      </c>
      <c r="L274" s="63" t="s">
        <v>2166</v>
      </c>
      <c r="M274" s="65" t="str">
        <f t="shared" si="4"/>
        <v>MINERADORA PORTO FRANCOCONCRENORTEPÓ DE BRITA</v>
      </c>
      <c r="N274" s="85" t="s">
        <v>15</v>
      </c>
    </row>
    <row r="275" spans="2:14" hidden="1" x14ac:dyDescent="0.25">
      <c r="B275" s="91">
        <v>46094</v>
      </c>
      <c r="C275" s="63">
        <v>1</v>
      </c>
      <c r="D275" s="63" t="s">
        <v>203</v>
      </c>
      <c r="E275" s="65" t="s">
        <v>204</v>
      </c>
      <c r="F275" s="65" t="s">
        <v>163</v>
      </c>
      <c r="G275" s="63" t="s">
        <v>191</v>
      </c>
      <c r="H275" s="63">
        <v>243</v>
      </c>
      <c r="I275" s="65" t="s">
        <v>165</v>
      </c>
      <c r="J275" s="63">
        <v>4616</v>
      </c>
      <c r="K275" s="64">
        <v>4150.25</v>
      </c>
      <c r="L275" s="63" t="s">
        <v>2167</v>
      </c>
      <c r="M275" s="65" t="str">
        <f t="shared" si="4"/>
        <v>BRASIL MINERACAOOLINDA NOVA - MAPÓ DE BRITA</v>
      </c>
      <c r="N275" s="85" t="s">
        <v>191</v>
      </c>
    </row>
    <row r="276" spans="2:14" hidden="1" x14ac:dyDescent="0.25">
      <c r="B276" s="91">
        <v>46094</v>
      </c>
      <c r="C276" s="63">
        <v>1</v>
      </c>
      <c r="D276" s="63" t="s">
        <v>167</v>
      </c>
      <c r="E276" s="65" t="s">
        <v>168</v>
      </c>
      <c r="F276" s="65" t="s">
        <v>166</v>
      </c>
      <c r="G276" s="63" t="s">
        <v>824</v>
      </c>
      <c r="H276" s="63">
        <v>78</v>
      </c>
      <c r="I276" s="65" t="s">
        <v>169</v>
      </c>
      <c r="J276" s="63">
        <v>2666</v>
      </c>
      <c r="K276" s="64">
        <v>769.41</v>
      </c>
      <c r="L276" s="63" t="s">
        <v>2168</v>
      </c>
      <c r="M276" s="65" t="str">
        <f t="shared" si="4"/>
        <v>GRANORTECRUZAMENTO MA 201/202 (METROPOLITANA)PULMÃOZINHO</v>
      </c>
      <c r="N276" s="85" t="s">
        <v>108</v>
      </c>
    </row>
    <row r="277" spans="2:14" hidden="1" x14ac:dyDescent="0.25">
      <c r="B277" s="91">
        <v>46094</v>
      </c>
      <c r="C277" s="63">
        <v>1</v>
      </c>
      <c r="D277" s="63" t="s">
        <v>1948</v>
      </c>
      <c r="E277" s="65" t="s">
        <v>1949</v>
      </c>
      <c r="F277" s="65" t="s">
        <v>190</v>
      </c>
      <c r="G277" s="63" t="s">
        <v>191</v>
      </c>
      <c r="H277" s="63">
        <v>217</v>
      </c>
      <c r="I277" s="65" t="s">
        <v>165</v>
      </c>
      <c r="J277" s="63">
        <v>461</v>
      </c>
      <c r="K277" s="64">
        <v>3701.37</v>
      </c>
      <c r="L277" s="63" t="s">
        <v>2169</v>
      </c>
      <c r="M277" s="65" t="str">
        <f t="shared" si="4"/>
        <v>SERVENGOLINDA NOVA - MAPÓ DE BRITA</v>
      </c>
      <c r="N277" s="85" t="s">
        <v>191</v>
      </c>
    </row>
    <row r="278" spans="2:14" hidden="1" x14ac:dyDescent="0.25">
      <c r="B278" s="91">
        <v>46094</v>
      </c>
      <c r="C278" s="63">
        <v>1</v>
      </c>
      <c r="D278" s="63" t="s">
        <v>199</v>
      </c>
      <c r="E278" s="65" t="s">
        <v>180</v>
      </c>
      <c r="F278" s="65" t="s">
        <v>166</v>
      </c>
      <c r="G278" s="63" t="s">
        <v>164</v>
      </c>
      <c r="H278" s="63">
        <v>58</v>
      </c>
      <c r="I278" s="65" t="s">
        <v>175</v>
      </c>
      <c r="J278" s="63">
        <v>2998</v>
      </c>
      <c r="K278" s="64">
        <v>643.37</v>
      </c>
      <c r="L278" s="63" t="s">
        <v>2170</v>
      </c>
      <c r="M278" s="65" t="str">
        <f t="shared" si="4"/>
        <v>GRANORTEUA SAO LUISBRITA 0</v>
      </c>
      <c r="N278" s="85" t="s">
        <v>224</v>
      </c>
    </row>
    <row r="279" spans="2:14" hidden="1" x14ac:dyDescent="0.25">
      <c r="B279" s="91">
        <v>46094</v>
      </c>
      <c r="C279" s="63">
        <v>1</v>
      </c>
      <c r="D279" s="63" t="s">
        <v>283</v>
      </c>
      <c r="E279" s="65" t="s">
        <v>215</v>
      </c>
      <c r="F279" s="65" t="s">
        <v>166</v>
      </c>
      <c r="G279" s="63" t="s">
        <v>164</v>
      </c>
      <c r="H279" s="63">
        <v>58</v>
      </c>
      <c r="I279" s="65" t="s">
        <v>175</v>
      </c>
      <c r="J279" s="63">
        <v>2644</v>
      </c>
      <c r="K279" s="64">
        <v>567.4</v>
      </c>
      <c r="L279" s="63" t="s">
        <v>2171</v>
      </c>
      <c r="M279" s="65" t="str">
        <f t="shared" si="4"/>
        <v>GRANORTEUA SAO LUISBRITA 0</v>
      </c>
      <c r="N279" s="85" t="s">
        <v>224</v>
      </c>
    </row>
    <row r="280" spans="2:14" hidden="1" x14ac:dyDescent="0.25">
      <c r="B280" s="91">
        <v>46094</v>
      </c>
      <c r="C280" s="63">
        <v>1</v>
      </c>
      <c r="D280" s="63" t="s">
        <v>183</v>
      </c>
      <c r="E280" s="65" t="s">
        <v>184</v>
      </c>
      <c r="F280" s="65" t="s">
        <v>166</v>
      </c>
      <c r="G280" s="63" t="s">
        <v>111</v>
      </c>
      <c r="H280" s="63">
        <v>79</v>
      </c>
      <c r="I280" s="65" t="s">
        <v>169</v>
      </c>
      <c r="J280" s="63">
        <v>2458</v>
      </c>
      <c r="K280" s="64">
        <v>718.47</v>
      </c>
      <c r="L280" s="63" t="s">
        <v>2172</v>
      </c>
      <c r="M280" s="65" t="str">
        <f t="shared" si="4"/>
        <v>GRANORTEBEIRA RIOPULMÃOZINHO</v>
      </c>
      <c r="N280" s="85" t="s">
        <v>111</v>
      </c>
    </row>
    <row r="281" spans="2:14" hidden="1" x14ac:dyDescent="0.25">
      <c r="B281" s="91">
        <v>46094</v>
      </c>
      <c r="C281" s="63">
        <v>1</v>
      </c>
      <c r="D281" s="63" t="s">
        <v>183</v>
      </c>
      <c r="E281" s="65" t="s">
        <v>184</v>
      </c>
      <c r="F281" s="65" t="s">
        <v>166</v>
      </c>
      <c r="G281" s="63" t="s">
        <v>111</v>
      </c>
      <c r="H281" s="63">
        <v>79</v>
      </c>
      <c r="I281" s="65" t="s">
        <v>169</v>
      </c>
      <c r="J281" s="63">
        <v>263</v>
      </c>
      <c r="K281" s="64">
        <v>768.75</v>
      </c>
      <c r="L281" s="63" t="s">
        <v>2173</v>
      </c>
      <c r="M281" s="65" t="str">
        <f t="shared" si="4"/>
        <v>GRANORTEBEIRA RIOPULMÃOZINHO</v>
      </c>
      <c r="N281" s="85" t="s">
        <v>111</v>
      </c>
    </row>
    <row r="282" spans="2:14" hidden="1" x14ac:dyDescent="0.25">
      <c r="B282" s="91">
        <v>46094</v>
      </c>
      <c r="C282" s="63">
        <v>1</v>
      </c>
      <c r="D282" s="63" t="s">
        <v>186</v>
      </c>
      <c r="E282" s="65" t="s">
        <v>187</v>
      </c>
      <c r="F282" s="65" t="s">
        <v>190</v>
      </c>
      <c r="G282" s="63" t="s">
        <v>191</v>
      </c>
      <c r="H282" s="63">
        <v>217</v>
      </c>
      <c r="I282" s="65" t="s">
        <v>165</v>
      </c>
      <c r="J282" s="63">
        <v>4928</v>
      </c>
      <c r="K282" s="64">
        <v>3956.69</v>
      </c>
      <c r="L282" s="63" t="s">
        <v>2174</v>
      </c>
      <c r="M282" s="65" t="str">
        <f t="shared" si="4"/>
        <v>SERVENGOLINDA NOVA - MAPÓ DE BRITA</v>
      </c>
      <c r="N282" s="85" t="s">
        <v>191</v>
      </c>
    </row>
    <row r="283" spans="2:14" hidden="1" x14ac:dyDescent="0.25">
      <c r="B283" s="91">
        <v>46094</v>
      </c>
      <c r="C283" s="63">
        <v>1</v>
      </c>
      <c r="D283" s="63" t="s">
        <v>192</v>
      </c>
      <c r="E283" s="65" t="s">
        <v>287</v>
      </c>
      <c r="F283" s="65" t="s">
        <v>166</v>
      </c>
      <c r="G283" s="63" t="s">
        <v>164</v>
      </c>
      <c r="H283" s="63">
        <v>58</v>
      </c>
      <c r="I283" s="65" t="s">
        <v>175</v>
      </c>
      <c r="J283" s="63">
        <v>262</v>
      </c>
      <c r="K283" s="64">
        <v>562.25</v>
      </c>
      <c r="L283" s="63" t="s">
        <v>2175</v>
      </c>
      <c r="M283" s="65" t="str">
        <f t="shared" si="4"/>
        <v>GRANORTEUA SAO LUISBRITA 0</v>
      </c>
      <c r="N283" s="85" t="s">
        <v>224</v>
      </c>
    </row>
    <row r="284" spans="2:14" hidden="1" x14ac:dyDescent="0.25">
      <c r="B284" s="91">
        <v>46094</v>
      </c>
      <c r="C284" s="63">
        <v>1</v>
      </c>
      <c r="D284" s="63" t="s">
        <v>192</v>
      </c>
      <c r="E284" s="65" t="s">
        <v>287</v>
      </c>
      <c r="F284" s="65" t="s">
        <v>166</v>
      </c>
      <c r="G284" s="63" t="s">
        <v>164</v>
      </c>
      <c r="H284" s="63">
        <v>58</v>
      </c>
      <c r="I284" s="65" t="s">
        <v>175</v>
      </c>
      <c r="J284" s="63">
        <v>2654</v>
      </c>
      <c r="K284" s="64">
        <v>569.54999999999995</v>
      </c>
      <c r="L284" s="63" t="s">
        <v>2176</v>
      </c>
      <c r="M284" s="65" t="str">
        <f t="shared" si="4"/>
        <v>GRANORTEUA SAO LUISBRITA 0</v>
      </c>
      <c r="N284" s="85" t="s">
        <v>224</v>
      </c>
    </row>
    <row r="285" spans="2:14" hidden="1" x14ac:dyDescent="0.25">
      <c r="B285" s="91">
        <v>46094</v>
      </c>
      <c r="C285" s="63">
        <v>1</v>
      </c>
      <c r="D285" s="63" t="s">
        <v>192</v>
      </c>
      <c r="E285" s="65" t="s">
        <v>287</v>
      </c>
      <c r="F285" s="65" t="s">
        <v>166</v>
      </c>
      <c r="G285" s="63" t="s">
        <v>164</v>
      </c>
      <c r="H285" s="63">
        <v>58</v>
      </c>
      <c r="I285" s="65" t="s">
        <v>175</v>
      </c>
      <c r="J285" s="63">
        <v>3108</v>
      </c>
      <c r="K285" s="64">
        <v>666.98</v>
      </c>
      <c r="L285" s="63" t="s">
        <v>2177</v>
      </c>
      <c r="M285" s="65" t="str">
        <f t="shared" si="4"/>
        <v>GRANORTEUA SAO LUISBRITA 0</v>
      </c>
      <c r="N285" s="85" t="s">
        <v>224</v>
      </c>
    </row>
    <row r="286" spans="2:14" hidden="1" x14ac:dyDescent="0.25">
      <c r="B286" s="91">
        <v>46094</v>
      </c>
      <c r="C286" s="63">
        <v>1</v>
      </c>
      <c r="D286" s="63" t="s">
        <v>200</v>
      </c>
      <c r="E286" s="65" t="s">
        <v>201</v>
      </c>
      <c r="F286" s="65" t="s">
        <v>190</v>
      </c>
      <c r="G286" s="63" t="s">
        <v>191</v>
      </c>
      <c r="H286" s="63">
        <v>217</v>
      </c>
      <c r="I286" s="65" t="s">
        <v>165</v>
      </c>
      <c r="J286" s="63">
        <v>470</v>
      </c>
      <c r="K286" s="64">
        <v>3773.63</v>
      </c>
      <c r="L286" s="63" t="s">
        <v>2178</v>
      </c>
      <c r="M286" s="65" t="str">
        <f t="shared" si="4"/>
        <v>SERVENGOLINDA NOVA - MAPÓ DE BRITA</v>
      </c>
      <c r="N286" s="85" t="s">
        <v>191</v>
      </c>
    </row>
    <row r="287" spans="2:14" hidden="1" x14ac:dyDescent="0.25">
      <c r="B287" s="91">
        <v>46094</v>
      </c>
      <c r="C287" s="63">
        <v>1</v>
      </c>
      <c r="D287" s="63" t="s">
        <v>270</v>
      </c>
      <c r="E287" s="65" t="s">
        <v>288</v>
      </c>
      <c r="F287" s="65" t="s">
        <v>190</v>
      </c>
      <c r="G287" s="63" t="s">
        <v>191</v>
      </c>
      <c r="H287" s="63">
        <v>217</v>
      </c>
      <c r="I287" s="65" t="s">
        <v>165</v>
      </c>
      <c r="J287" s="63">
        <v>506</v>
      </c>
      <c r="K287" s="64">
        <v>4062.67</v>
      </c>
      <c r="L287" s="63" t="s">
        <v>2179</v>
      </c>
      <c r="M287" s="65" t="str">
        <f t="shared" si="4"/>
        <v>SERVENGOLINDA NOVA - MAPÓ DE BRITA</v>
      </c>
      <c r="N287" s="85" t="s">
        <v>191</v>
      </c>
    </row>
    <row r="288" spans="2:14" hidden="1" x14ac:dyDescent="0.25">
      <c r="B288" s="91">
        <v>46094</v>
      </c>
      <c r="C288" s="63">
        <v>1</v>
      </c>
      <c r="D288" s="63" t="s">
        <v>286</v>
      </c>
      <c r="E288" s="65" t="s">
        <v>506</v>
      </c>
      <c r="F288" s="65" t="s">
        <v>166</v>
      </c>
      <c r="G288" s="63" t="s">
        <v>111</v>
      </c>
      <c r="H288" s="63">
        <v>79</v>
      </c>
      <c r="I288" s="65" t="s">
        <v>169</v>
      </c>
      <c r="J288" s="63">
        <v>249</v>
      </c>
      <c r="K288" s="64">
        <v>727.83</v>
      </c>
      <c r="L288" s="63" t="s">
        <v>2180</v>
      </c>
      <c r="M288" s="65" t="str">
        <f t="shared" si="4"/>
        <v>GRANORTEBEIRA RIOPULMÃOZINHO</v>
      </c>
      <c r="N288" s="85" t="s">
        <v>111</v>
      </c>
    </row>
    <row r="289" spans="2:14" hidden="1" x14ac:dyDescent="0.25">
      <c r="B289" s="91">
        <v>46094</v>
      </c>
      <c r="C289" s="63">
        <v>1</v>
      </c>
      <c r="D289" s="63" t="s">
        <v>286</v>
      </c>
      <c r="E289" s="65" t="s">
        <v>506</v>
      </c>
      <c r="F289" s="65" t="s">
        <v>166</v>
      </c>
      <c r="G289" s="63" t="s">
        <v>111</v>
      </c>
      <c r="H289" s="63">
        <v>79</v>
      </c>
      <c r="I289" s="65" t="s">
        <v>169</v>
      </c>
      <c r="J289" s="63">
        <v>2574</v>
      </c>
      <c r="K289" s="64">
        <v>752.38</v>
      </c>
      <c r="L289" s="63" t="s">
        <v>2181</v>
      </c>
      <c r="M289" s="65" t="str">
        <f t="shared" si="4"/>
        <v>GRANORTEBEIRA RIOPULMÃOZINHO</v>
      </c>
      <c r="N289" s="85" t="s">
        <v>111</v>
      </c>
    </row>
    <row r="290" spans="2:14" hidden="1" x14ac:dyDescent="0.25">
      <c r="B290" s="91">
        <v>46094</v>
      </c>
      <c r="C290" s="63">
        <v>1</v>
      </c>
      <c r="D290" s="63" t="s">
        <v>181</v>
      </c>
      <c r="E290" s="65" t="s">
        <v>182</v>
      </c>
      <c r="F290" s="65" t="s">
        <v>166</v>
      </c>
      <c r="G290" s="63" t="s">
        <v>824</v>
      </c>
      <c r="H290" s="63">
        <v>78</v>
      </c>
      <c r="I290" s="65" t="s">
        <v>169</v>
      </c>
      <c r="J290" s="63">
        <v>2532</v>
      </c>
      <c r="K290" s="64">
        <v>730.74</v>
      </c>
      <c r="L290" s="63" t="s">
        <v>2182</v>
      </c>
      <c r="M290" s="65" t="str">
        <f t="shared" si="4"/>
        <v>GRANORTECRUZAMENTO MA 201/202 (METROPOLITANA)PULMÃOZINHO</v>
      </c>
      <c r="N290" s="85" t="s">
        <v>108</v>
      </c>
    </row>
    <row r="291" spans="2:14" hidden="1" x14ac:dyDescent="0.25">
      <c r="B291" s="91">
        <v>46094</v>
      </c>
      <c r="C291" s="63">
        <v>1</v>
      </c>
      <c r="D291" s="63" t="s">
        <v>181</v>
      </c>
      <c r="E291" s="65" t="s">
        <v>182</v>
      </c>
      <c r="F291" s="65" t="s">
        <v>166</v>
      </c>
      <c r="G291" s="63" t="s">
        <v>824</v>
      </c>
      <c r="H291" s="63">
        <v>78</v>
      </c>
      <c r="I291" s="65" t="s">
        <v>169</v>
      </c>
      <c r="J291" s="63">
        <v>2514</v>
      </c>
      <c r="K291" s="64">
        <v>725.54</v>
      </c>
      <c r="L291" s="63" t="s">
        <v>2183</v>
      </c>
      <c r="M291" s="65" t="str">
        <f t="shared" si="4"/>
        <v>GRANORTECRUZAMENTO MA 201/202 (METROPOLITANA)PULMÃOZINHO</v>
      </c>
      <c r="N291" s="85" t="s">
        <v>108</v>
      </c>
    </row>
    <row r="292" spans="2:14" hidden="1" x14ac:dyDescent="0.25">
      <c r="B292" s="91">
        <v>46094</v>
      </c>
      <c r="C292" s="63">
        <v>1</v>
      </c>
      <c r="D292" s="63" t="s">
        <v>275</v>
      </c>
      <c r="E292" s="65" t="s">
        <v>217</v>
      </c>
      <c r="F292" s="65" t="s">
        <v>163</v>
      </c>
      <c r="G292" s="63" t="s">
        <v>2048</v>
      </c>
      <c r="H292" s="63">
        <v>237</v>
      </c>
      <c r="I292" s="65" t="s">
        <v>165</v>
      </c>
      <c r="J292" s="63">
        <v>4476</v>
      </c>
      <c r="K292" s="64">
        <v>3394.6</v>
      </c>
      <c r="L292" s="63" t="s">
        <v>2184</v>
      </c>
      <c r="M292" s="65" t="str">
        <f t="shared" si="4"/>
        <v>BRASIL MINERACAOOLINDA NOVAPÓ DE BRITA</v>
      </c>
      <c r="N292" s="85" t="s">
        <v>191</v>
      </c>
    </row>
    <row r="293" spans="2:14" hidden="1" x14ac:dyDescent="0.25">
      <c r="B293" s="91">
        <v>46094</v>
      </c>
      <c r="C293" s="63">
        <v>1</v>
      </c>
      <c r="D293" s="63" t="s">
        <v>286</v>
      </c>
      <c r="E293" s="65" t="s">
        <v>343</v>
      </c>
      <c r="F293" s="65" t="s">
        <v>190</v>
      </c>
      <c r="G293" s="63" t="s">
        <v>198</v>
      </c>
      <c r="H293" s="63">
        <v>70</v>
      </c>
      <c r="I293" s="65" t="s">
        <v>165</v>
      </c>
      <c r="J293" s="63">
        <v>470</v>
      </c>
      <c r="K293" s="64">
        <v>1217.3</v>
      </c>
      <c r="L293" s="63" t="s">
        <v>2154</v>
      </c>
      <c r="M293" s="65" t="str">
        <f t="shared" si="4"/>
        <v>SERVENGUSINA SAO LUISPÓ DE BRITA</v>
      </c>
      <c r="N293" s="85" t="s">
        <v>224</v>
      </c>
    </row>
    <row r="294" spans="2:14" hidden="1" x14ac:dyDescent="0.25">
      <c r="B294" s="91">
        <v>46095</v>
      </c>
      <c r="C294" s="63">
        <v>1</v>
      </c>
      <c r="D294" s="63" t="s">
        <v>167</v>
      </c>
      <c r="E294" s="65" t="s">
        <v>168</v>
      </c>
      <c r="F294" s="65" t="s">
        <v>166</v>
      </c>
      <c r="G294" s="63" t="s">
        <v>824</v>
      </c>
      <c r="H294" s="63">
        <v>78</v>
      </c>
      <c r="I294" s="65" t="s">
        <v>169</v>
      </c>
      <c r="J294" s="63">
        <v>2648</v>
      </c>
      <c r="K294" s="64">
        <v>764.21</v>
      </c>
      <c r="L294" s="63" t="s">
        <v>2185</v>
      </c>
      <c r="M294" s="65" t="str">
        <f t="shared" si="4"/>
        <v>GRANORTECRUZAMENTO MA 201/202 (METROPOLITANA)PULMÃOZINHO</v>
      </c>
      <c r="N294" s="85" t="s">
        <v>108</v>
      </c>
    </row>
    <row r="295" spans="2:14" hidden="1" x14ac:dyDescent="0.25">
      <c r="B295" s="91">
        <v>46095</v>
      </c>
      <c r="C295" s="63">
        <v>1</v>
      </c>
      <c r="D295" s="63" t="s">
        <v>196</v>
      </c>
      <c r="E295" s="65" t="s">
        <v>197</v>
      </c>
      <c r="F295" s="65" t="s">
        <v>163</v>
      </c>
      <c r="G295" s="63" t="s">
        <v>191</v>
      </c>
      <c r="H295" s="63">
        <v>243</v>
      </c>
      <c r="I295" s="65" t="s">
        <v>165</v>
      </c>
      <c r="J295" s="63">
        <v>6358</v>
      </c>
      <c r="K295" s="64">
        <v>5716.48</v>
      </c>
      <c r="L295" s="63" t="s">
        <v>2186</v>
      </c>
      <c r="M295" s="65" t="str">
        <f t="shared" si="4"/>
        <v>BRASIL MINERACAOOLINDA NOVA - MAPÓ DE BRITA</v>
      </c>
      <c r="N295" s="85" t="s">
        <v>191</v>
      </c>
    </row>
    <row r="296" spans="2:14" hidden="1" x14ac:dyDescent="0.25">
      <c r="B296" s="91">
        <v>46095</v>
      </c>
      <c r="C296" s="63">
        <v>1</v>
      </c>
      <c r="D296" s="63" t="s">
        <v>203</v>
      </c>
      <c r="E296" s="65" t="s">
        <v>204</v>
      </c>
      <c r="F296" s="65" t="s">
        <v>166</v>
      </c>
      <c r="G296" s="63" t="s">
        <v>164</v>
      </c>
      <c r="H296" s="63">
        <v>58</v>
      </c>
      <c r="I296" s="65" t="s">
        <v>175</v>
      </c>
      <c r="J296" s="63">
        <v>474</v>
      </c>
      <c r="K296" s="64">
        <v>1017.2</v>
      </c>
      <c r="L296" s="63" t="s">
        <v>2187</v>
      </c>
      <c r="M296" s="65" t="str">
        <f t="shared" si="4"/>
        <v>GRANORTEUA SAO LUISBRITA 0</v>
      </c>
      <c r="N296" s="85" t="s">
        <v>224</v>
      </c>
    </row>
    <row r="297" spans="2:14" hidden="1" x14ac:dyDescent="0.25">
      <c r="B297" s="91">
        <v>46095</v>
      </c>
      <c r="C297" s="63">
        <v>1</v>
      </c>
      <c r="D297" s="63" t="s">
        <v>170</v>
      </c>
      <c r="E297" s="65" t="s">
        <v>171</v>
      </c>
      <c r="F297" s="65" t="s">
        <v>166</v>
      </c>
      <c r="G297" s="63" t="s">
        <v>824</v>
      </c>
      <c r="H297" s="63">
        <v>78</v>
      </c>
      <c r="I297" s="65" t="s">
        <v>169</v>
      </c>
      <c r="J297" s="63">
        <v>2678</v>
      </c>
      <c r="K297" s="64">
        <v>772.87</v>
      </c>
      <c r="L297" s="63" t="s">
        <v>2188</v>
      </c>
      <c r="M297" s="65" t="str">
        <f t="shared" si="4"/>
        <v>GRANORTECRUZAMENTO MA 201/202 (METROPOLITANA)PULMÃOZINHO</v>
      </c>
      <c r="N297" s="85" t="s">
        <v>108</v>
      </c>
    </row>
    <row r="298" spans="2:14" hidden="1" x14ac:dyDescent="0.25">
      <c r="B298" s="91">
        <v>46095</v>
      </c>
      <c r="C298" s="63">
        <v>1</v>
      </c>
      <c r="D298" s="63" t="s">
        <v>202</v>
      </c>
      <c r="E298" s="65" t="s">
        <v>214</v>
      </c>
      <c r="F298" s="65" t="s">
        <v>166</v>
      </c>
      <c r="G298" s="63" t="s">
        <v>164</v>
      </c>
      <c r="H298" s="63">
        <v>58</v>
      </c>
      <c r="I298" s="65" t="s">
        <v>175</v>
      </c>
      <c r="J298" s="63">
        <v>5122</v>
      </c>
      <c r="K298" s="64">
        <v>1099.18</v>
      </c>
      <c r="L298" s="63" t="s">
        <v>2189</v>
      </c>
      <c r="M298" s="65" t="str">
        <f t="shared" si="4"/>
        <v>GRANORTEUA SAO LUISBRITA 0</v>
      </c>
      <c r="N298" s="85" t="s">
        <v>224</v>
      </c>
    </row>
    <row r="299" spans="2:14" hidden="1" x14ac:dyDescent="0.25">
      <c r="B299" s="91">
        <v>46095</v>
      </c>
      <c r="C299" s="63">
        <v>1</v>
      </c>
      <c r="D299" s="63" t="s">
        <v>167</v>
      </c>
      <c r="E299" s="65" t="s">
        <v>168</v>
      </c>
      <c r="F299" s="65" t="s">
        <v>166</v>
      </c>
      <c r="G299" s="63" t="s">
        <v>824</v>
      </c>
      <c r="H299" s="63">
        <v>78</v>
      </c>
      <c r="I299" s="65" t="s">
        <v>169</v>
      </c>
      <c r="J299" s="63">
        <v>2882</v>
      </c>
      <c r="K299" s="64">
        <v>831.75</v>
      </c>
      <c r="L299" s="63" t="s">
        <v>2190</v>
      </c>
      <c r="M299" s="65" t="str">
        <f t="shared" si="4"/>
        <v>GRANORTECRUZAMENTO MA 201/202 (METROPOLITANA)PULMÃOZINHO</v>
      </c>
      <c r="N299" s="85" t="s">
        <v>108</v>
      </c>
    </row>
    <row r="300" spans="2:14" hidden="1" x14ac:dyDescent="0.25">
      <c r="B300" s="91">
        <v>46095</v>
      </c>
      <c r="C300" s="63">
        <v>1</v>
      </c>
      <c r="D300" s="63" t="s">
        <v>210</v>
      </c>
      <c r="E300" s="65" t="s">
        <v>211</v>
      </c>
      <c r="F300" s="65" t="s">
        <v>163</v>
      </c>
      <c r="G300" s="63" t="s">
        <v>164</v>
      </c>
      <c r="H300" s="63">
        <v>52</v>
      </c>
      <c r="I300" s="65" t="s">
        <v>195</v>
      </c>
      <c r="J300" s="63">
        <v>4584</v>
      </c>
      <c r="K300" s="64">
        <v>881.96</v>
      </c>
      <c r="L300" s="63" t="s">
        <v>2191</v>
      </c>
      <c r="M300" s="65" t="str">
        <f t="shared" si="4"/>
        <v>BRASIL MINERACAOUA SAO LUISBRITA 1</v>
      </c>
      <c r="N300" s="85" t="s">
        <v>224</v>
      </c>
    </row>
    <row r="301" spans="2:14" hidden="1" x14ac:dyDescent="0.25">
      <c r="B301" s="91">
        <v>46095</v>
      </c>
      <c r="C301" s="63">
        <v>1</v>
      </c>
      <c r="D301" s="63" t="s">
        <v>199</v>
      </c>
      <c r="E301" s="65" t="s">
        <v>180</v>
      </c>
      <c r="F301" s="65" t="s">
        <v>166</v>
      </c>
      <c r="G301" s="63" t="s">
        <v>111</v>
      </c>
      <c r="H301" s="63">
        <v>79</v>
      </c>
      <c r="I301" s="65" t="s">
        <v>169</v>
      </c>
      <c r="J301" s="63">
        <v>4142</v>
      </c>
      <c r="K301" s="64">
        <v>1210.71</v>
      </c>
      <c r="L301" s="63" t="s">
        <v>2192</v>
      </c>
      <c r="M301" s="65" t="str">
        <f t="shared" si="4"/>
        <v>GRANORTEBEIRA RIOPULMÃOZINHO</v>
      </c>
      <c r="N301" s="85" t="s">
        <v>111</v>
      </c>
    </row>
    <row r="302" spans="2:14" hidden="1" x14ac:dyDescent="0.25">
      <c r="B302" s="91">
        <v>46095</v>
      </c>
      <c r="C302" s="63">
        <v>1</v>
      </c>
      <c r="D302" s="63" t="s">
        <v>208</v>
      </c>
      <c r="E302" s="65" t="s">
        <v>209</v>
      </c>
      <c r="F302" s="65" t="s">
        <v>166</v>
      </c>
      <c r="G302" s="63" t="s">
        <v>191</v>
      </c>
      <c r="H302" s="63">
        <v>243</v>
      </c>
      <c r="I302" s="65" t="s">
        <v>165</v>
      </c>
      <c r="J302" s="63">
        <v>520</v>
      </c>
      <c r="K302" s="64">
        <v>4675.32</v>
      </c>
      <c r="L302" s="63" t="s">
        <v>2193</v>
      </c>
      <c r="M302" s="65" t="str">
        <f t="shared" si="4"/>
        <v>GRANORTEOLINDA NOVA - MAPÓ DE BRITA</v>
      </c>
      <c r="N302" s="85" t="s">
        <v>191</v>
      </c>
    </row>
    <row r="303" spans="2:14" hidden="1" x14ac:dyDescent="0.25">
      <c r="B303" s="91">
        <v>46095</v>
      </c>
      <c r="C303" s="63">
        <v>1</v>
      </c>
      <c r="D303" s="63" t="s">
        <v>289</v>
      </c>
      <c r="E303" s="65" t="s">
        <v>290</v>
      </c>
      <c r="F303" s="65" t="s">
        <v>2194</v>
      </c>
      <c r="G303" s="63" t="s">
        <v>2195</v>
      </c>
      <c r="H303" s="63">
        <v>138</v>
      </c>
      <c r="I303" s="65" t="s">
        <v>195</v>
      </c>
      <c r="J303" s="63">
        <v>3556</v>
      </c>
      <c r="K303" s="64">
        <v>1570.33</v>
      </c>
      <c r="L303" s="63" t="s">
        <v>2196</v>
      </c>
      <c r="M303" s="65" t="str">
        <f t="shared" si="4"/>
        <v>MINERADORA PORTO FRNANCOGRAJAU (CANOEIRO)BRITA 1</v>
      </c>
      <c r="N303" s="85" t="s">
        <v>15</v>
      </c>
    </row>
    <row r="304" spans="2:14" x14ac:dyDescent="0.25">
      <c r="B304" s="91">
        <v>46095</v>
      </c>
      <c r="C304" s="63">
        <v>1</v>
      </c>
      <c r="D304" s="63" t="s">
        <v>162</v>
      </c>
      <c r="E304" s="65" t="s">
        <v>281</v>
      </c>
      <c r="F304" s="65" t="s">
        <v>166</v>
      </c>
      <c r="G304" s="63" t="s">
        <v>2123</v>
      </c>
      <c r="H304" s="63">
        <v>60</v>
      </c>
      <c r="I304" s="65" t="s">
        <v>169</v>
      </c>
      <c r="J304" s="63">
        <v>2914</v>
      </c>
      <c r="K304" s="64">
        <v>646.91</v>
      </c>
      <c r="L304" s="63" t="s">
        <v>2197</v>
      </c>
      <c r="M304" s="65" t="str">
        <f t="shared" si="4"/>
        <v>GRANORTEVIADUTO DO CAFEPULMÃOZINHO</v>
      </c>
      <c r="N304" s="85" t="s">
        <v>2854</v>
      </c>
    </row>
    <row r="305" spans="2:14" hidden="1" x14ac:dyDescent="0.25">
      <c r="B305" s="91">
        <v>46095</v>
      </c>
      <c r="C305" s="63">
        <v>1</v>
      </c>
      <c r="D305" s="63" t="s">
        <v>183</v>
      </c>
      <c r="E305" s="65" t="s">
        <v>184</v>
      </c>
      <c r="F305" s="65" t="s">
        <v>166</v>
      </c>
      <c r="G305" s="63" t="s">
        <v>111</v>
      </c>
      <c r="H305" s="63">
        <v>79</v>
      </c>
      <c r="I305" s="65" t="s">
        <v>172</v>
      </c>
      <c r="J305" s="63">
        <v>2656</v>
      </c>
      <c r="K305" s="64">
        <v>776.35</v>
      </c>
      <c r="L305" s="63" t="s">
        <v>2198</v>
      </c>
      <c r="M305" s="65" t="str">
        <f t="shared" si="4"/>
        <v>GRANORTEBEIRA RIOBICA CORRIDA</v>
      </c>
      <c r="N305" s="85" t="s">
        <v>111</v>
      </c>
    </row>
    <row r="306" spans="2:14" hidden="1" x14ac:dyDescent="0.25">
      <c r="B306" s="91">
        <v>46095</v>
      </c>
      <c r="C306" s="63">
        <v>1</v>
      </c>
      <c r="D306" s="63" t="s">
        <v>183</v>
      </c>
      <c r="E306" s="65" t="s">
        <v>184</v>
      </c>
      <c r="F306" s="65" t="s">
        <v>166</v>
      </c>
      <c r="G306" s="63" t="s">
        <v>111</v>
      </c>
      <c r="H306" s="63">
        <v>79</v>
      </c>
      <c r="I306" s="65" t="s">
        <v>185</v>
      </c>
      <c r="J306" s="63">
        <v>2266</v>
      </c>
      <c r="K306" s="64">
        <v>662.35</v>
      </c>
      <c r="L306" s="63" t="s">
        <v>2199</v>
      </c>
      <c r="M306" s="65" t="str">
        <f t="shared" si="4"/>
        <v>GRANORTEBEIRA RIORACHÃOZINHO</v>
      </c>
      <c r="N306" s="85" t="s">
        <v>111</v>
      </c>
    </row>
    <row r="307" spans="2:14" hidden="1" x14ac:dyDescent="0.25">
      <c r="B307" s="91">
        <v>46095</v>
      </c>
      <c r="C307" s="63">
        <v>1</v>
      </c>
      <c r="D307" s="63" t="s">
        <v>186</v>
      </c>
      <c r="E307" s="65" t="s">
        <v>187</v>
      </c>
      <c r="F307" s="65" t="s">
        <v>190</v>
      </c>
      <c r="G307" s="63" t="s">
        <v>191</v>
      </c>
      <c r="H307" s="63">
        <v>217</v>
      </c>
      <c r="I307" s="65" t="s">
        <v>165</v>
      </c>
      <c r="J307" s="63">
        <v>4782</v>
      </c>
      <c r="K307" s="64">
        <v>3839.47</v>
      </c>
      <c r="L307" s="63" t="s">
        <v>2200</v>
      </c>
      <c r="M307" s="65" t="str">
        <f t="shared" si="4"/>
        <v>SERVENGOLINDA NOVA - MAPÓ DE BRITA</v>
      </c>
      <c r="N307" s="85" t="s">
        <v>191</v>
      </c>
    </row>
    <row r="308" spans="2:14" hidden="1" x14ac:dyDescent="0.25">
      <c r="B308" s="91">
        <v>46095</v>
      </c>
      <c r="C308" s="63">
        <v>1</v>
      </c>
      <c r="D308" s="63" t="s">
        <v>192</v>
      </c>
      <c r="E308" s="65" t="s">
        <v>287</v>
      </c>
      <c r="F308" s="65" t="s">
        <v>166</v>
      </c>
      <c r="G308" s="63" t="s">
        <v>164</v>
      </c>
      <c r="H308" s="63">
        <v>58</v>
      </c>
      <c r="I308" s="65" t="s">
        <v>175</v>
      </c>
      <c r="J308" s="63">
        <v>285</v>
      </c>
      <c r="K308" s="64">
        <v>611.61</v>
      </c>
      <c r="L308" s="63" t="s">
        <v>2201</v>
      </c>
      <c r="M308" s="65" t="str">
        <f t="shared" si="4"/>
        <v>GRANORTEUA SAO LUISBRITA 0</v>
      </c>
      <c r="N308" s="85" t="s">
        <v>224</v>
      </c>
    </row>
    <row r="309" spans="2:14" hidden="1" x14ac:dyDescent="0.25">
      <c r="B309" s="91">
        <v>46095</v>
      </c>
      <c r="C309" s="63">
        <v>1</v>
      </c>
      <c r="D309" s="63" t="s">
        <v>283</v>
      </c>
      <c r="E309" s="65" t="s">
        <v>215</v>
      </c>
      <c r="F309" s="65" t="s">
        <v>166</v>
      </c>
      <c r="G309" s="63" t="s">
        <v>164</v>
      </c>
      <c r="H309" s="63">
        <v>58</v>
      </c>
      <c r="I309" s="65" t="s">
        <v>175</v>
      </c>
      <c r="J309" s="63">
        <v>2576</v>
      </c>
      <c r="K309" s="64">
        <v>552.80999999999995</v>
      </c>
      <c r="L309" s="63" t="s">
        <v>2202</v>
      </c>
      <c r="M309" s="65" t="str">
        <f t="shared" si="4"/>
        <v>GRANORTEUA SAO LUISBRITA 0</v>
      </c>
      <c r="N309" s="85" t="s">
        <v>224</v>
      </c>
    </row>
    <row r="310" spans="2:14" hidden="1" x14ac:dyDescent="0.25">
      <c r="B310" s="91">
        <v>46095</v>
      </c>
      <c r="C310" s="63">
        <v>1</v>
      </c>
      <c r="D310" s="63" t="s">
        <v>213</v>
      </c>
      <c r="E310" s="65" t="s">
        <v>178</v>
      </c>
      <c r="F310" s="65" t="s">
        <v>166</v>
      </c>
      <c r="G310" s="63" t="s">
        <v>164</v>
      </c>
      <c r="H310" s="63">
        <v>58</v>
      </c>
      <c r="I310" s="65" t="s">
        <v>175</v>
      </c>
      <c r="J310" s="63">
        <v>5068</v>
      </c>
      <c r="K310" s="64">
        <v>1087.5899999999999</v>
      </c>
      <c r="L310" s="63" t="s">
        <v>2203</v>
      </c>
      <c r="M310" s="65" t="str">
        <f t="shared" si="4"/>
        <v>GRANORTEUA SAO LUISBRITA 0</v>
      </c>
      <c r="N310" s="85" t="s">
        <v>224</v>
      </c>
    </row>
    <row r="311" spans="2:14" hidden="1" x14ac:dyDescent="0.25">
      <c r="B311" s="91">
        <v>46095</v>
      </c>
      <c r="C311" s="63">
        <v>1</v>
      </c>
      <c r="D311" s="63" t="s">
        <v>193</v>
      </c>
      <c r="E311" s="65" t="s">
        <v>285</v>
      </c>
      <c r="F311" s="65" t="s">
        <v>166</v>
      </c>
      <c r="G311" s="63" t="s">
        <v>111</v>
      </c>
      <c r="H311" s="63">
        <v>79</v>
      </c>
      <c r="I311" s="65" t="s">
        <v>169</v>
      </c>
      <c r="J311" s="63">
        <v>2572</v>
      </c>
      <c r="K311" s="64">
        <v>751.8</v>
      </c>
      <c r="L311" s="63" t="s">
        <v>2204</v>
      </c>
      <c r="M311" s="65" t="str">
        <f t="shared" si="4"/>
        <v>GRANORTEBEIRA RIOPULMÃOZINHO</v>
      </c>
      <c r="N311" s="85" t="s">
        <v>111</v>
      </c>
    </row>
    <row r="312" spans="2:14" hidden="1" x14ac:dyDescent="0.25">
      <c r="B312" s="91">
        <v>46095</v>
      </c>
      <c r="C312" s="63">
        <v>1</v>
      </c>
      <c r="D312" s="63" t="s">
        <v>193</v>
      </c>
      <c r="E312" s="65" t="s">
        <v>285</v>
      </c>
      <c r="F312" s="65" t="s">
        <v>166</v>
      </c>
      <c r="G312" s="63" t="s">
        <v>111</v>
      </c>
      <c r="H312" s="63">
        <v>79</v>
      </c>
      <c r="I312" s="65" t="s">
        <v>172</v>
      </c>
      <c r="J312" s="63">
        <v>2828</v>
      </c>
      <c r="K312" s="64">
        <v>826.62</v>
      </c>
      <c r="L312" s="63" t="s">
        <v>2205</v>
      </c>
      <c r="M312" s="65" t="str">
        <f t="shared" si="4"/>
        <v>GRANORTEBEIRA RIOBICA CORRIDA</v>
      </c>
      <c r="N312" s="85" t="s">
        <v>111</v>
      </c>
    </row>
    <row r="313" spans="2:14" hidden="1" x14ac:dyDescent="0.25">
      <c r="B313" s="91">
        <v>46095</v>
      </c>
      <c r="C313" s="63">
        <v>1</v>
      </c>
      <c r="D313" s="63" t="s">
        <v>181</v>
      </c>
      <c r="E313" s="65" t="s">
        <v>182</v>
      </c>
      <c r="F313" s="65" t="s">
        <v>166</v>
      </c>
      <c r="G313" s="63" t="s">
        <v>824</v>
      </c>
      <c r="H313" s="63">
        <v>78</v>
      </c>
      <c r="I313" s="65" t="s">
        <v>169</v>
      </c>
      <c r="J313" s="63">
        <v>2698</v>
      </c>
      <c r="K313" s="64">
        <v>778.64</v>
      </c>
      <c r="L313" s="63" t="s">
        <v>2206</v>
      </c>
      <c r="M313" s="65" t="str">
        <f t="shared" si="4"/>
        <v>GRANORTECRUZAMENTO MA 201/202 (METROPOLITANA)PULMÃOZINHO</v>
      </c>
      <c r="N313" s="85" t="s">
        <v>108</v>
      </c>
    </row>
    <row r="314" spans="2:14" hidden="1" x14ac:dyDescent="0.25">
      <c r="B314" s="91">
        <v>46095</v>
      </c>
      <c r="C314" s="63">
        <v>1</v>
      </c>
      <c r="D314" s="63" t="s">
        <v>1948</v>
      </c>
      <c r="E314" s="65" t="s">
        <v>1949</v>
      </c>
      <c r="F314" s="65" t="s">
        <v>190</v>
      </c>
      <c r="G314" s="63" t="s">
        <v>191</v>
      </c>
      <c r="H314" s="63">
        <v>217</v>
      </c>
      <c r="I314" s="65" t="s">
        <v>165</v>
      </c>
      <c r="J314" s="63">
        <v>475</v>
      </c>
      <c r="K314" s="64">
        <v>3813.78</v>
      </c>
      <c r="L314" s="63" t="s">
        <v>2207</v>
      </c>
      <c r="M314" s="65" t="str">
        <f t="shared" si="4"/>
        <v>SERVENGOLINDA NOVA - MAPÓ DE BRITA</v>
      </c>
      <c r="N314" s="85" t="s">
        <v>191</v>
      </c>
    </row>
    <row r="315" spans="2:14" hidden="1" x14ac:dyDescent="0.25">
      <c r="B315" s="91">
        <v>46096</v>
      </c>
      <c r="C315" s="63">
        <v>1</v>
      </c>
      <c r="D315" s="63" t="s">
        <v>213</v>
      </c>
      <c r="E315" s="65" t="s">
        <v>178</v>
      </c>
      <c r="F315" s="65" t="s">
        <v>190</v>
      </c>
      <c r="G315" s="63" t="s">
        <v>191</v>
      </c>
      <c r="H315" s="63">
        <v>217</v>
      </c>
      <c r="I315" s="65" t="s">
        <v>165</v>
      </c>
      <c r="J315" s="63">
        <v>4638</v>
      </c>
      <c r="K315" s="64">
        <v>3723.85</v>
      </c>
      <c r="L315" s="63" t="s">
        <v>2208</v>
      </c>
      <c r="M315" s="65" t="str">
        <f t="shared" si="4"/>
        <v>SERVENGOLINDA NOVA - MAPÓ DE BRITA</v>
      </c>
      <c r="N315" s="85" t="s">
        <v>191</v>
      </c>
    </row>
    <row r="316" spans="2:14" hidden="1" x14ac:dyDescent="0.25">
      <c r="B316" s="91">
        <v>46097</v>
      </c>
      <c r="C316" s="63">
        <v>1</v>
      </c>
      <c r="D316" s="63" t="s">
        <v>170</v>
      </c>
      <c r="E316" s="65" t="s">
        <v>171</v>
      </c>
      <c r="F316" s="65" t="s">
        <v>166</v>
      </c>
      <c r="G316" s="63" t="s">
        <v>824</v>
      </c>
      <c r="H316" s="63">
        <v>78</v>
      </c>
      <c r="I316" s="65" t="s">
        <v>169</v>
      </c>
      <c r="J316" s="63">
        <v>2611</v>
      </c>
      <c r="K316" s="64">
        <v>753.53</v>
      </c>
      <c r="L316" s="63" t="s">
        <v>2209</v>
      </c>
      <c r="M316" s="65" t="str">
        <f t="shared" si="4"/>
        <v>GRANORTECRUZAMENTO MA 201/202 (METROPOLITANA)PULMÃOZINHO</v>
      </c>
      <c r="N316" s="85" t="s">
        <v>108</v>
      </c>
    </row>
    <row r="317" spans="2:14" hidden="1" x14ac:dyDescent="0.25">
      <c r="B317" s="91">
        <v>46097</v>
      </c>
      <c r="C317" s="63">
        <v>1</v>
      </c>
      <c r="D317" s="63" t="s">
        <v>188</v>
      </c>
      <c r="E317" s="65" t="s">
        <v>189</v>
      </c>
      <c r="F317" s="65" t="s">
        <v>166</v>
      </c>
      <c r="G317" s="63" t="s">
        <v>164</v>
      </c>
      <c r="H317" s="63">
        <v>58</v>
      </c>
      <c r="I317" s="65" t="s">
        <v>175</v>
      </c>
      <c r="J317" s="63">
        <v>496</v>
      </c>
      <c r="K317" s="64">
        <v>1064.42</v>
      </c>
      <c r="L317" s="63" t="s">
        <v>2210</v>
      </c>
      <c r="M317" s="65" t="str">
        <f t="shared" si="4"/>
        <v>GRANORTEUA SAO LUISBRITA 0</v>
      </c>
      <c r="N317" s="85" t="s">
        <v>224</v>
      </c>
    </row>
    <row r="318" spans="2:14" hidden="1" x14ac:dyDescent="0.25">
      <c r="B318" s="91">
        <v>46097</v>
      </c>
      <c r="C318" s="63">
        <v>1</v>
      </c>
      <c r="D318" s="63" t="s">
        <v>203</v>
      </c>
      <c r="E318" s="65" t="s">
        <v>204</v>
      </c>
      <c r="F318" s="65" t="s">
        <v>166</v>
      </c>
      <c r="G318" s="63" t="s">
        <v>191</v>
      </c>
      <c r="H318" s="63">
        <v>243</v>
      </c>
      <c r="I318" s="65" t="s">
        <v>165</v>
      </c>
      <c r="J318" s="63">
        <v>5116</v>
      </c>
      <c r="K318" s="64">
        <v>4599.8</v>
      </c>
      <c r="L318" s="63" t="s">
        <v>2211</v>
      </c>
      <c r="M318" s="65" t="str">
        <f t="shared" si="4"/>
        <v>GRANORTEOLINDA NOVA - MAPÓ DE BRITA</v>
      </c>
      <c r="N318" s="85" t="s">
        <v>191</v>
      </c>
    </row>
    <row r="319" spans="2:14" hidden="1" x14ac:dyDescent="0.25">
      <c r="B319" s="91">
        <v>46097</v>
      </c>
      <c r="C319" s="63">
        <v>1</v>
      </c>
      <c r="D319" s="63" t="s">
        <v>199</v>
      </c>
      <c r="E319" s="65" t="s">
        <v>180</v>
      </c>
      <c r="F319" s="65" t="s">
        <v>166</v>
      </c>
      <c r="G319" s="63" t="s">
        <v>111</v>
      </c>
      <c r="H319" s="63">
        <v>79</v>
      </c>
      <c r="I319" s="65" t="s">
        <v>169</v>
      </c>
      <c r="J319" s="63">
        <v>2646</v>
      </c>
      <c r="K319" s="64">
        <v>773.43</v>
      </c>
      <c r="L319" s="63" t="s">
        <v>2212</v>
      </c>
      <c r="M319" s="65" t="str">
        <f t="shared" si="4"/>
        <v>GRANORTEBEIRA RIOPULMÃOZINHO</v>
      </c>
      <c r="N319" s="85" t="s">
        <v>111</v>
      </c>
    </row>
    <row r="320" spans="2:14" x14ac:dyDescent="0.25">
      <c r="B320" s="91">
        <v>46097</v>
      </c>
      <c r="C320" s="63">
        <v>1</v>
      </c>
      <c r="D320" s="63" t="s">
        <v>162</v>
      </c>
      <c r="E320" s="65" t="s">
        <v>281</v>
      </c>
      <c r="F320" s="65" t="s">
        <v>166</v>
      </c>
      <c r="G320" s="63" t="s">
        <v>2123</v>
      </c>
      <c r="H320" s="63">
        <v>60</v>
      </c>
      <c r="I320" s="65" t="s">
        <v>172</v>
      </c>
      <c r="J320" s="63">
        <v>2458</v>
      </c>
      <c r="K320" s="64">
        <v>545.67999999999995</v>
      </c>
      <c r="L320" s="63" t="s">
        <v>2213</v>
      </c>
      <c r="M320" s="65" t="str">
        <f t="shared" si="4"/>
        <v>GRANORTEVIADUTO DO CAFEBICA CORRIDA</v>
      </c>
      <c r="N320" s="85" t="s">
        <v>2854</v>
      </c>
    </row>
    <row r="321" spans="2:14" hidden="1" x14ac:dyDescent="0.25">
      <c r="B321" s="91">
        <v>46097</v>
      </c>
      <c r="C321" s="63">
        <v>1</v>
      </c>
      <c r="D321" s="63" t="s">
        <v>186</v>
      </c>
      <c r="E321" s="65" t="s">
        <v>187</v>
      </c>
      <c r="F321" s="65" t="s">
        <v>190</v>
      </c>
      <c r="G321" s="63" t="s">
        <v>191</v>
      </c>
      <c r="H321" s="63">
        <v>217</v>
      </c>
      <c r="I321" s="65" t="s">
        <v>165</v>
      </c>
      <c r="J321" s="63">
        <v>490</v>
      </c>
      <c r="K321" s="64">
        <v>3934.21</v>
      </c>
      <c r="L321" s="63" t="s">
        <v>2214</v>
      </c>
      <c r="M321" s="65" t="str">
        <f t="shared" si="4"/>
        <v>SERVENGOLINDA NOVA - MAPÓ DE BRITA</v>
      </c>
      <c r="N321" s="85" t="s">
        <v>191</v>
      </c>
    </row>
    <row r="322" spans="2:14" hidden="1" x14ac:dyDescent="0.25">
      <c r="B322" s="91">
        <v>46097</v>
      </c>
      <c r="C322" s="63">
        <v>1</v>
      </c>
      <c r="D322" s="63" t="s">
        <v>170</v>
      </c>
      <c r="E322" s="65" t="s">
        <v>171</v>
      </c>
      <c r="F322" s="65" t="s">
        <v>166</v>
      </c>
      <c r="G322" s="63" t="s">
        <v>824</v>
      </c>
      <c r="H322" s="63">
        <v>78</v>
      </c>
      <c r="I322" s="65" t="s">
        <v>169</v>
      </c>
      <c r="J322" s="63">
        <v>2596</v>
      </c>
      <c r="K322" s="64">
        <v>749.21</v>
      </c>
      <c r="L322" s="63" t="s">
        <v>2215</v>
      </c>
      <c r="M322" s="65" t="str">
        <f t="shared" si="4"/>
        <v>GRANORTECRUZAMENTO MA 201/202 (METROPOLITANA)PULMÃOZINHO</v>
      </c>
      <c r="N322" s="85" t="s">
        <v>108</v>
      </c>
    </row>
    <row r="323" spans="2:14" hidden="1" x14ac:dyDescent="0.25">
      <c r="B323" s="91">
        <v>46097</v>
      </c>
      <c r="C323" s="63">
        <v>1</v>
      </c>
      <c r="D323" s="63" t="s">
        <v>167</v>
      </c>
      <c r="E323" s="65" t="s">
        <v>168</v>
      </c>
      <c r="F323" s="65" t="s">
        <v>166</v>
      </c>
      <c r="G323" s="63" t="s">
        <v>824</v>
      </c>
      <c r="H323" s="63">
        <v>78</v>
      </c>
      <c r="I323" s="65" t="s">
        <v>169</v>
      </c>
      <c r="J323" s="63">
        <v>269</v>
      </c>
      <c r="K323" s="64">
        <v>776.33</v>
      </c>
      <c r="L323" s="63" t="s">
        <v>2216</v>
      </c>
      <c r="M323" s="65" t="str">
        <f t="shared" si="4"/>
        <v>GRANORTECRUZAMENTO MA 201/202 (METROPOLITANA)PULMÃOZINHO</v>
      </c>
      <c r="N323" s="85" t="s">
        <v>108</v>
      </c>
    </row>
    <row r="324" spans="2:14" hidden="1" x14ac:dyDescent="0.25">
      <c r="B324" s="91">
        <v>46097</v>
      </c>
      <c r="C324" s="63">
        <v>1</v>
      </c>
      <c r="D324" s="63" t="s">
        <v>167</v>
      </c>
      <c r="E324" s="65" t="s">
        <v>168</v>
      </c>
      <c r="F324" s="65" t="s">
        <v>166</v>
      </c>
      <c r="G324" s="63" t="s">
        <v>824</v>
      </c>
      <c r="H324" s="63">
        <v>78</v>
      </c>
      <c r="I324" s="65" t="s">
        <v>169</v>
      </c>
      <c r="J324" s="63">
        <v>2564</v>
      </c>
      <c r="K324" s="64">
        <v>739.97</v>
      </c>
      <c r="L324" s="63" t="s">
        <v>2217</v>
      </c>
      <c r="M324" s="65" t="str">
        <f t="shared" si="4"/>
        <v>GRANORTECRUZAMENTO MA 201/202 (METROPOLITANA)PULMÃOZINHO</v>
      </c>
      <c r="N324" s="85" t="s">
        <v>108</v>
      </c>
    </row>
    <row r="325" spans="2:14" hidden="1" x14ac:dyDescent="0.25">
      <c r="B325" s="91">
        <v>46097</v>
      </c>
      <c r="C325" s="63">
        <v>1</v>
      </c>
      <c r="D325" s="63" t="s">
        <v>210</v>
      </c>
      <c r="E325" s="65" t="s">
        <v>211</v>
      </c>
      <c r="F325" s="65" t="s">
        <v>166</v>
      </c>
      <c r="G325" s="63" t="s">
        <v>191</v>
      </c>
      <c r="H325" s="63">
        <v>243</v>
      </c>
      <c r="I325" s="65" t="s">
        <v>165</v>
      </c>
      <c r="J325" s="63">
        <v>5552</v>
      </c>
      <c r="K325" s="64">
        <v>4991.8</v>
      </c>
      <c r="L325" s="63" t="s">
        <v>2218</v>
      </c>
      <c r="M325" s="65" t="str">
        <f t="shared" ref="M325:M388" si="5">_xlfn.CONCAT(F325&amp;G325&amp;I325)</f>
        <v>GRANORTEOLINDA NOVA - MAPÓ DE BRITA</v>
      </c>
      <c r="N325" s="85" t="s">
        <v>191</v>
      </c>
    </row>
    <row r="326" spans="2:14" x14ac:dyDescent="0.25">
      <c r="B326" s="91">
        <v>46097</v>
      </c>
      <c r="C326" s="63">
        <v>1</v>
      </c>
      <c r="D326" s="63" t="s">
        <v>162</v>
      </c>
      <c r="E326" s="65" t="s">
        <v>281</v>
      </c>
      <c r="F326" s="65" t="s">
        <v>166</v>
      </c>
      <c r="G326" s="63" t="s">
        <v>2123</v>
      </c>
      <c r="H326" s="63">
        <v>60</v>
      </c>
      <c r="I326" s="65" t="s">
        <v>172</v>
      </c>
      <c r="J326" s="63">
        <v>285</v>
      </c>
      <c r="K326" s="64">
        <v>632.70000000000005</v>
      </c>
      <c r="L326" s="63" t="s">
        <v>2219</v>
      </c>
      <c r="M326" s="65" t="str">
        <f t="shared" si="5"/>
        <v>GRANORTEVIADUTO DO CAFEBICA CORRIDA</v>
      </c>
      <c r="N326" s="85" t="s">
        <v>2854</v>
      </c>
    </row>
    <row r="327" spans="2:14" hidden="1" x14ac:dyDescent="0.25">
      <c r="B327" s="91">
        <v>46097</v>
      </c>
      <c r="C327" s="63">
        <v>1</v>
      </c>
      <c r="D327" s="63" t="s">
        <v>202</v>
      </c>
      <c r="E327" s="65" t="s">
        <v>214</v>
      </c>
      <c r="F327" s="65" t="s">
        <v>166</v>
      </c>
      <c r="G327" s="63" t="s">
        <v>191</v>
      </c>
      <c r="H327" s="63">
        <v>243</v>
      </c>
      <c r="I327" s="65" t="s">
        <v>165</v>
      </c>
      <c r="J327" s="63">
        <v>6346</v>
      </c>
      <c r="K327" s="64">
        <v>5705.69</v>
      </c>
      <c r="L327" s="63" t="s">
        <v>2220</v>
      </c>
      <c r="M327" s="65" t="str">
        <f t="shared" si="5"/>
        <v>GRANORTEOLINDA NOVA - MAPÓ DE BRITA</v>
      </c>
      <c r="N327" s="85" t="s">
        <v>191</v>
      </c>
    </row>
    <row r="328" spans="2:14" hidden="1" x14ac:dyDescent="0.25">
      <c r="B328" s="91">
        <v>46097</v>
      </c>
      <c r="C328" s="63">
        <v>1</v>
      </c>
      <c r="D328" s="63" t="s">
        <v>199</v>
      </c>
      <c r="E328" s="65" t="s">
        <v>180</v>
      </c>
      <c r="F328" s="65" t="s">
        <v>166</v>
      </c>
      <c r="G328" s="63" t="s">
        <v>111</v>
      </c>
      <c r="H328" s="63">
        <v>79</v>
      </c>
      <c r="I328" s="65" t="s">
        <v>169</v>
      </c>
      <c r="J328" s="63">
        <v>2708</v>
      </c>
      <c r="K328" s="64">
        <v>791.55</v>
      </c>
      <c r="L328" s="63" t="s">
        <v>2221</v>
      </c>
      <c r="M328" s="65" t="str">
        <f t="shared" si="5"/>
        <v>GRANORTEBEIRA RIOPULMÃOZINHO</v>
      </c>
      <c r="N328" s="85" t="s">
        <v>111</v>
      </c>
    </row>
    <row r="329" spans="2:14" hidden="1" x14ac:dyDescent="0.25">
      <c r="B329" s="91">
        <v>46097</v>
      </c>
      <c r="C329" s="63">
        <v>1</v>
      </c>
      <c r="D329" s="63" t="s">
        <v>193</v>
      </c>
      <c r="E329" s="65" t="s">
        <v>285</v>
      </c>
      <c r="F329" s="65" t="s">
        <v>166</v>
      </c>
      <c r="G329" s="63" t="s">
        <v>111</v>
      </c>
      <c r="H329" s="63">
        <v>79</v>
      </c>
      <c r="I329" s="65" t="s">
        <v>169</v>
      </c>
      <c r="J329" s="63">
        <v>257</v>
      </c>
      <c r="K329" s="64">
        <v>751.21</v>
      </c>
      <c r="L329" s="63" t="s">
        <v>2222</v>
      </c>
      <c r="M329" s="65" t="str">
        <f t="shared" si="5"/>
        <v>GRANORTEBEIRA RIOPULMÃOZINHO</v>
      </c>
      <c r="N329" s="85" t="s">
        <v>111</v>
      </c>
    </row>
    <row r="330" spans="2:14" hidden="1" x14ac:dyDescent="0.25">
      <c r="B330" s="91">
        <v>46097</v>
      </c>
      <c r="C330" s="63">
        <v>1</v>
      </c>
      <c r="D330" s="63" t="s">
        <v>193</v>
      </c>
      <c r="E330" s="65" t="s">
        <v>285</v>
      </c>
      <c r="F330" s="65" t="s">
        <v>166</v>
      </c>
      <c r="G330" s="63" t="s">
        <v>111</v>
      </c>
      <c r="H330" s="63">
        <v>79</v>
      </c>
      <c r="I330" s="65" t="s">
        <v>172</v>
      </c>
      <c r="J330" s="63">
        <v>2588</v>
      </c>
      <c r="K330" s="64">
        <v>756.47</v>
      </c>
      <c r="L330" s="63" t="s">
        <v>2223</v>
      </c>
      <c r="M330" s="65" t="str">
        <f t="shared" si="5"/>
        <v>GRANORTEBEIRA RIOBICA CORRIDA</v>
      </c>
      <c r="N330" s="85" t="s">
        <v>111</v>
      </c>
    </row>
    <row r="331" spans="2:14" hidden="1" x14ac:dyDescent="0.25">
      <c r="B331" s="91">
        <v>46097</v>
      </c>
      <c r="C331" s="63">
        <v>1</v>
      </c>
      <c r="D331" s="63" t="s">
        <v>188</v>
      </c>
      <c r="E331" s="65" t="s">
        <v>189</v>
      </c>
      <c r="F331" s="65" t="s">
        <v>166</v>
      </c>
      <c r="G331" s="63" t="s">
        <v>191</v>
      </c>
      <c r="H331" s="63">
        <v>243</v>
      </c>
      <c r="I331" s="65" t="s">
        <v>165</v>
      </c>
      <c r="J331" s="63">
        <v>6308</v>
      </c>
      <c r="K331" s="64">
        <v>5671.52</v>
      </c>
      <c r="L331" s="63" t="s">
        <v>2224</v>
      </c>
      <c r="M331" s="65" t="str">
        <f t="shared" si="5"/>
        <v>GRANORTEOLINDA NOVA - MAPÓ DE BRITA</v>
      </c>
      <c r="N331" s="85" t="s">
        <v>191</v>
      </c>
    </row>
    <row r="332" spans="2:14" hidden="1" x14ac:dyDescent="0.25">
      <c r="B332" s="91">
        <v>46097</v>
      </c>
      <c r="C332" s="63">
        <v>1</v>
      </c>
      <c r="D332" s="63" t="s">
        <v>283</v>
      </c>
      <c r="E332" s="65" t="s">
        <v>215</v>
      </c>
      <c r="F332" s="65" t="s">
        <v>166</v>
      </c>
      <c r="G332" s="63" t="s">
        <v>164</v>
      </c>
      <c r="H332" s="63">
        <v>58</v>
      </c>
      <c r="I332" s="65" t="s">
        <v>175</v>
      </c>
      <c r="J332" s="63">
        <v>2694</v>
      </c>
      <c r="K332" s="64">
        <v>578.13</v>
      </c>
      <c r="L332" s="63" t="s">
        <v>2225</v>
      </c>
      <c r="M332" s="65" t="str">
        <f t="shared" si="5"/>
        <v>GRANORTEUA SAO LUISBRITA 0</v>
      </c>
      <c r="N332" s="85" t="s">
        <v>224</v>
      </c>
    </row>
    <row r="333" spans="2:14" hidden="1" x14ac:dyDescent="0.25">
      <c r="B333" s="91">
        <v>46097</v>
      </c>
      <c r="C333" s="63">
        <v>1</v>
      </c>
      <c r="D333" s="63" t="s">
        <v>286</v>
      </c>
      <c r="E333" s="65" t="s">
        <v>506</v>
      </c>
      <c r="F333" s="65" t="s">
        <v>166</v>
      </c>
      <c r="G333" s="63" t="s">
        <v>111</v>
      </c>
      <c r="H333" s="63">
        <v>79</v>
      </c>
      <c r="I333" s="65" t="s">
        <v>169</v>
      </c>
      <c r="J333" s="63">
        <v>2494</v>
      </c>
      <c r="K333" s="64">
        <v>729</v>
      </c>
      <c r="L333" s="63" t="s">
        <v>2226</v>
      </c>
      <c r="M333" s="65" t="str">
        <f t="shared" si="5"/>
        <v>GRANORTEBEIRA RIOPULMÃOZINHO</v>
      </c>
      <c r="N333" s="85" t="s">
        <v>111</v>
      </c>
    </row>
    <row r="334" spans="2:14" hidden="1" x14ac:dyDescent="0.25">
      <c r="B334" s="91">
        <v>46097</v>
      </c>
      <c r="C334" s="63">
        <v>1</v>
      </c>
      <c r="D334" s="63" t="s">
        <v>286</v>
      </c>
      <c r="E334" s="65" t="s">
        <v>506</v>
      </c>
      <c r="F334" s="65" t="s">
        <v>166</v>
      </c>
      <c r="G334" s="63" t="s">
        <v>111</v>
      </c>
      <c r="H334" s="63">
        <v>79</v>
      </c>
      <c r="I334" s="65" t="s">
        <v>169</v>
      </c>
      <c r="J334" s="63">
        <v>2602</v>
      </c>
      <c r="K334" s="64">
        <v>760.56</v>
      </c>
      <c r="L334" s="63" t="s">
        <v>2227</v>
      </c>
      <c r="M334" s="65" t="str">
        <f t="shared" si="5"/>
        <v>GRANORTEBEIRA RIOPULMÃOZINHO</v>
      </c>
      <c r="N334" s="85" t="s">
        <v>111</v>
      </c>
    </row>
    <row r="335" spans="2:14" hidden="1" x14ac:dyDescent="0.25">
      <c r="B335" s="91">
        <v>46097</v>
      </c>
      <c r="C335" s="63">
        <v>1</v>
      </c>
      <c r="D335" s="63" t="s">
        <v>192</v>
      </c>
      <c r="E335" s="65" t="s">
        <v>287</v>
      </c>
      <c r="F335" s="65" t="s">
        <v>166</v>
      </c>
      <c r="G335" s="63" t="s">
        <v>164</v>
      </c>
      <c r="H335" s="63">
        <v>58</v>
      </c>
      <c r="I335" s="65" t="s">
        <v>175</v>
      </c>
      <c r="J335" s="63">
        <v>5078</v>
      </c>
      <c r="K335" s="64">
        <v>1089.74</v>
      </c>
      <c r="L335" s="63" t="s">
        <v>2228</v>
      </c>
      <c r="M335" s="65" t="str">
        <f t="shared" si="5"/>
        <v>GRANORTEUA SAO LUISBRITA 0</v>
      </c>
      <c r="N335" s="85" t="s">
        <v>224</v>
      </c>
    </row>
    <row r="336" spans="2:14" hidden="1" x14ac:dyDescent="0.25">
      <c r="B336" s="91">
        <v>46097</v>
      </c>
      <c r="C336" s="63">
        <v>1</v>
      </c>
      <c r="D336" s="63" t="s">
        <v>192</v>
      </c>
      <c r="E336" s="65" t="s">
        <v>287</v>
      </c>
      <c r="F336" s="65" t="s">
        <v>166</v>
      </c>
      <c r="G336" s="63" t="s">
        <v>164</v>
      </c>
      <c r="H336" s="63">
        <v>58</v>
      </c>
      <c r="I336" s="65" t="s">
        <v>175</v>
      </c>
      <c r="J336" s="63">
        <v>4824</v>
      </c>
      <c r="K336" s="64">
        <v>1035.23</v>
      </c>
      <c r="L336" s="63" t="s">
        <v>2229</v>
      </c>
      <c r="M336" s="65" t="str">
        <f t="shared" si="5"/>
        <v>GRANORTEUA SAO LUISBRITA 0</v>
      </c>
      <c r="N336" s="85" t="s">
        <v>224</v>
      </c>
    </row>
    <row r="337" spans="2:14" hidden="1" x14ac:dyDescent="0.25">
      <c r="B337" s="91">
        <v>46097</v>
      </c>
      <c r="C337" s="63">
        <v>1</v>
      </c>
      <c r="D337" s="63" t="s">
        <v>192</v>
      </c>
      <c r="E337" s="65" t="s">
        <v>287</v>
      </c>
      <c r="F337" s="65" t="s">
        <v>163</v>
      </c>
      <c r="G337" s="63" t="s">
        <v>164</v>
      </c>
      <c r="H337" s="63">
        <v>52</v>
      </c>
      <c r="I337" s="65" t="s">
        <v>165</v>
      </c>
      <c r="J337" s="63">
        <v>4938</v>
      </c>
      <c r="K337" s="64">
        <v>950.07</v>
      </c>
      <c r="L337" s="63" t="s">
        <v>2230</v>
      </c>
      <c r="M337" s="65" t="str">
        <f t="shared" si="5"/>
        <v>BRASIL MINERACAOUA SAO LUISPÓ DE BRITA</v>
      </c>
      <c r="N337" s="85" t="s">
        <v>224</v>
      </c>
    </row>
    <row r="338" spans="2:14" hidden="1" x14ac:dyDescent="0.25">
      <c r="B338" s="91">
        <v>46097</v>
      </c>
      <c r="C338" s="63">
        <v>1</v>
      </c>
      <c r="D338" s="63" t="s">
        <v>186</v>
      </c>
      <c r="E338" s="65" t="s">
        <v>187</v>
      </c>
      <c r="F338" s="65" t="s">
        <v>166</v>
      </c>
      <c r="G338" s="63" t="s">
        <v>191</v>
      </c>
      <c r="H338" s="63">
        <v>243</v>
      </c>
      <c r="I338" s="65" t="s">
        <v>165</v>
      </c>
      <c r="J338" s="63">
        <v>5222</v>
      </c>
      <c r="K338" s="64">
        <v>4695.1000000000004</v>
      </c>
      <c r="L338" s="63" t="s">
        <v>2231</v>
      </c>
      <c r="M338" s="65" t="str">
        <f t="shared" si="5"/>
        <v>GRANORTEOLINDA NOVA - MAPÓ DE BRITA</v>
      </c>
      <c r="N338" s="85" t="s">
        <v>191</v>
      </c>
    </row>
    <row r="339" spans="2:14" hidden="1" x14ac:dyDescent="0.25">
      <c r="B339" s="91">
        <v>46097</v>
      </c>
      <c r="C339" s="63">
        <v>1</v>
      </c>
      <c r="D339" s="63" t="s">
        <v>181</v>
      </c>
      <c r="E339" s="65" t="s">
        <v>182</v>
      </c>
      <c r="F339" s="65" t="s">
        <v>166</v>
      </c>
      <c r="G339" s="63" t="s">
        <v>824</v>
      </c>
      <c r="H339" s="63">
        <v>78</v>
      </c>
      <c r="I339" s="65" t="s">
        <v>169</v>
      </c>
      <c r="J339" s="63">
        <v>2572</v>
      </c>
      <c r="K339" s="64">
        <v>742.28</v>
      </c>
      <c r="L339" s="63" t="s">
        <v>2232</v>
      </c>
      <c r="M339" s="65" t="str">
        <f t="shared" si="5"/>
        <v>GRANORTECRUZAMENTO MA 201/202 (METROPOLITANA)PULMÃOZINHO</v>
      </c>
      <c r="N339" s="85" t="s">
        <v>108</v>
      </c>
    </row>
    <row r="340" spans="2:14" hidden="1" x14ac:dyDescent="0.25">
      <c r="B340" s="91">
        <v>46097</v>
      </c>
      <c r="C340" s="63">
        <v>1</v>
      </c>
      <c r="D340" s="63" t="s">
        <v>181</v>
      </c>
      <c r="E340" s="65" t="s">
        <v>182</v>
      </c>
      <c r="F340" s="65" t="s">
        <v>166</v>
      </c>
      <c r="G340" s="63" t="s">
        <v>824</v>
      </c>
      <c r="H340" s="63">
        <v>78</v>
      </c>
      <c r="I340" s="65" t="s">
        <v>169</v>
      </c>
      <c r="J340" s="63">
        <v>2496</v>
      </c>
      <c r="K340" s="64">
        <v>720.35</v>
      </c>
      <c r="L340" s="63" t="s">
        <v>2233</v>
      </c>
      <c r="M340" s="65" t="str">
        <f t="shared" si="5"/>
        <v>GRANORTECRUZAMENTO MA 201/202 (METROPOLITANA)PULMÃOZINHO</v>
      </c>
      <c r="N340" s="85" t="s">
        <v>108</v>
      </c>
    </row>
    <row r="341" spans="2:14" hidden="1" x14ac:dyDescent="0.25">
      <c r="B341" s="91">
        <v>46097</v>
      </c>
      <c r="C341" s="63">
        <v>1</v>
      </c>
      <c r="D341" s="63" t="s">
        <v>200</v>
      </c>
      <c r="E341" s="65" t="s">
        <v>201</v>
      </c>
      <c r="F341" s="65" t="s">
        <v>190</v>
      </c>
      <c r="G341" s="63" t="s">
        <v>191</v>
      </c>
      <c r="H341" s="63">
        <v>217</v>
      </c>
      <c r="I341" s="65" t="s">
        <v>165</v>
      </c>
      <c r="J341" s="63">
        <v>490</v>
      </c>
      <c r="K341" s="64">
        <v>3934.21</v>
      </c>
      <c r="L341" s="63" t="s">
        <v>2234</v>
      </c>
      <c r="M341" s="65" t="str">
        <f t="shared" si="5"/>
        <v>SERVENGOLINDA NOVA - MAPÓ DE BRITA</v>
      </c>
      <c r="N341" s="85" t="s">
        <v>191</v>
      </c>
    </row>
    <row r="342" spans="2:14" hidden="1" x14ac:dyDescent="0.25">
      <c r="B342" s="91">
        <v>46097</v>
      </c>
      <c r="C342" s="63">
        <v>1</v>
      </c>
      <c r="D342" s="63" t="s">
        <v>213</v>
      </c>
      <c r="E342" s="65" t="s">
        <v>178</v>
      </c>
      <c r="F342" s="65" t="s">
        <v>166</v>
      </c>
      <c r="G342" s="63" t="s">
        <v>191</v>
      </c>
      <c r="H342" s="63">
        <v>243</v>
      </c>
      <c r="I342" s="65" t="s">
        <v>165</v>
      </c>
      <c r="J342" s="63">
        <v>4948</v>
      </c>
      <c r="K342" s="64">
        <v>4448.75</v>
      </c>
      <c r="L342" s="63" t="s">
        <v>2235</v>
      </c>
      <c r="M342" s="65" t="str">
        <f t="shared" si="5"/>
        <v>GRANORTEOLINDA NOVA - MAPÓ DE BRITA</v>
      </c>
      <c r="N342" s="85" t="s">
        <v>191</v>
      </c>
    </row>
    <row r="343" spans="2:14" hidden="1" x14ac:dyDescent="0.25">
      <c r="B343" s="91">
        <v>46097</v>
      </c>
      <c r="C343" s="63">
        <v>1</v>
      </c>
      <c r="D343" s="63" t="s">
        <v>219</v>
      </c>
      <c r="E343" s="65" t="s">
        <v>220</v>
      </c>
      <c r="F343" s="65" t="s">
        <v>166</v>
      </c>
      <c r="G343" s="63" t="s">
        <v>164</v>
      </c>
      <c r="H343" s="63">
        <v>58</v>
      </c>
      <c r="I343" s="65" t="s">
        <v>175</v>
      </c>
      <c r="J343" s="63">
        <v>611</v>
      </c>
      <c r="K343" s="64">
        <v>1311.21</v>
      </c>
      <c r="L343" s="63" t="s">
        <v>2236</v>
      </c>
      <c r="M343" s="65" t="str">
        <f t="shared" si="5"/>
        <v>GRANORTEUA SAO LUISBRITA 0</v>
      </c>
      <c r="N343" s="85" t="s">
        <v>224</v>
      </c>
    </row>
    <row r="344" spans="2:14" hidden="1" x14ac:dyDescent="0.25">
      <c r="B344" s="91">
        <v>46097</v>
      </c>
      <c r="C344" s="63">
        <v>1</v>
      </c>
      <c r="D344" s="63" t="s">
        <v>289</v>
      </c>
      <c r="E344" s="65" t="s">
        <v>290</v>
      </c>
      <c r="F344" s="65" t="s">
        <v>276</v>
      </c>
      <c r="G344" s="63" t="s">
        <v>2143</v>
      </c>
      <c r="H344" s="63">
        <v>281</v>
      </c>
      <c r="I344" s="65" t="s">
        <v>172</v>
      </c>
      <c r="J344" s="63">
        <v>4324</v>
      </c>
      <c r="K344" s="64">
        <v>3888.14</v>
      </c>
      <c r="L344" s="63" t="s">
        <v>2237</v>
      </c>
      <c r="M344" s="65" t="str">
        <f t="shared" si="5"/>
        <v>MINERADORA PORTO FRANCOSAO PEDRO DA AGUA BRANCABICA CORRIDA</v>
      </c>
      <c r="N344" s="85" t="s">
        <v>15</v>
      </c>
    </row>
    <row r="345" spans="2:14" hidden="1" x14ac:dyDescent="0.25">
      <c r="B345" s="91">
        <v>46097</v>
      </c>
      <c r="C345" s="63">
        <v>1</v>
      </c>
      <c r="D345" s="63" t="s">
        <v>183</v>
      </c>
      <c r="E345" s="65" t="s">
        <v>184</v>
      </c>
      <c r="F345" s="65" t="s">
        <v>166</v>
      </c>
      <c r="G345" s="63" t="s">
        <v>111</v>
      </c>
      <c r="H345" s="63">
        <v>79</v>
      </c>
      <c r="I345" s="65" t="s">
        <v>169</v>
      </c>
      <c r="J345" s="63">
        <v>2748</v>
      </c>
      <c r="K345" s="64">
        <v>803.24</v>
      </c>
      <c r="L345" s="63" t="s">
        <v>2238</v>
      </c>
      <c r="M345" s="65" t="str">
        <f t="shared" si="5"/>
        <v>GRANORTEBEIRA RIOPULMÃOZINHO</v>
      </c>
      <c r="N345" s="85" t="s">
        <v>111</v>
      </c>
    </row>
    <row r="346" spans="2:14" hidden="1" x14ac:dyDescent="0.25">
      <c r="B346" s="91">
        <v>46097</v>
      </c>
      <c r="C346" s="63">
        <v>1</v>
      </c>
      <c r="D346" s="63" t="s">
        <v>183</v>
      </c>
      <c r="E346" s="65" t="s">
        <v>184</v>
      </c>
      <c r="F346" s="65" t="s">
        <v>166</v>
      </c>
      <c r="G346" s="63" t="s">
        <v>111</v>
      </c>
      <c r="H346" s="63">
        <v>79</v>
      </c>
      <c r="I346" s="65" t="s">
        <v>172</v>
      </c>
      <c r="J346" s="63">
        <v>2738</v>
      </c>
      <c r="K346" s="64">
        <v>800.32</v>
      </c>
      <c r="L346" s="63" t="s">
        <v>2239</v>
      </c>
      <c r="M346" s="65" t="str">
        <f t="shared" si="5"/>
        <v>GRANORTEBEIRA RIOBICA CORRIDA</v>
      </c>
      <c r="N346" s="85" t="s">
        <v>111</v>
      </c>
    </row>
    <row r="347" spans="2:14" hidden="1" x14ac:dyDescent="0.25">
      <c r="B347" s="91">
        <v>46097</v>
      </c>
      <c r="C347" s="63">
        <v>1</v>
      </c>
      <c r="D347" s="63" t="s">
        <v>275</v>
      </c>
      <c r="E347" s="65" t="s">
        <v>217</v>
      </c>
      <c r="F347" s="65" t="s">
        <v>190</v>
      </c>
      <c r="G347" s="63" t="s">
        <v>212</v>
      </c>
      <c r="H347" s="63">
        <v>376</v>
      </c>
      <c r="I347" s="65" t="s">
        <v>165</v>
      </c>
      <c r="J347" s="63">
        <v>5046</v>
      </c>
      <c r="K347" s="64">
        <v>6071.35</v>
      </c>
      <c r="L347" s="63" t="s">
        <v>2240</v>
      </c>
      <c r="M347" s="65" t="str">
        <f t="shared" si="5"/>
        <v>SERVENGUSINA PINHEIROPÓ DE BRITA</v>
      </c>
      <c r="N347" s="85" t="s">
        <v>223</v>
      </c>
    </row>
    <row r="348" spans="2:14" hidden="1" x14ac:dyDescent="0.25">
      <c r="B348" s="91">
        <v>46097</v>
      </c>
      <c r="C348" s="63">
        <v>1</v>
      </c>
      <c r="D348" s="63" t="s">
        <v>1948</v>
      </c>
      <c r="E348" s="65" t="s">
        <v>1949</v>
      </c>
      <c r="F348" s="65" t="s">
        <v>166</v>
      </c>
      <c r="G348" s="63" t="s">
        <v>164</v>
      </c>
      <c r="H348" s="63">
        <v>58</v>
      </c>
      <c r="I348" s="65" t="s">
        <v>165</v>
      </c>
      <c r="J348" s="63">
        <v>471</v>
      </c>
      <c r="K348" s="64">
        <v>1010.77</v>
      </c>
      <c r="L348" s="63" t="s">
        <v>2241</v>
      </c>
      <c r="M348" s="65" t="str">
        <f t="shared" si="5"/>
        <v>GRANORTEUA SAO LUISPÓ DE BRITA</v>
      </c>
      <c r="N348" s="85" t="s">
        <v>224</v>
      </c>
    </row>
    <row r="349" spans="2:14" hidden="1" x14ac:dyDescent="0.25">
      <c r="B349" s="91">
        <v>46097</v>
      </c>
      <c r="C349" s="63">
        <v>1</v>
      </c>
      <c r="D349" s="63" t="s">
        <v>1948</v>
      </c>
      <c r="E349" s="65" t="s">
        <v>1949</v>
      </c>
      <c r="F349" s="65" t="s">
        <v>166</v>
      </c>
      <c r="G349" s="63" t="s">
        <v>191</v>
      </c>
      <c r="H349" s="63">
        <v>243</v>
      </c>
      <c r="I349" s="65" t="s">
        <v>165</v>
      </c>
      <c r="J349" s="63">
        <v>487</v>
      </c>
      <c r="K349" s="64">
        <v>4378.62</v>
      </c>
      <c r="L349" s="63" t="s">
        <v>2242</v>
      </c>
      <c r="M349" s="65" t="str">
        <f t="shared" si="5"/>
        <v>GRANORTEOLINDA NOVA - MAPÓ DE BRITA</v>
      </c>
      <c r="N349" s="85" t="s">
        <v>191</v>
      </c>
    </row>
    <row r="350" spans="2:14" hidden="1" x14ac:dyDescent="0.25">
      <c r="B350" s="91">
        <v>46098</v>
      </c>
      <c r="C350" s="63">
        <v>1</v>
      </c>
      <c r="D350" s="63" t="s">
        <v>170</v>
      </c>
      <c r="E350" s="65" t="s">
        <v>171</v>
      </c>
      <c r="F350" s="65" t="s">
        <v>166</v>
      </c>
      <c r="G350" s="63" t="s">
        <v>824</v>
      </c>
      <c r="H350" s="63">
        <v>78</v>
      </c>
      <c r="I350" s="65" t="s">
        <v>169</v>
      </c>
      <c r="J350" s="63">
        <v>2562</v>
      </c>
      <c r="K350" s="64">
        <v>739.39</v>
      </c>
      <c r="L350" s="63" t="s">
        <v>2243</v>
      </c>
      <c r="M350" s="65" t="str">
        <f t="shared" si="5"/>
        <v>GRANORTECRUZAMENTO MA 201/202 (METROPOLITANA)PULMÃOZINHO</v>
      </c>
      <c r="N350" s="85" t="s">
        <v>108</v>
      </c>
    </row>
    <row r="351" spans="2:14" x14ac:dyDescent="0.25">
      <c r="B351" s="91">
        <v>46098</v>
      </c>
      <c r="C351" s="63">
        <v>1</v>
      </c>
      <c r="D351" s="63" t="s">
        <v>162</v>
      </c>
      <c r="E351" s="65" t="s">
        <v>281</v>
      </c>
      <c r="F351" s="65" t="s">
        <v>166</v>
      </c>
      <c r="G351" s="63" t="s">
        <v>2123</v>
      </c>
      <c r="H351" s="63">
        <v>60</v>
      </c>
      <c r="I351" s="65" t="s">
        <v>172</v>
      </c>
      <c r="J351" s="63">
        <v>2582</v>
      </c>
      <c r="K351" s="64">
        <v>573.20000000000005</v>
      </c>
      <c r="L351" s="63" t="s">
        <v>2244</v>
      </c>
      <c r="M351" s="65" t="str">
        <f t="shared" si="5"/>
        <v>GRANORTEVIADUTO DO CAFEBICA CORRIDA</v>
      </c>
      <c r="N351" s="85" t="s">
        <v>2854</v>
      </c>
    </row>
    <row r="352" spans="2:14" hidden="1" x14ac:dyDescent="0.25">
      <c r="B352" s="91">
        <v>46098</v>
      </c>
      <c r="C352" s="63">
        <v>1</v>
      </c>
      <c r="D352" s="63" t="s">
        <v>202</v>
      </c>
      <c r="E352" s="65" t="s">
        <v>214</v>
      </c>
      <c r="F352" s="65" t="s">
        <v>166</v>
      </c>
      <c r="G352" s="63" t="s">
        <v>164</v>
      </c>
      <c r="H352" s="63">
        <v>58</v>
      </c>
      <c r="I352" s="65" t="s">
        <v>175</v>
      </c>
      <c r="J352" s="63">
        <v>510</v>
      </c>
      <c r="K352" s="64">
        <v>1094.46</v>
      </c>
      <c r="L352" s="63" t="s">
        <v>2245</v>
      </c>
      <c r="M352" s="65" t="str">
        <f t="shared" si="5"/>
        <v>GRANORTEUA SAO LUISBRITA 0</v>
      </c>
      <c r="N352" s="85" t="s">
        <v>224</v>
      </c>
    </row>
    <row r="353" spans="2:14" hidden="1" x14ac:dyDescent="0.25">
      <c r="B353" s="91">
        <v>46098</v>
      </c>
      <c r="C353" s="63">
        <v>1</v>
      </c>
      <c r="D353" s="63" t="s">
        <v>213</v>
      </c>
      <c r="E353" s="65" t="s">
        <v>178</v>
      </c>
      <c r="F353" s="65" t="s">
        <v>166</v>
      </c>
      <c r="G353" s="63" t="s">
        <v>223</v>
      </c>
      <c r="H353" s="63">
        <v>370</v>
      </c>
      <c r="I353" s="65" t="s">
        <v>165</v>
      </c>
      <c r="J353" s="63">
        <v>507</v>
      </c>
      <c r="K353" s="64">
        <v>6940.83</v>
      </c>
      <c r="L353" s="63" t="s">
        <v>2246</v>
      </c>
      <c r="M353" s="65" t="str">
        <f t="shared" si="5"/>
        <v>GRANORTEUA PINHEIRO - MAPÓ DE BRITA</v>
      </c>
      <c r="N353" s="85" t="s">
        <v>223</v>
      </c>
    </row>
    <row r="354" spans="2:14" hidden="1" x14ac:dyDescent="0.25">
      <c r="B354" s="91">
        <v>46098</v>
      </c>
      <c r="C354" s="63">
        <v>1</v>
      </c>
      <c r="D354" s="63" t="s">
        <v>219</v>
      </c>
      <c r="E354" s="65" t="s">
        <v>220</v>
      </c>
      <c r="F354" s="65" t="s">
        <v>163</v>
      </c>
      <c r="G354" s="63" t="s">
        <v>164</v>
      </c>
      <c r="H354" s="63">
        <v>52</v>
      </c>
      <c r="I354" s="65" t="s">
        <v>175</v>
      </c>
      <c r="J354" s="63">
        <v>898</v>
      </c>
      <c r="K354" s="64">
        <v>1727.75</v>
      </c>
      <c r="L354" s="63" t="s">
        <v>2247</v>
      </c>
      <c r="M354" s="65" t="str">
        <f t="shared" si="5"/>
        <v>BRASIL MINERACAOUA SAO LUISBRITA 0</v>
      </c>
      <c r="N354" s="85" t="s">
        <v>224</v>
      </c>
    </row>
    <row r="355" spans="2:14" hidden="1" x14ac:dyDescent="0.25">
      <c r="B355" s="91">
        <v>46098</v>
      </c>
      <c r="C355" s="63">
        <v>1</v>
      </c>
      <c r="D355" s="63" t="s">
        <v>219</v>
      </c>
      <c r="E355" s="65" t="s">
        <v>220</v>
      </c>
      <c r="F355" s="65" t="s">
        <v>163</v>
      </c>
      <c r="G355" s="63" t="s">
        <v>164</v>
      </c>
      <c r="H355" s="63">
        <v>52</v>
      </c>
      <c r="I355" s="65" t="s">
        <v>175</v>
      </c>
      <c r="J355" s="63">
        <v>878</v>
      </c>
      <c r="K355" s="64">
        <v>1689.27</v>
      </c>
      <c r="L355" s="63" t="s">
        <v>2248</v>
      </c>
      <c r="M355" s="65" t="str">
        <f t="shared" si="5"/>
        <v>BRASIL MINERACAOUA SAO LUISBRITA 0</v>
      </c>
      <c r="N355" s="85" t="s">
        <v>224</v>
      </c>
    </row>
    <row r="356" spans="2:14" hidden="1" x14ac:dyDescent="0.25">
      <c r="B356" s="91">
        <v>46098</v>
      </c>
      <c r="C356" s="63">
        <v>1</v>
      </c>
      <c r="D356" s="63" t="s">
        <v>199</v>
      </c>
      <c r="E356" s="65" t="s">
        <v>180</v>
      </c>
      <c r="F356" s="65" t="s">
        <v>166</v>
      </c>
      <c r="G356" s="63" t="s">
        <v>824</v>
      </c>
      <c r="H356" s="63">
        <v>78</v>
      </c>
      <c r="I356" s="65" t="s">
        <v>169</v>
      </c>
      <c r="J356" s="63">
        <v>2558</v>
      </c>
      <c r="K356" s="64">
        <v>738.24</v>
      </c>
      <c r="L356" s="63" t="s">
        <v>2249</v>
      </c>
      <c r="M356" s="65" t="str">
        <f t="shared" si="5"/>
        <v>GRANORTECRUZAMENTO MA 201/202 (METROPOLITANA)PULMÃOZINHO</v>
      </c>
      <c r="N356" s="85" t="s">
        <v>108</v>
      </c>
    </row>
    <row r="357" spans="2:14" hidden="1" x14ac:dyDescent="0.25">
      <c r="B357" s="91">
        <v>46098</v>
      </c>
      <c r="C357" s="63">
        <v>1</v>
      </c>
      <c r="D357" s="63" t="s">
        <v>205</v>
      </c>
      <c r="E357" s="65" t="s">
        <v>206</v>
      </c>
      <c r="F357" s="65" t="s">
        <v>276</v>
      </c>
      <c r="G357" s="63" t="s">
        <v>2143</v>
      </c>
      <c r="H357" s="63">
        <v>281</v>
      </c>
      <c r="I357" s="65" t="s">
        <v>172</v>
      </c>
      <c r="J357" s="63">
        <v>6596</v>
      </c>
      <c r="K357" s="64">
        <v>5931.12</v>
      </c>
      <c r="L357" s="63" t="s">
        <v>2250</v>
      </c>
      <c r="M357" s="65" t="str">
        <f t="shared" si="5"/>
        <v>MINERADORA PORTO FRANCOSAO PEDRO DA AGUA BRANCABICA CORRIDA</v>
      </c>
      <c r="N357" s="85" t="s">
        <v>15</v>
      </c>
    </row>
    <row r="358" spans="2:14" hidden="1" x14ac:dyDescent="0.25">
      <c r="B358" s="91">
        <v>46098</v>
      </c>
      <c r="C358" s="63">
        <v>1</v>
      </c>
      <c r="D358" s="63" t="s">
        <v>167</v>
      </c>
      <c r="E358" s="65" t="s">
        <v>168</v>
      </c>
      <c r="F358" s="65" t="s">
        <v>166</v>
      </c>
      <c r="G358" s="63" t="s">
        <v>824</v>
      </c>
      <c r="H358" s="63">
        <v>78</v>
      </c>
      <c r="I358" s="65" t="s">
        <v>169</v>
      </c>
      <c r="J358" s="63">
        <v>2756</v>
      </c>
      <c r="K358" s="64">
        <v>795.38</v>
      </c>
      <c r="L358" s="63" t="s">
        <v>2251</v>
      </c>
      <c r="M358" s="65" t="str">
        <f t="shared" si="5"/>
        <v>GRANORTECRUZAMENTO MA 201/202 (METROPOLITANA)PULMÃOZINHO</v>
      </c>
      <c r="N358" s="85" t="s">
        <v>108</v>
      </c>
    </row>
    <row r="359" spans="2:14" hidden="1" x14ac:dyDescent="0.25">
      <c r="B359" s="91">
        <v>46098</v>
      </c>
      <c r="C359" s="63">
        <v>1</v>
      </c>
      <c r="D359" s="63" t="s">
        <v>167</v>
      </c>
      <c r="E359" s="65" t="s">
        <v>168</v>
      </c>
      <c r="F359" s="65" t="s">
        <v>166</v>
      </c>
      <c r="G359" s="63" t="s">
        <v>824</v>
      </c>
      <c r="H359" s="63">
        <v>78</v>
      </c>
      <c r="I359" s="65" t="s">
        <v>169</v>
      </c>
      <c r="J359" s="63">
        <v>2514</v>
      </c>
      <c r="K359" s="64">
        <v>725.54</v>
      </c>
      <c r="L359" s="63" t="s">
        <v>2252</v>
      </c>
      <c r="M359" s="65" t="str">
        <f t="shared" si="5"/>
        <v>GRANORTECRUZAMENTO MA 201/202 (METROPOLITANA)PULMÃOZINHO</v>
      </c>
      <c r="N359" s="85" t="s">
        <v>108</v>
      </c>
    </row>
    <row r="360" spans="2:14" hidden="1" x14ac:dyDescent="0.25">
      <c r="B360" s="91">
        <v>46098</v>
      </c>
      <c r="C360" s="63">
        <v>1</v>
      </c>
      <c r="D360" s="63" t="s">
        <v>170</v>
      </c>
      <c r="E360" s="65" t="s">
        <v>171</v>
      </c>
      <c r="F360" s="65" t="s">
        <v>166</v>
      </c>
      <c r="G360" s="63" t="s">
        <v>824</v>
      </c>
      <c r="H360" s="63">
        <v>78</v>
      </c>
      <c r="I360" s="65" t="s">
        <v>169</v>
      </c>
      <c r="J360" s="63">
        <v>2492</v>
      </c>
      <c r="K360" s="64">
        <v>719.19</v>
      </c>
      <c r="L360" s="63" t="s">
        <v>2253</v>
      </c>
      <c r="M360" s="65" t="str">
        <f t="shared" si="5"/>
        <v>GRANORTECRUZAMENTO MA 201/202 (METROPOLITANA)PULMÃOZINHO</v>
      </c>
      <c r="N360" s="85" t="s">
        <v>108</v>
      </c>
    </row>
    <row r="361" spans="2:14" x14ac:dyDescent="0.25">
      <c r="B361" s="91">
        <v>46098</v>
      </c>
      <c r="C361" s="63">
        <v>1</v>
      </c>
      <c r="D361" s="63" t="s">
        <v>162</v>
      </c>
      <c r="E361" s="65" t="s">
        <v>281</v>
      </c>
      <c r="F361" s="65" t="s">
        <v>166</v>
      </c>
      <c r="G361" s="63" t="s">
        <v>2123</v>
      </c>
      <c r="H361" s="63">
        <v>60</v>
      </c>
      <c r="I361" s="65" t="s">
        <v>172</v>
      </c>
      <c r="J361" s="63">
        <v>2504</v>
      </c>
      <c r="K361" s="64">
        <v>555.89</v>
      </c>
      <c r="L361" s="63" t="s">
        <v>2254</v>
      </c>
      <c r="M361" s="65" t="str">
        <f t="shared" si="5"/>
        <v>GRANORTEVIADUTO DO CAFEBICA CORRIDA</v>
      </c>
      <c r="N361" s="85" t="s">
        <v>2854</v>
      </c>
    </row>
    <row r="362" spans="2:14" hidden="1" x14ac:dyDescent="0.25">
      <c r="B362" s="91">
        <v>46098</v>
      </c>
      <c r="C362" s="63">
        <v>1</v>
      </c>
      <c r="D362" s="63" t="s">
        <v>188</v>
      </c>
      <c r="E362" s="65" t="s">
        <v>189</v>
      </c>
      <c r="F362" s="65" t="s">
        <v>166</v>
      </c>
      <c r="G362" s="63" t="s">
        <v>223</v>
      </c>
      <c r="H362" s="63">
        <v>370</v>
      </c>
      <c r="I362" s="65" t="s">
        <v>165</v>
      </c>
      <c r="J362" s="63">
        <v>6212</v>
      </c>
      <c r="K362" s="64">
        <v>8504.23</v>
      </c>
      <c r="L362" s="63" t="s">
        <v>2255</v>
      </c>
      <c r="M362" s="65" t="str">
        <f t="shared" si="5"/>
        <v>GRANORTEUA PINHEIRO - MAPÓ DE BRITA</v>
      </c>
      <c r="N362" s="85" t="s">
        <v>223</v>
      </c>
    </row>
    <row r="363" spans="2:14" hidden="1" x14ac:dyDescent="0.25">
      <c r="B363" s="91">
        <v>46098</v>
      </c>
      <c r="C363" s="63">
        <v>1</v>
      </c>
      <c r="D363" s="63" t="s">
        <v>203</v>
      </c>
      <c r="E363" s="65" t="s">
        <v>204</v>
      </c>
      <c r="F363" s="65" t="s">
        <v>190</v>
      </c>
      <c r="G363" s="63" t="s">
        <v>212</v>
      </c>
      <c r="H363" s="63">
        <v>376</v>
      </c>
      <c r="I363" s="65" t="s">
        <v>165</v>
      </c>
      <c r="J363" s="63">
        <v>476</v>
      </c>
      <c r="K363" s="64">
        <v>5727.23</v>
      </c>
      <c r="L363" s="63" t="s">
        <v>2256</v>
      </c>
      <c r="M363" s="65" t="str">
        <f t="shared" si="5"/>
        <v>SERVENGUSINA PINHEIROPÓ DE BRITA</v>
      </c>
      <c r="N363" s="85" t="s">
        <v>223</v>
      </c>
    </row>
    <row r="364" spans="2:14" hidden="1" x14ac:dyDescent="0.25">
      <c r="B364" s="91">
        <v>46098</v>
      </c>
      <c r="C364" s="63">
        <v>1</v>
      </c>
      <c r="D364" s="63" t="s">
        <v>181</v>
      </c>
      <c r="E364" s="65" t="s">
        <v>182</v>
      </c>
      <c r="F364" s="65" t="s">
        <v>166</v>
      </c>
      <c r="G364" s="63" t="s">
        <v>824</v>
      </c>
      <c r="H364" s="63">
        <v>78</v>
      </c>
      <c r="I364" s="65" t="s">
        <v>169</v>
      </c>
      <c r="J364" s="63">
        <v>2608</v>
      </c>
      <c r="K364" s="64">
        <v>752.67</v>
      </c>
      <c r="L364" s="63" t="s">
        <v>2257</v>
      </c>
      <c r="M364" s="65" t="str">
        <f t="shared" si="5"/>
        <v>GRANORTECRUZAMENTO MA 201/202 (METROPOLITANA)PULMÃOZINHO</v>
      </c>
      <c r="N364" s="85" t="s">
        <v>108</v>
      </c>
    </row>
    <row r="365" spans="2:14" hidden="1" x14ac:dyDescent="0.25">
      <c r="B365" s="91">
        <v>46098</v>
      </c>
      <c r="C365" s="63">
        <v>1</v>
      </c>
      <c r="D365" s="63" t="s">
        <v>181</v>
      </c>
      <c r="E365" s="65" t="s">
        <v>182</v>
      </c>
      <c r="F365" s="65" t="s">
        <v>166</v>
      </c>
      <c r="G365" s="63" t="s">
        <v>824</v>
      </c>
      <c r="H365" s="63">
        <v>78</v>
      </c>
      <c r="I365" s="65" t="s">
        <v>169</v>
      </c>
      <c r="J365" s="63">
        <v>2488</v>
      </c>
      <c r="K365" s="64">
        <v>718.04</v>
      </c>
      <c r="L365" s="63" t="s">
        <v>2258</v>
      </c>
      <c r="M365" s="65" t="str">
        <f t="shared" si="5"/>
        <v>GRANORTECRUZAMENTO MA 201/202 (METROPOLITANA)PULMÃOZINHO</v>
      </c>
      <c r="N365" s="85" t="s">
        <v>108</v>
      </c>
    </row>
    <row r="366" spans="2:14" hidden="1" x14ac:dyDescent="0.25">
      <c r="B366" s="91">
        <v>46098</v>
      </c>
      <c r="C366" s="63">
        <v>1</v>
      </c>
      <c r="D366" s="63" t="s">
        <v>199</v>
      </c>
      <c r="E366" s="65" t="s">
        <v>180</v>
      </c>
      <c r="F366" s="65" t="s">
        <v>166</v>
      </c>
      <c r="G366" s="63" t="s">
        <v>824</v>
      </c>
      <c r="H366" s="63">
        <v>78</v>
      </c>
      <c r="I366" s="65" t="s">
        <v>169</v>
      </c>
      <c r="J366" s="63">
        <v>2516</v>
      </c>
      <c r="K366" s="64">
        <v>726.12</v>
      </c>
      <c r="L366" s="63" t="s">
        <v>2259</v>
      </c>
      <c r="M366" s="65" t="str">
        <f t="shared" si="5"/>
        <v>GRANORTECRUZAMENTO MA 201/202 (METROPOLITANA)PULMÃOZINHO</v>
      </c>
      <c r="N366" s="85" t="s">
        <v>108</v>
      </c>
    </row>
    <row r="367" spans="2:14" hidden="1" x14ac:dyDescent="0.25">
      <c r="B367" s="91">
        <v>46098</v>
      </c>
      <c r="C367" s="63">
        <v>1</v>
      </c>
      <c r="D367" s="63" t="s">
        <v>183</v>
      </c>
      <c r="E367" s="65" t="s">
        <v>184</v>
      </c>
      <c r="F367" s="65" t="s">
        <v>166</v>
      </c>
      <c r="G367" s="63" t="s">
        <v>111</v>
      </c>
      <c r="H367" s="63">
        <v>79</v>
      </c>
      <c r="I367" s="65" t="s">
        <v>172</v>
      </c>
      <c r="J367" s="63">
        <v>2758</v>
      </c>
      <c r="K367" s="64">
        <v>806.16</v>
      </c>
      <c r="L367" s="63" t="s">
        <v>2260</v>
      </c>
      <c r="M367" s="65" t="str">
        <f t="shared" si="5"/>
        <v>GRANORTEBEIRA RIOBICA CORRIDA</v>
      </c>
      <c r="N367" s="85" t="s">
        <v>111</v>
      </c>
    </row>
    <row r="368" spans="2:14" hidden="1" x14ac:dyDescent="0.25">
      <c r="B368" s="91">
        <v>46098</v>
      </c>
      <c r="C368" s="63">
        <v>1</v>
      </c>
      <c r="D368" s="63" t="s">
        <v>183</v>
      </c>
      <c r="E368" s="65" t="s">
        <v>184</v>
      </c>
      <c r="F368" s="65" t="s">
        <v>166</v>
      </c>
      <c r="G368" s="63" t="s">
        <v>111</v>
      </c>
      <c r="H368" s="63">
        <v>79</v>
      </c>
      <c r="I368" s="65" t="s">
        <v>169</v>
      </c>
      <c r="J368" s="63">
        <v>2564</v>
      </c>
      <c r="K368" s="64">
        <v>749.46</v>
      </c>
      <c r="L368" s="63" t="s">
        <v>2261</v>
      </c>
      <c r="M368" s="65" t="str">
        <f t="shared" si="5"/>
        <v>GRANORTEBEIRA RIOPULMÃOZINHO</v>
      </c>
      <c r="N368" s="85" t="s">
        <v>111</v>
      </c>
    </row>
    <row r="369" spans="2:14" hidden="1" x14ac:dyDescent="0.25">
      <c r="B369" s="91">
        <v>46098</v>
      </c>
      <c r="C369" s="63">
        <v>1</v>
      </c>
      <c r="D369" s="63" t="s">
        <v>286</v>
      </c>
      <c r="E369" s="65" t="s">
        <v>506</v>
      </c>
      <c r="F369" s="65" t="s">
        <v>166</v>
      </c>
      <c r="G369" s="63" t="s">
        <v>111</v>
      </c>
      <c r="H369" s="63">
        <v>79</v>
      </c>
      <c r="I369" s="65" t="s">
        <v>169</v>
      </c>
      <c r="J369" s="63">
        <v>275</v>
      </c>
      <c r="K369" s="64">
        <v>803.83</v>
      </c>
      <c r="L369" s="63" t="s">
        <v>2262</v>
      </c>
      <c r="M369" s="65" t="str">
        <f t="shared" si="5"/>
        <v>GRANORTEBEIRA RIOPULMÃOZINHO</v>
      </c>
      <c r="N369" s="85" t="s">
        <v>111</v>
      </c>
    </row>
    <row r="370" spans="2:14" hidden="1" x14ac:dyDescent="0.25">
      <c r="B370" s="91">
        <v>46098</v>
      </c>
      <c r="C370" s="63">
        <v>1</v>
      </c>
      <c r="D370" s="63" t="s">
        <v>286</v>
      </c>
      <c r="E370" s="65" t="s">
        <v>506</v>
      </c>
      <c r="F370" s="65" t="s">
        <v>166</v>
      </c>
      <c r="G370" s="63" t="s">
        <v>111</v>
      </c>
      <c r="H370" s="63">
        <v>79</v>
      </c>
      <c r="I370" s="65" t="s">
        <v>169</v>
      </c>
      <c r="J370" s="63">
        <v>252</v>
      </c>
      <c r="K370" s="64">
        <v>736.6</v>
      </c>
      <c r="L370" s="63" t="s">
        <v>2263</v>
      </c>
      <c r="M370" s="65" t="str">
        <f t="shared" si="5"/>
        <v>GRANORTEBEIRA RIOPULMÃOZINHO</v>
      </c>
      <c r="N370" s="85" t="s">
        <v>111</v>
      </c>
    </row>
    <row r="371" spans="2:14" hidden="1" x14ac:dyDescent="0.25">
      <c r="B371" s="91">
        <v>46098</v>
      </c>
      <c r="C371" s="63">
        <v>1</v>
      </c>
      <c r="D371" s="63" t="s">
        <v>210</v>
      </c>
      <c r="E371" s="65" t="s">
        <v>211</v>
      </c>
      <c r="F371" s="65" t="s">
        <v>190</v>
      </c>
      <c r="G371" s="63" t="s">
        <v>212</v>
      </c>
      <c r="H371" s="63">
        <v>376</v>
      </c>
      <c r="I371" s="65" t="s">
        <v>165</v>
      </c>
      <c r="J371" s="63">
        <v>5396</v>
      </c>
      <c r="K371" s="64">
        <v>6492.47</v>
      </c>
      <c r="L371" s="63" t="s">
        <v>2264</v>
      </c>
      <c r="M371" s="65" t="str">
        <f t="shared" si="5"/>
        <v>SERVENGUSINA PINHEIROPÓ DE BRITA</v>
      </c>
      <c r="N371" s="85" t="s">
        <v>223</v>
      </c>
    </row>
    <row r="372" spans="2:14" hidden="1" x14ac:dyDescent="0.25">
      <c r="B372" s="91">
        <v>46098</v>
      </c>
      <c r="C372" s="63">
        <v>1</v>
      </c>
      <c r="D372" s="63" t="s">
        <v>283</v>
      </c>
      <c r="E372" s="65" t="s">
        <v>215</v>
      </c>
      <c r="F372" s="65" t="s">
        <v>166</v>
      </c>
      <c r="G372" s="63" t="s">
        <v>164</v>
      </c>
      <c r="H372" s="63">
        <v>58</v>
      </c>
      <c r="I372" s="65" t="s">
        <v>175</v>
      </c>
      <c r="J372" s="63">
        <v>2676</v>
      </c>
      <c r="K372" s="64">
        <v>574.27</v>
      </c>
      <c r="L372" s="63" t="s">
        <v>2265</v>
      </c>
      <c r="M372" s="65" t="str">
        <f t="shared" si="5"/>
        <v>GRANORTEUA SAO LUISBRITA 0</v>
      </c>
      <c r="N372" s="85" t="s">
        <v>224</v>
      </c>
    </row>
    <row r="373" spans="2:14" hidden="1" x14ac:dyDescent="0.25">
      <c r="B373" s="91">
        <v>46098</v>
      </c>
      <c r="C373" s="63">
        <v>1</v>
      </c>
      <c r="D373" s="63" t="s">
        <v>200</v>
      </c>
      <c r="E373" s="65" t="s">
        <v>201</v>
      </c>
      <c r="F373" s="65" t="s">
        <v>190</v>
      </c>
      <c r="G373" s="63" t="s">
        <v>212</v>
      </c>
      <c r="H373" s="63">
        <v>376</v>
      </c>
      <c r="I373" s="65" t="s">
        <v>165</v>
      </c>
      <c r="J373" s="63">
        <v>4836</v>
      </c>
      <c r="K373" s="64">
        <v>5818.68</v>
      </c>
      <c r="L373" s="63" t="s">
        <v>2266</v>
      </c>
      <c r="M373" s="65" t="str">
        <f t="shared" si="5"/>
        <v>SERVENGUSINA PINHEIROPÓ DE BRITA</v>
      </c>
      <c r="N373" s="85" t="s">
        <v>223</v>
      </c>
    </row>
    <row r="374" spans="2:14" hidden="1" x14ac:dyDescent="0.25">
      <c r="B374" s="91">
        <v>46098</v>
      </c>
      <c r="C374" s="63">
        <v>1</v>
      </c>
      <c r="D374" s="63" t="s">
        <v>283</v>
      </c>
      <c r="E374" s="65" t="s">
        <v>215</v>
      </c>
      <c r="F374" s="65" t="s">
        <v>163</v>
      </c>
      <c r="G374" s="63" t="s">
        <v>164</v>
      </c>
      <c r="H374" s="63">
        <v>52</v>
      </c>
      <c r="I374" s="65" t="s">
        <v>165</v>
      </c>
      <c r="J374" s="63">
        <v>3054</v>
      </c>
      <c r="K374" s="64">
        <v>587.59</v>
      </c>
      <c r="L374" s="63" t="s">
        <v>2267</v>
      </c>
      <c r="M374" s="65" t="str">
        <f t="shared" si="5"/>
        <v>BRASIL MINERACAOUA SAO LUISPÓ DE BRITA</v>
      </c>
      <c r="N374" s="85" t="s">
        <v>224</v>
      </c>
    </row>
    <row r="375" spans="2:14" hidden="1" x14ac:dyDescent="0.25">
      <c r="B375" s="91">
        <v>46098</v>
      </c>
      <c r="C375" s="63">
        <v>1</v>
      </c>
      <c r="D375" s="63" t="s">
        <v>283</v>
      </c>
      <c r="E375" s="65" t="s">
        <v>215</v>
      </c>
      <c r="F375" s="65" t="s">
        <v>163</v>
      </c>
      <c r="G375" s="63" t="s">
        <v>164</v>
      </c>
      <c r="H375" s="63">
        <v>52</v>
      </c>
      <c r="I375" s="65" t="s">
        <v>175</v>
      </c>
      <c r="J375" s="63">
        <v>3016</v>
      </c>
      <c r="K375" s="64">
        <v>580.28</v>
      </c>
      <c r="L375" s="63" t="s">
        <v>2268</v>
      </c>
      <c r="M375" s="65" t="str">
        <f t="shared" si="5"/>
        <v>BRASIL MINERACAOUA SAO LUISBRITA 0</v>
      </c>
      <c r="N375" s="85" t="s">
        <v>224</v>
      </c>
    </row>
    <row r="376" spans="2:14" hidden="1" x14ac:dyDescent="0.25">
      <c r="B376" s="91">
        <v>46098</v>
      </c>
      <c r="C376" s="63">
        <v>1</v>
      </c>
      <c r="D376" s="63" t="s">
        <v>219</v>
      </c>
      <c r="E376" s="65" t="s">
        <v>220</v>
      </c>
      <c r="F376" s="65" t="s">
        <v>166</v>
      </c>
      <c r="G376" s="63" t="s">
        <v>164</v>
      </c>
      <c r="H376" s="63">
        <v>58</v>
      </c>
      <c r="I376" s="65" t="s">
        <v>175</v>
      </c>
      <c r="J376" s="63">
        <v>375</v>
      </c>
      <c r="K376" s="64">
        <v>804.75</v>
      </c>
      <c r="L376" s="63" t="s">
        <v>2269</v>
      </c>
      <c r="M376" s="65" t="str">
        <f t="shared" si="5"/>
        <v>GRANORTEUA SAO LUISBRITA 0</v>
      </c>
      <c r="N376" s="85" t="s">
        <v>224</v>
      </c>
    </row>
    <row r="377" spans="2:14" hidden="1" x14ac:dyDescent="0.25">
      <c r="B377" s="91">
        <v>46098</v>
      </c>
      <c r="C377" s="63">
        <v>1</v>
      </c>
      <c r="D377" s="63" t="s">
        <v>1948</v>
      </c>
      <c r="E377" s="65" t="s">
        <v>1949</v>
      </c>
      <c r="F377" s="65" t="s">
        <v>190</v>
      </c>
      <c r="G377" s="63" t="s">
        <v>212</v>
      </c>
      <c r="H377" s="63">
        <v>376</v>
      </c>
      <c r="I377" s="65" t="s">
        <v>165</v>
      </c>
      <c r="J377" s="63">
        <v>520</v>
      </c>
      <c r="K377" s="64">
        <v>6256.64</v>
      </c>
      <c r="L377" s="63" t="s">
        <v>2270</v>
      </c>
      <c r="M377" s="65" t="str">
        <f t="shared" si="5"/>
        <v>SERVENGUSINA PINHEIROPÓ DE BRITA</v>
      </c>
      <c r="N377" s="85" t="s">
        <v>223</v>
      </c>
    </row>
    <row r="378" spans="2:14" hidden="1" x14ac:dyDescent="0.25">
      <c r="B378" s="91">
        <v>46098</v>
      </c>
      <c r="C378" s="63">
        <v>1</v>
      </c>
      <c r="D378" s="63" t="s">
        <v>193</v>
      </c>
      <c r="E378" s="65" t="s">
        <v>285</v>
      </c>
      <c r="F378" s="65" t="s">
        <v>166</v>
      </c>
      <c r="G378" s="63" t="s">
        <v>111</v>
      </c>
      <c r="H378" s="63">
        <v>79</v>
      </c>
      <c r="I378" s="65" t="s">
        <v>172</v>
      </c>
      <c r="J378" s="63">
        <v>2506</v>
      </c>
      <c r="K378" s="64">
        <v>732.5</v>
      </c>
      <c r="L378" s="63" t="s">
        <v>2271</v>
      </c>
      <c r="M378" s="65" t="str">
        <f t="shared" si="5"/>
        <v>GRANORTEBEIRA RIOBICA CORRIDA</v>
      </c>
      <c r="N378" s="85" t="s">
        <v>111</v>
      </c>
    </row>
    <row r="379" spans="2:14" hidden="1" x14ac:dyDescent="0.25">
      <c r="B379" s="91">
        <v>46098</v>
      </c>
      <c r="C379" s="63">
        <v>1</v>
      </c>
      <c r="D379" s="63" t="s">
        <v>193</v>
      </c>
      <c r="E379" s="65" t="s">
        <v>285</v>
      </c>
      <c r="F379" s="65" t="s">
        <v>166</v>
      </c>
      <c r="G379" s="63" t="s">
        <v>111</v>
      </c>
      <c r="H379" s="63">
        <v>79</v>
      </c>
      <c r="I379" s="65" t="s">
        <v>172</v>
      </c>
      <c r="J379" s="63">
        <v>250</v>
      </c>
      <c r="K379" s="64">
        <v>730.75</v>
      </c>
      <c r="L379" s="63" t="s">
        <v>2272</v>
      </c>
      <c r="M379" s="65" t="str">
        <f t="shared" si="5"/>
        <v>GRANORTEBEIRA RIOBICA CORRIDA</v>
      </c>
      <c r="N379" s="85" t="s">
        <v>111</v>
      </c>
    </row>
    <row r="380" spans="2:14" hidden="1" x14ac:dyDescent="0.25">
      <c r="B380" s="91">
        <v>46098</v>
      </c>
      <c r="C380" s="63">
        <v>1</v>
      </c>
      <c r="D380" s="63" t="s">
        <v>192</v>
      </c>
      <c r="E380" s="65" t="s">
        <v>287</v>
      </c>
      <c r="F380" s="65" t="s">
        <v>163</v>
      </c>
      <c r="G380" s="63" t="s">
        <v>164</v>
      </c>
      <c r="H380" s="63">
        <v>52</v>
      </c>
      <c r="I380" s="65" t="s">
        <v>165</v>
      </c>
      <c r="J380" s="63">
        <v>4652</v>
      </c>
      <c r="K380" s="64">
        <v>895.04</v>
      </c>
      <c r="L380" s="63" t="s">
        <v>2273</v>
      </c>
      <c r="M380" s="65" t="str">
        <f t="shared" si="5"/>
        <v>BRASIL MINERACAOUA SAO LUISPÓ DE BRITA</v>
      </c>
      <c r="N380" s="85" t="s">
        <v>224</v>
      </c>
    </row>
    <row r="381" spans="2:14" hidden="1" x14ac:dyDescent="0.25">
      <c r="B381" s="91">
        <v>46098</v>
      </c>
      <c r="C381" s="63">
        <v>1</v>
      </c>
      <c r="D381" s="63" t="s">
        <v>192</v>
      </c>
      <c r="E381" s="65" t="s">
        <v>287</v>
      </c>
      <c r="F381" s="65" t="s">
        <v>163</v>
      </c>
      <c r="G381" s="63" t="s">
        <v>164</v>
      </c>
      <c r="H381" s="63">
        <v>52</v>
      </c>
      <c r="I381" s="65" t="s">
        <v>165</v>
      </c>
      <c r="J381" s="63">
        <v>48846</v>
      </c>
      <c r="K381" s="64">
        <v>939.8</v>
      </c>
      <c r="L381" s="63" t="s">
        <v>2274</v>
      </c>
      <c r="M381" s="65" t="str">
        <f t="shared" si="5"/>
        <v>BRASIL MINERACAOUA SAO LUISPÓ DE BRITA</v>
      </c>
      <c r="N381" s="85" t="s">
        <v>224</v>
      </c>
    </row>
    <row r="382" spans="2:14" hidden="1" x14ac:dyDescent="0.25">
      <c r="B382" s="91">
        <v>46098</v>
      </c>
      <c r="C382" s="63">
        <v>1</v>
      </c>
      <c r="D382" s="63" t="s">
        <v>186</v>
      </c>
      <c r="E382" s="65" t="s">
        <v>187</v>
      </c>
      <c r="F382" s="65" t="s">
        <v>190</v>
      </c>
      <c r="G382" s="63" t="s">
        <v>212</v>
      </c>
      <c r="H382" s="63">
        <v>376</v>
      </c>
      <c r="I382" s="65" t="s">
        <v>165</v>
      </c>
      <c r="J382" s="63">
        <v>4704</v>
      </c>
      <c r="K382" s="64">
        <v>5659.85</v>
      </c>
      <c r="L382" s="63" t="s">
        <v>2275</v>
      </c>
      <c r="M382" s="65" t="str">
        <f t="shared" si="5"/>
        <v>SERVENGUSINA PINHEIROPÓ DE BRITA</v>
      </c>
      <c r="N382" s="85" t="s">
        <v>223</v>
      </c>
    </row>
    <row r="383" spans="2:14" hidden="1" x14ac:dyDescent="0.25">
      <c r="B383" s="91">
        <v>46099</v>
      </c>
      <c r="C383" s="63">
        <v>1</v>
      </c>
      <c r="D383" s="63" t="s">
        <v>202</v>
      </c>
      <c r="E383" s="65" t="s">
        <v>214</v>
      </c>
      <c r="F383" s="65" t="s">
        <v>166</v>
      </c>
      <c r="G383" s="63" t="s">
        <v>223</v>
      </c>
      <c r="H383" s="63">
        <v>370</v>
      </c>
      <c r="I383" s="65" t="s">
        <v>165</v>
      </c>
      <c r="J383" s="63">
        <v>6244</v>
      </c>
      <c r="K383" s="64">
        <v>8548.0400000000009</v>
      </c>
      <c r="L383" s="63" t="s">
        <v>2276</v>
      </c>
      <c r="M383" s="65" t="str">
        <f t="shared" si="5"/>
        <v>GRANORTEUA PINHEIRO - MAPÓ DE BRITA</v>
      </c>
      <c r="N383" s="85" t="s">
        <v>223</v>
      </c>
    </row>
    <row r="384" spans="2:14" hidden="1" x14ac:dyDescent="0.25">
      <c r="B384" s="91">
        <v>46099</v>
      </c>
      <c r="C384" s="63">
        <v>1</v>
      </c>
      <c r="D384" s="63" t="s">
        <v>170</v>
      </c>
      <c r="E384" s="65" t="s">
        <v>171</v>
      </c>
      <c r="F384" s="65" t="s">
        <v>166</v>
      </c>
      <c r="G384" s="63" t="s">
        <v>824</v>
      </c>
      <c r="H384" s="63">
        <v>78</v>
      </c>
      <c r="I384" s="65" t="s">
        <v>169</v>
      </c>
      <c r="J384" s="63">
        <v>256</v>
      </c>
      <c r="K384" s="64">
        <v>738.82</v>
      </c>
      <c r="L384" s="63" t="s">
        <v>2277</v>
      </c>
      <c r="M384" s="65" t="str">
        <f t="shared" si="5"/>
        <v>GRANORTECRUZAMENTO MA 201/202 (METROPOLITANA)PULMÃOZINHO</v>
      </c>
      <c r="N384" s="85" t="s">
        <v>108</v>
      </c>
    </row>
    <row r="385" spans="2:14" hidden="1" x14ac:dyDescent="0.25">
      <c r="B385" s="91">
        <v>46099</v>
      </c>
      <c r="C385" s="63">
        <v>1</v>
      </c>
      <c r="D385" s="63" t="s">
        <v>181</v>
      </c>
      <c r="E385" s="65" t="s">
        <v>182</v>
      </c>
      <c r="F385" s="65" t="s">
        <v>166</v>
      </c>
      <c r="G385" s="63" t="s">
        <v>824</v>
      </c>
      <c r="H385" s="63">
        <v>78</v>
      </c>
      <c r="I385" s="65" t="s">
        <v>169</v>
      </c>
      <c r="J385" s="63">
        <v>2646</v>
      </c>
      <c r="K385" s="64">
        <v>763.64</v>
      </c>
      <c r="L385" s="63" t="s">
        <v>2278</v>
      </c>
      <c r="M385" s="65" t="str">
        <f t="shared" si="5"/>
        <v>GRANORTECRUZAMENTO MA 201/202 (METROPOLITANA)PULMÃOZINHO</v>
      </c>
      <c r="N385" s="85" t="s">
        <v>108</v>
      </c>
    </row>
    <row r="386" spans="2:14" hidden="1" x14ac:dyDescent="0.25">
      <c r="B386" s="91">
        <v>46099</v>
      </c>
      <c r="C386" s="63">
        <v>1</v>
      </c>
      <c r="D386" s="63" t="s">
        <v>219</v>
      </c>
      <c r="E386" s="65" t="s">
        <v>220</v>
      </c>
      <c r="F386" s="65" t="s">
        <v>163</v>
      </c>
      <c r="G386" s="63" t="s">
        <v>164</v>
      </c>
      <c r="H386" s="63">
        <v>52</v>
      </c>
      <c r="I386" s="65" t="s">
        <v>175</v>
      </c>
      <c r="J386" s="63">
        <v>976</v>
      </c>
      <c r="K386" s="64">
        <v>1877.82</v>
      </c>
      <c r="L386" s="63" t="s">
        <v>2279</v>
      </c>
      <c r="M386" s="65" t="str">
        <f t="shared" si="5"/>
        <v>BRASIL MINERACAOUA SAO LUISBRITA 0</v>
      </c>
      <c r="N386" s="85" t="s">
        <v>224</v>
      </c>
    </row>
    <row r="387" spans="2:14" hidden="1" x14ac:dyDescent="0.25">
      <c r="B387" s="91">
        <v>46099</v>
      </c>
      <c r="C387" s="63">
        <v>1</v>
      </c>
      <c r="D387" s="63" t="s">
        <v>219</v>
      </c>
      <c r="E387" s="65" t="s">
        <v>220</v>
      </c>
      <c r="F387" s="65" t="s">
        <v>163</v>
      </c>
      <c r="G387" s="63" t="s">
        <v>164</v>
      </c>
      <c r="H387" s="63">
        <v>52</v>
      </c>
      <c r="I387" s="65" t="s">
        <v>165</v>
      </c>
      <c r="J387" s="63">
        <v>442</v>
      </c>
      <c r="K387" s="64">
        <v>850.41</v>
      </c>
      <c r="L387" s="63" t="s">
        <v>2280</v>
      </c>
      <c r="M387" s="65" t="str">
        <f t="shared" si="5"/>
        <v>BRASIL MINERACAOUA SAO LUISPÓ DE BRITA</v>
      </c>
      <c r="N387" s="85" t="s">
        <v>224</v>
      </c>
    </row>
    <row r="388" spans="2:14" hidden="1" x14ac:dyDescent="0.25">
      <c r="B388" s="91">
        <v>46099</v>
      </c>
      <c r="C388" s="63">
        <v>1</v>
      </c>
      <c r="D388" s="63" t="s">
        <v>219</v>
      </c>
      <c r="E388" s="65" t="s">
        <v>220</v>
      </c>
      <c r="F388" s="65" t="s">
        <v>166</v>
      </c>
      <c r="G388" s="63" t="s">
        <v>164</v>
      </c>
      <c r="H388" s="63">
        <v>58</v>
      </c>
      <c r="I388" s="65" t="s">
        <v>175</v>
      </c>
      <c r="J388" s="63">
        <v>276</v>
      </c>
      <c r="K388" s="64">
        <v>592.29999999999995</v>
      </c>
      <c r="L388" s="63" t="s">
        <v>2281</v>
      </c>
      <c r="M388" s="65" t="str">
        <f t="shared" si="5"/>
        <v>GRANORTEUA SAO LUISBRITA 0</v>
      </c>
      <c r="N388" s="85" t="s">
        <v>224</v>
      </c>
    </row>
    <row r="389" spans="2:14" hidden="1" x14ac:dyDescent="0.25">
      <c r="B389" s="91">
        <v>46099</v>
      </c>
      <c r="C389" s="63">
        <v>1</v>
      </c>
      <c r="D389" s="63" t="s">
        <v>188</v>
      </c>
      <c r="E389" s="65" t="s">
        <v>189</v>
      </c>
      <c r="F389" s="65" t="s">
        <v>166</v>
      </c>
      <c r="G389" s="63" t="s">
        <v>164</v>
      </c>
      <c r="H389" s="63">
        <v>58</v>
      </c>
      <c r="I389" s="65" t="s">
        <v>175</v>
      </c>
      <c r="J389" s="63">
        <v>4962</v>
      </c>
      <c r="K389" s="64">
        <v>1064.8499999999999</v>
      </c>
      <c r="L389" s="63" t="s">
        <v>2282</v>
      </c>
      <c r="M389" s="65" t="str">
        <f t="shared" ref="M389:M452" si="6">_xlfn.CONCAT(F389&amp;G389&amp;I389)</f>
        <v>GRANORTEUA SAO LUISBRITA 0</v>
      </c>
      <c r="N389" s="85" t="s">
        <v>224</v>
      </c>
    </row>
    <row r="390" spans="2:14" hidden="1" x14ac:dyDescent="0.25">
      <c r="B390" s="91">
        <v>46099</v>
      </c>
      <c r="C390" s="63">
        <v>1</v>
      </c>
      <c r="D390" s="63" t="s">
        <v>199</v>
      </c>
      <c r="E390" s="65" t="s">
        <v>180</v>
      </c>
      <c r="F390" s="65" t="s">
        <v>166</v>
      </c>
      <c r="G390" s="63" t="s">
        <v>824</v>
      </c>
      <c r="H390" s="63">
        <v>78</v>
      </c>
      <c r="I390" s="65" t="s">
        <v>169</v>
      </c>
      <c r="J390" s="63">
        <v>2612</v>
      </c>
      <c r="K390" s="64">
        <v>753.82</v>
      </c>
      <c r="L390" s="63" t="s">
        <v>2283</v>
      </c>
      <c r="M390" s="65" t="str">
        <f t="shared" si="6"/>
        <v>GRANORTECRUZAMENTO MA 201/202 (METROPOLITANA)PULMÃOZINHO</v>
      </c>
      <c r="N390" s="85" t="s">
        <v>108</v>
      </c>
    </row>
    <row r="391" spans="2:14" hidden="1" x14ac:dyDescent="0.25">
      <c r="B391" s="91">
        <v>46099</v>
      </c>
      <c r="C391" s="63">
        <v>1</v>
      </c>
      <c r="D391" s="63" t="s">
        <v>170</v>
      </c>
      <c r="E391" s="65" t="s">
        <v>171</v>
      </c>
      <c r="F391" s="65" t="s">
        <v>166</v>
      </c>
      <c r="G391" s="63" t="s">
        <v>218</v>
      </c>
      <c r="H391" s="63">
        <v>71</v>
      </c>
      <c r="I391" s="65" t="s">
        <v>169</v>
      </c>
      <c r="J391" s="63">
        <v>2648</v>
      </c>
      <c r="K391" s="64">
        <v>695.63</v>
      </c>
      <c r="L391" s="63" t="s">
        <v>2284</v>
      </c>
      <c r="M391" s="65" t="str">
        <f t="shared" si="6"/>
        <v>GRANORTEEXPOEMAPULMÃOZINHO</v>
      </c>
      <c r="N391" s="85" t="s">
        <v>111</v>
      </c>
    </row>
    <row r="392" spans="2:14" hidden="1" x14ac:dyDescent="0.25">
      <c r="B392" s="91">
        <v>46099</v>
      </c>
      <c r="C392" s="63">
        <v>1</v>
      </c>
      <c r="D392" s="63" t="s">
        <v>181</v>
      </c>
      <c r="E392" s="65" t="s">
        <v>182</v>
      </c>
      <c r="F392" s="65" t="s">
        <v>166</v>
      </c>
      <c r="G392" s="63" t="s">
        <v>824</v>
      </c>
      <c r="H392" s="63">
        <v>78</v>
      </c>
      <c r="I392" s="65" t="s">
        <v>169</v>
      </c>
      <c r="J392" s="63">
        <v>260</v>
      </c>
      <c r="K392" s="64">
        <v>750.36</v>
      </c>
      <c r="L392" s="63" t="s">
        <v>2285</v>
      </c>
      <c r="M392" s="65" t="str">
        <f t="shared" si="6"/>
        <v>GRANORTECRUZAMENTO MA 201/202 (METROPOLITANA)PULMÃOZINHO</v>
      </c>
      <c r="N392" s="85" t="s">
        <v>108</v>
      </c>
    </row>
    <row r="393" spans="2:14" hidden="1" x14ac:dyDescent="0.25">
      <c r="B393" s="91">
        <v>46099</v>
      </c>
      <c r="C393" s="63">
        <v>1</v>
      </c>
      <c r="D393" s="63" t="s">
        <v>188</v>
      </c>
      <c r="E393" s="65" t="s">
        <v>189</v>
      </c>
      <c r="F393" s="65" t="s">
        <v>166</v>
      </c>
      <c r="G393" s="63" t="s">
        <v>164</v>
      </c>
      <c r="H393" s="63">
        <v>58</v>
      </c>
      <c r="I393" s="65" t="s">
        <v>175</v>
      </c>
      <c r="J393" s="63">
        <v>4766</v>
      </c>
      <c r="K393" s="64">
        <v>1022.78</v>
      </c>
      <c r="L393" s="63" t="s">
        <v>2286</v>
      </c>
      <c r="M393" s="65" t="str">
        <f t="shared" si="6"/>
        <v>GRANORTEUA SAO LUISBRITA 0</v>
      </c>
      <c r="N393" s="85" t="s">
        <v>224</v>
      </c>
    </row>
    <row r="394" spans="2:14" hidden="1" x14ac:dyDescent="0.25">
      <c r="B394" s="91">
        <v>46099</v>
      </c>
      <c r="C394" s="63">
        <v>1</v>
      </c>
      <c r="D394" s="63" t="s">
        <v>199</v>
      </c>
      <c r="E394" s="65" t="s">
        <v>180</v>
      </c>
      <c r="F394" s="65" t="s">
        <v>166</v>
      </c>
      <c r="G394" s="63" t="s">
        <v>824</v>
      </c>
      <c r="H394" s="63">
        <v>78</v>
      </c>
      <c r="I394" s="65" t="s">
        <v>169</v>
      </c>
      <c r="J394" s="63">
        <v>270</v>
      </c>
      <c r="K394" s="64">
        <v>779.22</v>
      </c>
      <c r="L394" s="63" t="s">
        <v>2287</v>
      </c>
      <c r="M394" s="65" t="str">
        <f t="shared" si="6"/>
        <v>GRANORTECRUZAMENTO MA 201/202 (METROPOLITANA)PULMÃOZINHO</v>
      </c>
      <c r="N394" s="85" t="s">
        <v>108</v>
      </c>
    </row>
    <row r="395" spans="2:14" x14ac:dyDescent="0.25">
      <c r="B395" s="91">
        <v>46099</v>
      </c>
      <c r="C395" s="63">
        <v>1</v>
      </c>
      <c r="D395" s="63" t="s">
        <v>162</v>
      </c>
      <c r="E395" s="65" t="s">
        <v>281</v>
      </c>
      <c r="F395" s="65" t="s">
        <v>166</v>
      </c>
      <c r="G395" s="63" t="s">
        <v>2123</v>
      </c>
      <c r="H395" s="63">
        <v>60</v>
      </c>
      <c r="I395" s="65" t="s">
        <v>169</v>
      </c>
      <c r="J395" s="63">
        <v>2626</v>
      </c>
      <c r="K395" s="64">
        <v>582.97</v>
      </c>
      <c r="L395" s="63" t="s">
        <v>2288</v>
      </c>
      <c r="M395" s="65" t="str">
        <f t="shared" si="6"/>
        <v>GRANORTEVIADUTO DO CAFEPULMÃOZINHO</v>
      </c>
      <c r="N395" s="85" t="s">
        <v>2854</v>
      </c>
    </row>
    <row r="396" spans="2:14" hidden="1" x14ac:dyDescent="0.25">
      <c r="B396" s="91">
        <v>46099</v>
      </c>
      <c r="C396" s="63">
        <v>1</v>
      </c>
      <c r="D396" s="63" t="s">
        <v>208</v>
      </c>
      <c r="E396" s="65" t="s">
        <v>209</v>
      </c>
      <c r="F396" s="65" t="s">
        <v>190</v>
      </c>
      <c r="G396" s="63" t="s">
        <v>212</v>
      </c>
      <c r="H396" s="63">
        <v>376</v>
      </c>
      <c r="I396" s="65" t="s">
        <v>165</v>
      </c>
      <c r="J396" s="63">
        <v>650</v>
      </c>
      <c r="K396" s="64">
        <v>7820.8</v>
      </c>
      <c r="L396" s="63" t="s">
        <v>2289</v>
      </c>
      <c r="M396" s="65" t="str">
        <f t="shared" si="6"/>
        <v>SERVENGUSINA PINHEIROPÓ DE BRITA</v>
      </c>
      <c r="N396" s="85" t="s">
        <v>223</v>
      </c>
    </row>
    <row r="397" spans="2:14" hidden="1" x14ac:dyDescent="0.25">
      <c r="B397" s="91">
        <v>46099</v>
      </c>
      <c r="C397" s="63">
        <v>1</v>
      </c>
      <c r="D397" s="63" t="s">
        <v>196</v>
      </c>
      <c r="E397" s="65" t="s">
        <v>197</v>
      </c>
      <c r="F397" s="65" t="s">
        <v>190</v>
      </c>
      <c r="G397" s="63" t="s">
        <v>212</v>
      </c>
      <c r="H397" s="63">
        <v>376</v>
      </c>
      <c r="I397" s="65" t="s">
        <v>165</v>
      </c>
      <c r="J397" s="63">
        <v>6638</v>
      </c>
      <c r="K397" s="64">
        <v>7986.84</v>
      </c>
      <c r="L397" s="63" t="s">
        <v>2290</v>
      </c>
      <c r="M397" s="65" t="str">
        <f t="shared" si="6"/>
        <v>SERVENGUSINA PINHEIROPÓ DE BRITA</v>
      </c>
      <c r="N397" s="85" t="s">
        <v>223</v>
      </c>
    </row>
    <row r="398" spans="2:14" hidden="1" x14ac:dyDescent="0.25">
      <c r="B398" s="91">
        <v>46099</v>
      </c>
      <c r="C398" s="63">
        <v>1</v>
      </c>
      <c r="D398" s="63" t="s">
        <v>183</v>
      </c>
      <c r="E398" s="65" t="s">
        <v>184</v>
      </c>
      <c r="F398" s="65" t="s">
        <v>166</v>
      </c>
      <c r="G398" s="63" t="s">
        <v>111</v>
      </c>
      <c r="H398" s="63">
        <v>79</v>
      </c>
      <c r="I398" s="65" t="s">
        <v>172</v>
      </c>
      <c r="J398" s="63">
        <v>2628</v>
      </c>
      <c r="K398" s="64">
        <v>768.16</v>
      </c>
      <c r="L398" s="63" t="s">
        <v>2291</v>
      </c>
      <c r="M398" s="65" t="str">
        <f t="shared" si="6"/>
        <v>GRANORTEBEIRA RIOBICA CORRIDA</v>
      </c>
      <c r="N398" s="85" t="s">
        <v>111</v>
      </c>
    </row>
    <row r="399" spans="2:14" hidden="1" x14ac:dyDescent="0.25">
      <c r="B399" s="91">
        <v>46099</v>
      </c>
      <c r="C399" s="63">
        <v>1</v>
      </c>
      <c r="D399" s="63" t="s">
        <v>183</v>
      </c>
      <c r="E399" s="65" t="s">
        <v>184</v>
      </c>
      <c r="F399" s="65" t="s">
        <v>166</v>
      </c>
      <c r="G399" s="63" t="s">
        <v>111</v>
      </c>
      <c r="H399" s="63">
        <v>79</v>
      </c>
      <c r="I399" s="65" t="s">
        <v>169</v>
      </c>
      <c r="J399" s="63">
        <v>2552</v>
      </c>
      <c r="K399" s="64">
        <v>745.95</v>
      </c>
      <c r="L399" s="63" t="s">
        <v>2292</v>
      </c>
      <c r="M399" s="65" t="str">
        <f t="shared" si="6"/>
        <v>GRANORTEBEIRA RIOPULMÃOZINHO</v>
      </c>
      <c r="N399" s="85" t="s">
        <v>111</v>
      </c>
    </row>
    <row r="400" spans="2:14" hidden="1" x14ac:dyDescent="0.25">
      <c r="B400" s="91">
        <v>46099</v>
      </c>
      <c r="C400" s="63">
        <v>1</v>
      </c>
      <c r="D400" s="63" t="s">
        <v>183</v>
      </c>
      <c r="E400" s="65" t="s">
        <v>184</v>
      </c>
      <c r="F400" s="65" t="s">
        <v>166</v>
      </c>
      <c r="G400" s="63" t="s">
        <v>111</v>
      </c>
      <c r="H400" s="63">
        <v>79</v>
      </c>
      <c r="I400" s="65" t="s">
        <v>169</v>
      </c>
      <c r="J400" s="63">
        <v>253</v>
      </c>
      <c r="K400" s="64">
        <v>739.52</v>
      </c>
      <c r="L400" s="63" t="s">
        <v>2293</v>
      </c>
      <c r="M400" s="65" t="str">
        <f t="shared" si="6"/>
        <v>GRANORTEBEIRA RIOPULMÃOZINHO</v>
      </c>
      <c r="N400" s="85" t="s">
        <v>111</v>
      </c>
    </row>
    <row r="401" spans="2:14" hidden="1" x14ac:dyDescent="0.25">
      <c r="B401" s="91">
        <v>46099</v>
      </c>
      <c r="C401" s="63">
        <v>1</v>
      </c>
      <c r="D401" s="63" t="s">
        <v>188</v>
      </c>
      <c r="E401" s="65" t="s">
        <v>189</v>
      </c>
      <c r="F401" s="65" t="s">
        <v>166</v>
      </c>
      <c r="G401" s="63" t="s">
        <v>164</v>
      </c>
      <c r="H401" s="63">
        <v>58</v>
      </c>
      <c r="I401" s="65" t="s">
        <v>175</v>
      </c>
      <c r="J401" s="63">
        <v>4582</v>
      </c>
      <c r="K401" s="64">
        <v>983.3</v>
      </c>
      <c r="L401" s="63" t="s">
        <v>2294</v>
      </c>
      <c r="M401" s="65" t="str">
        <f t="shared" si="6"/>
        <v>GRANORTEUA SAO LUISBRITA 0</v>
      </c>
      <c r="N401" s="85" t="s">
        <v>224</v>
      </c>
    </row>
    <row r="402" spans="2:14" hidden="1" x14ac:dyDescent="0.25">
      <c r="B402" s="91">
        <v>46099</v>
      </c>
      <c r="C402" s="63">
        <v>1</v>
      </c>
      <c r="D402" s="63" t="s">
        <v>213</v>
      </c>
      <c r="E402" s="65" t="s">
        <v>178</v>
      </c>
      <c r="F402" s="65" t="s">
        <v>166</v>
      </c>
      <c r="G402" s="63" t="s">
        <v>191</v>
      </c>
      <c r="H402" s="63">
        <v>243</v>
      </c>
      <c r="I402" s="65" t="s">
        <v>165</v>
      </c>
      <c r="J402" s="63">
        <v>5068</v>
      </c>
      <c r="K402" s="64">
        <v>4556.6400000000003</v>
      </c>
      <c r="L402" s="63" t="s">
        <v>2295</v>
      </c>
      <c r="M402" s="65" t="str">
        <f t="shared" si="6"/>
        <v>GRANORTEOLINDA NOVA - MAPÓ DE BRITA</v>
      </c>
      <c r="N402" s="85" t="s">
        <v>191</v>
      </c>
    </row>
    <row r="403" spans="2:14" hidden="1" x14ac:dyDescent="0.25">
      <c r="B403" s="91">
        <v>46099</v>
      </c>
      <c r="C403" s="63">
        <v>1</v>
      </c>
      <c r="D403" s="63" t="s">
        <v>289</v>
      </c>
      <c r="E403" s="65" t="s">
        <v>290</v>
      </c>
      <c r="F403" s="65" t="s">
        <v>276</v>
      </c>
      <c r="G403" s="63" t="s">
        <v>2143</v>
      </c>
      <c r="H403" s="63">
        <v>281</v>
      </c>
      <c r="I403" s="65" t="s">
        <v>207</v>
      </c>
      <c r="J403" s="63">
        <v>374</v>
      </c>
      <c r="K403" s="64">
        <v>3363.01</v>
      </c>
      <c r="L403" s="63" t="s">
        <v>2296</v>
      </c>
      <c r="M403" s="65" t="str">
        <f t="shared" si="6"/>
        <v>MINERADORA PORTO FRANCOSAO PEDRO DA AGUA BRANCARACHÃO</v>
      </c>
      <c r="N403" s="85" t="s">
        <v>15</v>
      </c>
    </row>
    <row r="404" spans="2:14" hidden="1" x14ac:dyDescent="0.25">
      <c r="B404" s="91">
        <v>46099</v>
      </c>
      <c r="C404" s="63">
        <v>1</v>
      </c>
      <c r="D404" s="63" t="s">
        <v>283</v>
      </c>
      <c r="E404" s="65" t="s">
        <v>215</v>
      </c>
      <c r="F404" s="65" t="s">
        <v>163</v>
      </c>
      <c r="G404" s="63" t="s">
        <v>164</v>
      </c>
      <c r="H404" s="63">
        <v>52</v>
      </c>
      <c r="I404" s="65" t="s">
        <v>165</v>
      </c>
      <c r="J404" s="63">
        <v>2614</v>
      </c>
      <c r="K404" s="64">
        <v>502.93</v>
      </c>
      <c r="L404" s="63" t="s">
        <v>2297</v>
      </c>
      <c r="M404" s="65" t="str">
        <f t="shared" si="6"/>
        <v>BRASIL MINERACAOUA SAO LUISPÓ DE BRITA</v>
      </c>
      <c r="N404" s="85" t="s">
        <v>224</v>
      </c>
    </row>
    <row r="405" spans="2:14" hidden="1" x14ac:dyDescent="0.25">
      <c r="B405" s="91">
        <v>46099</v>
      </c>
      <c r="C405" s="63">
        <v>1</v>
      </c>
      <c r="D405" s="63" t="s">
        <v>283</v>
      </c>
      <c r="E405" s="65" t="s">
        <v>215</v>
      </c>
      <c r="F405" s="65" t="s">
        <v>163</v>
      </c>
      <c r="G405" s="63" t="s">
        <v>164</v>
      </c>
      <c r="H405" s="63">
        <v>52</v>
      </c>
      <c r="I405" s="65" t="s">
        <v>165</v>
      </c>
      <c r="J405" s="63">
        <v>2598</v>
      </c>
      <c r="K405" s="64">
        <v>499.86</v>
      </c>
      <c r="L405" s="63" t="s">
        <v>2298</v>
      </c>
      <c r="M405" s="65" t="str">
        <f t="shared" si="6"/>
        <v>BRASIL MINERACAOUA SAO LUISPÓ DE BRITA</v>
      </c>
      <c r="N405" s="85" t="s">
        <v>224</v>
      </c>
    </row>
    <row r="406" spans="2:14" hidden="1" x14ac:dyDescent="0.25">
      <c r="B406" s="91">
        <v>46099</v>
      </c>
      <c r="C406" s="63">
        <v>1</v>
      </c>
      <c r="D406" s="63" t="s">
        <v>283</v>
      </c>
      <c r="E406" s="65" t="s">
        <v>215</v>
      </c>
      <c r="F406" s="65" t="s">
        <v>163</v>
      </c>
      <c r="G406" s="63" t="s">
        <v>164</v>
      </c>
      <c r="H406" s="63">
        <v>52</v>
      </c>
      <c r="I406" s="65" t="s">
        <v>175</v>
      </c>
      <c r="J406" s="63">
        <v>2624</v>
      </c>
      <c r="K406" s="64">
        <v>504.86</v>
      </c>
      <c r="L406" s="63" t="s">
        <v>2299</v>
      </c>
      <c r="M406" s="65" t="str">
        <f t="shared" si="6"/>
        <v>BRASIL MINERACAOUA SAO LUISBRITA 0</v>
      </c>
      <c r="N406" s="85" t="s">
        <v>224</v>
      </c>
    </row>
    <row r="407" spans="2:14" hidden="1" x14ac:dyDescent="0.25">
      <c r="B407" s="91">
        <v>46099</v>
      </c>
      <c r="C407" s="63">
        <v>1</v>
      </c>
      <c r="D407" s="63" t="s">
        <v>173</v>
      </c>
      <c r="E407" s="65" t="s">
        <v>174</v>
      </c>
      <c r="F407" s="65" t="s">
        <v>163</v>
      </c>
      <c r="G407" s="63" t="s">
        <v>111</v>
      </c>
      <c r="H407" s="63">
        <v>75</v>
      </c>
      <c r="I407" s="65" t="s">
        <v>185</v>
      </c>
      <c r="J407" s="63">
        <v>2654</v>
      </c>
      <c r="K407" s="64">
        <v>736.49</v>
      </c>
      <c r="L407" s="63" t="s">
        <v>2300</v>
      </c>
      <c r="M407" s="65" t="str">
        <f t="shared" si="6"/>
        <v>BRASIL MINERACAOBEIRA RIORACHÃOZINHO</v>
      </c>
      <c r="N407" s="85" t="s">
        <v>111</v>
      </c>
    </row>
    <row r="408" spans="2:14" hidden="1" x14ac:dyDescent="0.25">
      <c r="B408" s="91">
        <v>46099</v>
      </c>
      <c r="C408" s="63">
        <v>1</v>
      </c>
      <c r="D408" s="63" t="s">
        <v>173</v>
      </c>
      <c r="E408" s="65" t="s">
        <v>174</v>
      </c>
      <c r="F408" s="65" t="s">
        <v>163</v>
      </c>
      <c r="G408" s="63" t="s">
        <v>111</v>
      </c>
      <c r="H408" s="63">
        <v>75</v>
      </c>
      <c r="I408" s="65" t="s">
        <v>185</v>
      </c>
      <c r="J408" s="63">
        <v>255</v>
      </c>
      <c r="K408" s="64">
        <v>707.63</v>
      </c>
      <c r="L408" s="63" t="s">
        <v>2301</v>
      </c>
      <c r="M408" s="65" t="str">
        <f t="shared" si="6"/>
        <v>BRASIL MINERACAOBEIRA RIORACHÃOZINHO</v>
      </c>
      <c r="N408" s="85" t="s">
        <v>111</v>
      </c>
    </row>
    <row r="409" spans="2:14" hidden="1" x14ac:dyDescent="0.25">
      <c r="B409" s="91">
        <v>46099</v>
      </c>
      <c r="C409" s="63">
        <v>1</v>
      </c>
      <c r="D409" s="63" t="s">
        <v>173</v>
      </c>
      <c r="E409" s="65" t="s">
        <v>174</v>
      </c>
      <c r="F409" s="65" t="s">
        <v>163</v>
      </c>
      <c r="G409" s="63" t="s">
        <v>111</v>
      </c>
      <c r="H409" s="63">
        <v>75</v>
      </c>
      <c r="I409" s="65" t="s">
        <v>185</v>
      </c>
      <c r="J409" s="63">
        <v>2636</v>
      </c>
      <c r="K409" s="64">
        <v>731.49</v>
      </c>
      <c r="L409" s="63" t="s">
        <v>2302</v>
      </c>
      <c r="M409" s="65" t="str">
        <f t="shared" si="6"/>
        <v>BRASIL MINERACAOBEIRA RIORACHÃOZINHO</v>
      </c>
      <c r="N409" s="85" t="s">
        <v>111</v>
      </c>
    </row>
    <row r="410" spans="2:14" hidden="1" x14ac:dyDescent="0.25">
      <c r="B410" s="91">
        <v>46099</v>
      </c>
      <c r="C410" s="63">
        <v>1</v>
      </c>
      <c r="D410" s="63" t="s">
        <v>173</v>
      </c>
      <c r="E410" s="65" t="s">
        <v>174</v>
      </c>
      <c r="F410" s="65" t="s">
        <v>163</v>
      </c>
      <c r="G410" s="63" t="s">
        <v>111</v>
      </c>
      <c r="H410" s="63">
        <v>75</v>
      </c>
      <c r="I410" s="65" t="s">
        <v>185</v>
      </c>
      <c r="J410" s="63">
        <v>2657</v>
      </c>
      <c r="K410" s="64">
        <v>737.32</v>
      </c>
      <c r="L410" s="63" t="s">
        <v>2303</v>
      </c>
      <c r="M410" s="65" t="str">
        <f t="shared" si="6"/>
        <v>BRASIL MINERACAOBEIRA RIORACHÃOZINHO</v>
      </c>
      <c r="N410" s="85" t="s">
        <v>111</v>
      </c>
    </row>
    <row r="411" spans="2:14" hidden="1" x14ac:dyDescent="0.25">
      <c r="B411" s="91">
        <v>46099</v>
      </c>
      <c r="C411" s="63">
        <v>1</v>
      </c>
      <c r="D411" s="63" t="s">
        <v>173</v>
      </c>
      <c r="E411" s="65" t="s">
        <v>174</v>
      </c>
      <c r="F411" s="65" t="s">
        <v>163</v>
      </c>
      <c r="G411" s="63" t="s">
        <v>111</v>
      </c>
      <c r="H411" s="63">
        <v>75</v>
      </c>
      <c r="I411" s="65" t="s">
        <v>185</v>
      </c>
      <c r="J411" s="63">
        <v>2558</v>
      </c>
      <c r="K411" s="64">
        <v>709.85</v>
      </c>
      <c r="L411" s="63" t="s">
        <v>2304</v>
      </c>
      <c r="M411" s="65" t="str">
        <f t="shared" si="6"/>
        <v>BRASIL MINERACAOBEIRA RIORACHÃOZINHO</v>
      </c>
      <c r="N411" s="85" t="s">
        <v>111</v>
      </c>
    </row>
    <row r="412" spans="2:14" hidden="1" x14ac:dyDescent="0.25">
      <c r="B412" s="91">
        <v>46099</v>
      </c>
      <c r="C412" s="63">
        <v>1</v>
      </c>
      <c r="D412" s="63" t="s">
        <v>173</v>
      </c>
      <c r="E412" s="65" t="s">
        <v>174</v>
      </c>
      <c r="F412" s="65" t="s">
        <v>163</v>
      </c>
      <c r="G412" s="63" t="s">
        <v>111</v>
      </c>
      <c r="H412" s="63">
        <v>75</v>
      </c>
      <c r="I412" s="65" t="s">
        <v>185</v>
      </c>
      <c r="J412" s="63">
        <v>2582</v>
      </c>
      <c r="K412" s="64">
        <v>716.51</v>
      </c>
      <c r="L412" s="63" t="s">
        <v>2305</v>
      </c>
      <c r="M412" s="65" t="str">
        <f t="shared" si="6"/>
        <v>BRASIL MINERACAOBEIRA RIORACHÃOZINHO</v>
      </c>
      <c r="N412" s="85" t="s">
        <v>111</v>
      </c>
    </row>
    <row r="413" spans="2:14" hidden="1" x14ac:dyDescent="0.25">
      <c r="B413" s="91">
        <v>46099</v>
      </c>
      <c r="C413" s="63">
        <v>1</v>
      </c>
      <c r="D413" s="63" t="s">
        <v>173</v>
      </c>
      <c r="E413" s="65" t="s">
        <v>174</v>
      </c>
      <c r="F413" s="65" t="s">
        <v>163</v>
      </c>
      <c r="G413" s="63" t="s">
        <v>11</v>
      </c>
      <c r="H413" s="63">
        <v>60</v>
      </c>
      <c r="I413" s="65" t="s">
        <v>185</v>
      </c>
      <c r="J413" s="63">
        <v>2524</v>
      </c>
      <c r="K413" s="64">
        <v>560.33000000000004</v>
      </c>
      <c r="L413" s="63" t="s">
        <v>2306</v>
      </c>
      <c r="M413" s="65" t="str">
        <f t="shared" si="6"/>
        <v>BRASIL MINERACAOMETROPOLITANARACHÃOZINHO</v>
      </c>
      <c r="N413" s="85" t="s">
        <v>108</v>
      </c>
    </row>
    <row r="414" spans="2:14" x14ac:dyDescent="0.25">
      <c r="B414" s="91">
        <v>46099</v>
      </c>
      <c r="C414" s="63">
        <v>1</v>
      </c>
      <c r="D414" s="63" t="s">
        <v>173</v>
      </c>
      <c r="E414" s="65" t="s">
        <v>174</v>
      </c>
      <c r="F414" s="65" t="s">
        <v>166</v>
      </c>
      <c r="G414" s="63" t="s">
        <v>2123</v>
      </c>
      <c r="H414" s="63">
        <v>60</v>
      </c>
      <c r="I414" s="65" t="s">
        <v>185</v>
      </c>
      <c r="J414" s="63">
        <v>2548</v>
      </c>
      <c r="K414" s="64">
        <v>565.66</v>
      </c>
      <c r="L414" s="63" t="s">
        <v>2307</v>
      </c>
      <c r="M414" s="65" t="str">
        <f t="shared" si="6"/>
        <v>GRANORTEVIADUTO DO CAFERACHÃOZINHO</v>
      </c>
      <c r="N414" s="85" t="s">
        <v>2854</v>
      </c>
    </row>
    <row r="415" spans="2:14" x14ac:dyDescent="0.25">
      <c r="B415" s="91">
        <v>46099</v>
      </c>
      <c r="C415" s="63">
        <v>1</v>
      </c>
      <c r="D415" s="63" t="s">
        <v>173</v>
      </c>
      <c r="E415" s="65" t="s">
        <v>174</v>
      </c>
      <c r="F415" s="65" t="s">
        <v>166</v>
      </c>
      <c r="G415" s="63" t="s">
        <v>2123</v>
      </c>
      <c r="H415" s="63">
        <v>60</v>
      </c>
      <c r="I415" s="65" t="s">
        <v>185</v>
      </c>
      <c r="J415" s="63">
        <v>25066</v>
      </c>
      <c r="K415" s="64">
        <v>556.47</v>
      </c>
      <c r="L415" s="63" t="s">
        <v>2308</v>
      </c>
      <c r="M415" s="65" t="str">
        <f t="shared" si="6"/>
        <v>GRANORTEVIADUTO DO CAFERACHÃOZINHO</v>
      </c>
      <c r="N415" s="85" t="s">
        <v>2854</v>
      </c>
    </row>
    <row r="416" spans="2:14" hidden="1" x14ac:dyDescent="0.25">
      <c r="B416" s="91">
        <v>46099</v>
      </c>
      <c r="C416" s="63">
        <v>1</v>
      </c>
      <c r="D416" s="63" t="s">
        <v>173</v>
      </c>
      <c r="E416" s="65" t="s">
        <v>174</v>
      </c>
      <c r="F416" s="65" t="s">
        <v>163</v>
      </c>
      <c r="G416" s="63" t="s">
        <v>11</v>
      </c>
      <c r="H416" s="63">
        <v>60</v>
      </c>
      <c r="I416" s="65" t="s">
        <v>185</v>
      </c>
      <c r="J416" s="63">
        <v>2558</v>
      </c>
      <c r="K416" s="64">
        <v>567.88</v>
      </c>
      <c r="L416" s="63" t="s">
        <v>2309</v>
      </c>
      <c r="M416" s="65" t="str">
        <f t="shared" si="6"/>
        <v>BRASIL MINERACAOMETROPOLITANARACHÃOZINHO</v>
      </c>
      <c r="N416" s="85" t="s">
        <v>108</v>
      </c>
    </row>
    <row r="417" spans="2:14" hidden="1" x14ac:dyDescent="0.25">
      <c r="B417" s="91">
        <v>46099</v>
      </c>
      <c r="C417" s="63">
        <v>1</v>
      </c>
      <c r="D417" s="63" t="s">
        <v>173</v>
      </c>
      <c r="E417" s="65" t="s">
        <v>174</v>
      </c>
      <c r="F417" s="65" t="s">
        <v>163</v>
      </c>
      <c r="G417" s="63" t="s">
        <v>111</v>
      </c>
      <c r="H417" s="63">
        <v>75</v>
      </c>
      <c r="I417" s="65" t="s">
        <v>185</v>
      </c>
      <c r="J417" s="63">
        <v>2466</v>
      </c>
      <c r="K417" s="64">
        <v>684.32</v>
      </c>
      <c r="L417" s="63" t="s">
        <v>2310</v>
      </c>
      <c r="M417" s="65" t="str">
        <f t="shared" si="6"/>
        <v>BRASIL MINERACAOBEIRA RIORACHÃOZINHO</v>
      </c>
      <c r="N417" s="85" t="s">
        <v>111</v>
      </c>
    </row>
    <row r="418" spans="2:14" x14ac:dyDescent="0.25">
      <c r="B418" s="91">
        <v>46099</v>
      </c>
      <c r="C418" s="63">
        <v>1</v>
      </c>
      <c r="D418" s="63" t="s">
        <v>173</v>
      </c>
      <c r="E418" s="65" t="s">
        <v>174</v>
      </c>
      <c r="F418" s="65" t="s">
        <v>166</v>
      </c>
      <c r="G418" s="63" t="s">
        <v>2123</v>
      </c>
      <c r="H418" s="63">
        <v>60</v>
      </c>
      <c r="I418" s="65" t="s">
        <v>169</v>
      </c>
      <c r="J418" s="63">
        <v>2584</v>
      </c>
      <c r="K418" s="64">
        <v>573.65</v>
      </c>
      <c r="L418" s="63" t="s">
        <v>2311</v>
      </c>
      <c r="M418" s="65" t="str">
        <f t="shared" si="6"/>
        <v>GRANORTEVIADUTO DO CAFEPULMÃOZINHO</v>
      </c>
      <c r="N418" s="85" t="s">
        <v>2854</v>
      </c>
    </row>
    <row r="419" spans="2:14" x14ac:dyDescent="0.25">
      <c r="B419" s="91">
        <v>46099</v>
      </c>
      <c r="C419" s="63">
        <v>1</v>
      </c>
      <c r="D419" s="63" t="s">
        <v>173</v>
      </c>
      <c r="E419" s="65" t="s">
        <v>174</v>
      </c>
      <c r="F419" s="65" t="s">
        <v>166</v>
      </c>
      <c r="G419" s="63" t="s">
        <v>2123</v>
      </c>
      <c r="H419" s="63">
        <v>60</v>
      </c>
      <c r="I419" s="65" t="s">
        <v>169</v>
      </c>
      <c r="J419" s="63">
        <v>2658</v>
      </c>
      <c r="K419" s="64">
        <v>590.08000000000004</v>
      </c>
      <c r="L419" s="63" t="s">
        <v>2312</v>
      </c>
      <c r="M419" s="65" t="str">
        <f t="shared" si="6"/>
        <v>GRANORTEVIADUTO DO CAFEPULMÃOZINHO</v>
      </c>
      <c r="N419" s="85" t="s">
        <v>2854</v>
      </c>
    </row>
    <row r="420" spans="2:14" x14ac:dyDescent="0.25">
      <c r="B420" s="91">
        <v>46099</v>
      </c>
      <c r="C420" s="63">
        <v>1</v>
      </c>
      <c r="D420" s="63" t="s">
        <v>173</v>
      </c>
      <c r="E420" s="65" t="s">
        <v>174</v>
      </c>
      <c r="F420" s="65" t="s">
        <v>166</v>
      </c>
      <c r="G420" s="63" t="s">
        <v>2123</v>
      </c>
      <c r="H420" s="63">
        <v>60</v>
      </c>
      <c r="I420" s="65" t="s">
        <v>169</v>
      </c>
      <c r="J420" s="63">
        <v>268</v>
      </c>
      <c r="K420" s="64">
        <v>594.96</v>
      </c>
      <c r="L420" s="63" t="s">
        <v>2313</v>
      </c>
      <c r="M420" s="65" t="str">
        <f t="shared" si="6"/>
        <v>GRANORTEVIADUTO DO CAFEPULMÃOZINHO</v>
      </c>
      <c r="N420" s="85" t="s">
        <v>2854</v>
      </c>
    </row>
    <row r="421" spans="2:14" x14ac:dyDescent="0.25">
      <c r="B421" s="91">
        <v>46099</v>
      </c>
      <c r="C421" s="63">
        <v>1</v>
      </c>
      <c r="D421" s="63" t="s">
        <v>173</v>
      </c>
      <c r="E421" s="65" t="s">
        <v>174</v>
      </c>
      <c r="F421" s="65" t="s">
        <v>166</v>
      </c>
      <c r="G421" s="63" t="s">
        <v>2123</v>
      </c>
      <c r="H421" s="63">
        <v>60</v>
      </c>
      <c r="I421" s="65" t="s">
        <v>169</v>
      </c>
      <c r="J421" s="63">
        <v>2754</v>
      </c>
      <c r="K421" s="64">
        <v>611.39</v>
      </c>
      <c r="L421" s="63" t="s">
        <v>2314</v>
      </c>
      <c r="M421" s="65" t="str">
        <f t="shared" si="6"/>
        <v>GRANORTEVIADUTO DO CAFEPULMÃOZINHO</v>
      </c>
      <c r="N421" s="85" t="s">
        <v>2854</v>
      </c>
    </row>
    <row r="422" spans="2:14" x14ac:dyDescent="0.25">
      <c r="B422" s="91">
        <v>46099</v>
      </c>
      <c r="C422" s="63">
        <v>1</v>
      </c>
      <c r="D422" s="63" t="s">
        <v>173</v>
      </c>
      <c r="E422" s="65" t="s">
        <v>174</v>
      </c>
      <c r="F422" s="65" t="s">
        <v>166</v>
      </c>
      <c r="G422" s="63" t="s">
        <v>2123</v>
      </c>
      <c r="H422" s="63">
        <v>60</v>
      </c>
      <c r="I422" s="65" t="s">
        <v>169</v>
      </c>
      <c r="J422" s="63">
        <v>2616</v>
      </c>
      <c r="K422" s="64">
        <v>580.75</v>
      </c>
      <c r="L422" s="63" t="s">
        <v>2315</v>
      </c>
      <c r="M422" s="65" t="str">
        <f t="shared" si="6"/>
        <v>GRANORTEVIADUTO DO CAFEPULMÃOZINHO</v>
      </c>
      <c r="N422" s="85" t="s">
        <v>2854</v>
      </c>
    </row>
    <row r="423" spans="2:14" x14ac:dyDescent="0.25">
      <c r="B423" s="91">
        <v>46099</v>
      </c>
      <c r="C423" s="63">
        <v>1</v>
      </c>
      <c r="D423" s="63" t="s">
        <v>173</v>
      </c>
      <c r="E423" s="65" t="s">
        <v>174</v>
      </c>
      <c r="F423" s="65" t="s">
        <v>166</v>
      </c>
      <c r="G423" s="63" t="s">
        <v>2123</v>
      </c>
      <c r="H423" s="63">
        <v>60</v>
      </c>
      <c r="I423" s="65" t="s">
        <v>169</v>
      </c>
      <c r="J423" s="63">
        <v>2558</v>
      </c>
      <c r="K423" s="64">
        <v>567.88</v>
      </c>
      <c r="L423" s="63" t="s">
        <v>2316</v>
      </c>
      <c r="M423" s="65" t="str">
        <f t="shared" si="6"/>
        <v>GRANORTEVIADUTO DO CAFEPULMÃOZINHO</v>
      </c>
      <c r="N423" s="85" t="s">
        <v>2854</v>
      </c>
    </row>
    <row r="424" spans="2:14" hidden="1" x14ac:dyDescent="0.25">
      <c r="B424" s="91">
        <v>46099</v>
      </c>
      <c r="C424" s="63">
        <v>1</v>
      </c>
      <c r="D424" s="63" t="s">
        <v>286</v>
      </c>
      <c r="E424" s="65" t="s">
        <v>506</v>
      </c>
      <c r="F424" s="65" t="s">
        <v>166</v>
      </c>
      <c r="G424" s="63" t="s">
        <v>111</v>
      </c>
      <c r="H424" s="63">
        <v>79</v>
      </c>
      <c r="I424" s="65" t="s">
        <v>169</v>
      </c>
      <c r="J424" s="63">
        <v>253</v>
      </c>
      <c r="K424" s="64">
        <v>739.52</v>
      </c>
      <c r="L424" s="63" t="s">
        <v>2317</v>
      </c>
      <c r="M424" s="65" t="str">
        <f t="shared" si="6"/>
        <v>GRANORTEBEIRA RIOPULMÃOZINHO</v>
      </c>
      <c r="N424" s="85" t="s">
        <v>111</v>
      </c>
    </row>
    <row r="425" spans="2:14" hidden="1" x14ac:dyDescent="0.25">
      <c r="B425" s="91">
        <v>46099</v>
      </c>
      <c r="C425" s="63">
        <v>1</v>
      </c>
      <c r="D425" s="63" t="s">
        <v>286</v>
      </c>
      <c r="E425" s="65" t="s">
        <v>506</v>
      </c>
      <c r="F425" s="65" t="s">
        <v>166</v>
      </c>
      <c r="G425" s="63" t="s">
        <v>164</v>
      </c>
      <c r="H425" s="63">
        <v>58</v>
      </c>
      <c r="I425" s="65" t="s">
        <v>165</v>
      </c>
      <c r="J425" s="63">
        <v>2456</v>
      </c>
      <c r="K425" s="64">
        <v>527.05999999999995</v>
      </c>
      <c r="L425" s="63" t="s">
        <v>2318</v>
      </c>
      <c r="M425" s="65" t="str">
        <f t="shared" si="6"/>
        <v>GRANORTEUA SAO LUISPÓ DE BRITA</v>
      </c>
      <c r="N425" s="85" t="s">
        <v>224</v>
      </c>
    </row>
    <row r="426" spans="2:14" x14ac:dyDescent="0.25">
      <c r="B426" s="91">
        <v>46099</v>
      </c>
      <c r="C426" s="63">
        <v>1</v>
      </c>
      <c r="D426" s="63" t="s">
        <v>173</v>
      </c>
      <c r="E426" s="65" t="s">
        <v>174</v>
      </c>
      <c r="F426" s="65" t="s">
        <v>166</v>
      </c>
      <c r="G426" s="63" t="s">
        <v>2123</v>
      </c>
      <c r="H426" s="63">
        <v>60</v>
      </c>
      <c r="I426" s="65" t="s">
        <v>169</v>
      </c>
      <c r="J426" s="63">
        <v>2578</v>
      </c>
      <c r="K426" s="64">
        <v>572.32000000000005</v>
      </c>
      <c r="L426" s="63" t="s">
        <v>2319</v>
      </c>
      <c r="M426" s="65" t="str">
        <f t="shared" si="6"/>
        <v>GRANORTEVIADUTO DO CAFEPULMÃOZINHO</v>
      </c>
      <c r="N426" s="85" t="s">
        <v>2854</v>
      </c>
    </row>
    <row r="427" spans="2:14" x14ac:dyDescent="0.25">
      <c r="B427" s="91">
        <v>46099</v>
      </c>
      <c r="C427" s="63">
        <v>1</v>
      </c>
      <c r="D427" s="63" t="s">
        <v>173</v>
      </c>
      <c r="E427" s="65" t="s">
        <v>174</v>
      </c>
      <c r="F427" s="65" t="s">
        <v>166</v>
      </c>
      <c r="G427" s="63" t="s">
        <v>2123</v>
      </c>
      <c r="H427" s="63">
        <v>60</v>
      </c>
      <c r="I427" s="65" t="s">
        <v>169</v>
      </c>
      <c r="J427" s="63">
        <v>2646</v>
      </c>
      <c r="K427" s="64">
        <v>587.41</v>
      </c>
      <c r="L427" s="63" t="s">
        <v>2320</v>
      </c>
      <c r="M427" s="65" t="str">
        <f t="shared" si="6"/>
        <v>GRANORTEVIADUTO DO CAFEPULMÃOZINHO</v>
      </c>
      <c r="N427" s="85" t="s">
        <v>2854</v>
      </c>
    </row>
    <row r="428" spans="2:14" hidden="1" x14ac:dyDescent="0.25">
      <c r="B428" s="91">
        <v>46099</v>
      </c>
      <c r="C428" s="63">
        <v>1</v>
      </c>
      <c r="D428" s="63" t="s">
        <v>193</v>
      </c>
      <c r="E428" s="65" t="s">
        <v>285</v>
      </c>
      <c r="F428" s="65" t="s">
        <v>166</v>
      </c>
      <c r="G428" s="63" t="s">
        <v>111</v>
      </c>
      <c r="H428" s="63">
        <v>79</v>
      </c>
      <c r="I428" s="65" t="s">
        <v>172</v>
      </c>
      <c r="J428" s="63">
        <v>2694</v>
      </c>
      <c r="K428" s="64">
        <v>787.46</v>
      </c>
      <c r="L428" s="63" t="s">
        <v>2321</v>
      </c>
      <c r="M428" s="65" t="str">
        <f t="shared" si="6"/>
        <v>GRANORTEBEIRA RIOBICA CORRIDA</v>
      </c>
      <c r="N428" s="85" t="s">
        <v>111</v>
      </c>
    </row>
    <row r="429" spans="2:14" x14ac:dyDescent="0.25">
      <c r="B429" s="91">
        <v>46099</v>
      </c>
      <c r="C429" s="63">
        <v>1</v>
      </c>
      <c r="D429" s="63" t="s">
        <v>193</v>
      </c>
      <c r="E429" s="65" t="s">
        <v>285</v>
      </c>
      <c r="F429" s="65" t="s">
        <v>166</v>
      </c>
      <c r="G429" s="63" t="s">
        <v>2123</v>
      </c>
      <c r="H429" s="63">
        <v>60</v>
      </c>
      <c r="I429" s="65" t="s">
        <v>169</v>
      </c>
      <c r="J429" s="63">
        <v>2666</v>
      </c>
      <c r="K429" s="64">
        <v>591.85</v>
      </c>
      <c r="L429" s="63" t="s">
        <v>2322</v>
      </c>
      <c r="M429" s="65" t="str">
        <f t="shared" si="6"/>
        <v>GRANORTEVIADUTO DO CAFEPULMÃOZINHO</v>
      </c>
      <c r="N429" s="85" t="s">
        <v>2854</v>
      </c>
    </row>
    <row r="430" spans="2:14" hidden="1" x14ac:dyDescent="0.25">
      <c r="B430" s="91">
        <v>46099</v>
      </c>
      <c r="C430" s="63">
        <v>1</v>
      </c>
      <c r="D430" s="63" t="s">
        <v>192</v>
      </c>
      <c r="E430" s="65" t="s">
        <v>287</v>
      </c>
      <c r="F430" s="65" t="s">
        <v>163</v>
      </c>
      <c r="G430" s="63" t="s">
        <v>164</v>
      </c>
      <c r="H430" s="63">
        <v>52</v>
      </c>
      <c r="I430" s="65" t="s">
        <v>165</v>
      </c>
      <c r="J430" s="63">
        <v>4618</v>
      </c>
      <c r="K430" s="64">
        <v>888.5</v>
      </c>
      <c r="L430" s="63" t="s">
        <v>2323</v>
      </c>
      <c r="M430" s="65" t="str">
        <f t="shared" si="6"/>
        <v>BRASIL MINERACAOUA SAO LUISPÓ DE BRITA</v>
      </c>
      <c r="N430" s="85" t="s">
        <v>224</v>
      </c>
    </row>
    <row r="431" spans="2:14" hidden="1" x14ac:dyDescent="0.25">
      <c r="B431" s="91">
        <v>46099</v>
      </c>
      <c r="C431" s="63">
        <v>1</v>
      </c>
      <c r="D431" s="63" t="s">
        <v>192</v>
      </c>
      <c r="E431" s="65" t="s">
        <v>287</v>
      </c>
      <c r="F431" s="65" t="s">
        <v>163</v>
      </c>
      <c r="G431" s="63" t="s">
        <v>164</v>
      </c>
      <c r="H431" s="63">
        <v>52</v>
      </c>
      <c r="I431" s="65" t="s">
        <v>175</v>
      </c>
      <c r="J431" s="63">
        <v>4946</v>
      </c>
      <c r="K431" s="64">
        <v>951.61</v>
      </c>
      <c r="L431" s="63" t="s">
        <v>2324</v>
      </c>
      <c r="M431" s="65" t="str">
        <f t="shared" si="6"/>
        <v>BRASIL MINERACAOUA SAO LUISBRITA 0</v>
      </c>
      <c r="N431" s="85" t="s">
        <v>224</v>
      </c>
    </row>
    <row r="432" spans="2:14" hidden="1" x14ac:dyDescent="0.25">
      <c r="B432" s="91">
        <v>46099</v>
      </c>
      <c r="C432" s="63">
        <v>1</v>
      </c>
      <c r="D432" s="63" t="s">
        <v>186</v>
      </c>
      <c r="E432" s="65" t="s">
        <v>187</v>
      </c>
      <c r="F432" s="65" t="s">
        <v>190</v>
      </c>
      <c r="G432" s="63" t="s">
        <v>212</v>
      </c>
      <c r="H432" s="63">
        <v>376</v>
      </c>
      <c r="I432" s="65" t="s">
        <v>165</v>
      </c>
      <c r="J432" s="63">
        <v>5058</v>
      </c>
      <c r="K432" s="64">
        <v>6085.79</v>
      </c>
      <c r="L432" s="63" t="s">
        <v>2325</v>
      </c>
      <c r="M432" s="65" t="str">
        <f t="shared" si="6"/>
        <v>SERVENGUSINA PINHEIROPÓ DE BRITA</v>
      </c>
      <c r="N432" s="85" t="s">
        <v>223</v>
      </c>
    </row>
    <row r="433" spans="2:14" hidden="1" x14ac:dyDescent="0.25">
      <c r="B433" s="91">
        <v>46099</v>
      </c>
      <c r="C433" s="63">
        <v>1</v>
      </c>
      <c r="D433" s="63" t="s">
        <v>1948</v>
      </c>
      <c r="E433" s="65" t="s">
        <v>1949</v>
      </c>
      <c r="F433" s="65" t="s">
        <v>163</v>
      </c>
      <c r="G433" s="63" t="s">
        <v>164</v>
      </c>
      <c r="H433" s="63">
        <v>52</v>
      </c>
      <c r="I433" s="65" t="s">
        <v>175</v>
      </c>
      <c r="J433" s="63">
        <v>476</v>
      </c>
      <c r="K433" s="64">
        <v>915.82</v>
      </c>
      <c r="L433" s="63" t="s">
        <v>2326</v>
      </c>
      <c r="M433" s="65" t="str">
        <f t="shared" si="6"/>
        <v>BRASIL MINERACAOUA SAO LUISBRITA 0</v>
      </c>
      <c r="N433" s="85" t="s">
        <v>224</v>
      </c>
    </row>
    <row r="434" spans="2:14" hidden="1" x14ac:dyDescent="0.25">
      <c r="B434" s="91">
        <v>46100</v>
      </c>
      <c r="C434" s="63">
        <v>1</v>
      </c>
      <c r="D434" s="63" t="s">
        <v>188</v>
      </c>
      <c r="E434" s="65" t="s">
        <v>189</v>
      </c>
      <c r="F434" s="65" t="s">
        <v>166</v>
      </c>
      <c r="G434" s="63" t="s">
        <v>164</v>
      </c>
      <c r="H434" s="63">
        <v>58</v>
      </c>
      <c r="I434" s="65" t="s">
        <v>175</v>
      </c>
      <c r="J434" s="63">
        <v>7478</v>
      </c>
      <c r="K434" s="64">
        <v>1604.78</v>
      </c>
      <c r="L434" s="63" t="s">
        <v>2327</v>
      </c>
      <c r="M434" s="65" t="str">
        <f t="shared" si="6"/>
        <v>GRANORTEUA SAO LUISBRITA 0</v>
      </c>
      <c r="N434" s="85" t="s">
        <v>224</v>
      </c>
    </row>
    <row r="435" spans="2:14" hidden="1" x14ac:dyDescent="0.25">
      <c r="B435" s="91">
        <v>46100</v>
      </c>
      <c r="C435" s="63">
        <v>1</v>
      </c>
      <c r="D435" s="63" t="s">
        <v>202</v>
      </c>
      <c r="E435" s="65" t="s">
        <v>214</v>
      </c>
      <c r="F435" s="65" t="s">
        <v>166</v>
      </c>
      <c r="G435" s="63" t="s">
        <v>191</v>
      </c>
      <c r="H435" s="63">
        <v>243</v>
      </c>
      <c r="I435" s="65" t="s">
        <v>165</v>
      </c>
      <c r="J435" s="63">
        <v>6162</v>
      </c>
      <c r="K435" s="64">
        <v>5540.25</v>
      </c>
      <c r="L435" s="63" t="s">
        <v>2328</v>
      </c>
      <c r="M435" s="65" t="str">
        <f t="shared" si="6"/>
        <v>GRANORTEOLINDA NOVA - MAPÓ DE BRITA</v>
      </c>
      <c r="N435" s="85" t="s">
        <v>191</v>
      </c>
    </row>
    <row r="436" spans="2:14" hidden="1" x14ac:dyDescent="0.25">
      <c r="B436" s="91">
        <v>46100</v>
      </c>
      <c r="C436" s="63">
        <v>1</v>
      </c>
      <c r="D436" s="63" t="s">
        <v>203</v>
      </c>
      <c r="E436" s="65" t="s">
        <v>204</v>
      </c>
      <c r="F436" s="65" t="s">
        <v>166</v>
      </c>
      <c r="G436" s="63" t="s">
        <v>164</v>
      </c>
      <c r="H436" s="63">
        <v>58</v>
      </c>
      <c r="I436" s="65" t="s">
        <v>175</v>
      </c>
      <c r="J436" s="63">
        <v>4654</v>
      </c>
      <c r="K436" s="64">
        <v>998.75</v>
      </c>
      <c r="L436" s="63" t="s">
        <v>2329</v>
      </c>
      <c r="M436" s="65" t="str">
        <f t="shared" si="6"/>
        <v>GRANORTEUA SAO LUISBRITA 0</v>
      </c>
      <c r="N436" s="85" t="s">
        <v>224</v>
      </c>
    </row>
    <row r="437" spans="2:14" hidden="1" x14ac:dyDescent="0.25">
      <c r="B437" s="91">
        <v>46100</v>
      </c>
      <c r="C437" s="63">
        <v>1</v>
      </c>
      <c r="D437" s="63" t="s">
        <v>170</v>
      </c>
      <c r="E437" s="65" t="s">
        <v>171</v>
      </c>
      <c r="F437" s="65" t="s">
        <v>166</v>
      </c>
      <c r="G437" s="63" t="s">
        <v>824</v>
      </c>
      <c r="H437" s="63">
        <v>78</v>
      </c>
      <c r="I437" s="65" t="s">
        <v>169</v>
      </c>
      <c r="J437" s="63">
        <v>248</v>
      </c>
      <c r="K437" s="64">
        <v>715.73</v>
      </c>
      <c r="L437" s="63" t="s">
        <v>2330</v>
      </c>
      <c r="M437" s="65" t="str">
        <f t="shared" si="6"/>
        <v>GRANORTECRUZAMENTO MA 201/202 (METROPOLITANA)PULMÃOZINHO</v>
      </c>
      <c r="N437" s="85" t="s">
        <v>108</v>
      </c>
    </row>
    <row r="438" spans="2:14" hidden="1" x14ac:dyDescent="0.25">
      <c r="B438" s="91">
        <v>46100</v>
      </c>
      <c r="C438" s="63">
        <v>1</v>
      </c>
      <c r="D438" s="63" t="s">
        <v>181</v>
      </c>
      <c r="E438" s="65" t="s">
        <v>182</v>
      </c>
      <c r="F438" s="65" t="s">
        <v>2331</v>
      </c>
      <c r="G438" s="63" t="s">
        <v>2112</v>
      </c>
      <c r="H438" s="63">
        <v>76</v>
      </c>
      <c r="I438" s="65" t="s">
        <v>169</v>
      </c>
      <c r="J438" s="63">
        <v>2558</v>
      </c>
      <c r="K438" s="64">
        <v>719.31</v>
      </c>
      <c r="L438" s="63" t="s">
        <v>2332</v>
      </c>
      <c r="M438" s="65" t="str">
        <f t="shared" si="6"/>
        <v>AV. METROPOLITANARETORNO DA UEMAPULMÃOZINHO</v>
      </c>
      <c r="N438" s="85" t="s">
        <v>108</v>
      </c>
    </row>
    <row r="439" spans="2:14" hidden="1" x14ac:dyDescent="0.25">
      <c r="B439" s="91">
        <v>46100</v>
      </c>
      <c r="C439" s="63">
        <v>1</v>
      </c>
      <c r="D439" s="63" t="s">
        <v>162</v>
      </c>
      <c r="E439" s="65" t="s">
        <v>281</v>
      </c>
      <c r="F439" s="65" t="s">
        <v>166</v>
      </c>
      <c r="G439" s="63" t="s">
        <v>164</v>
      </c>
      <c r="H439" s="63">
        <v>58</v>
      </c>
      <c r="I439" s="65" t="s">
        <v>2333</v>
      </c>
      <c r="J439" s="63">
        <v>2558</v>
      </c>
      <c r="K439" s="64">
        <v>548.95000000000005</v>
      </c>
      <c r="L439" s="63" t="s">
        <v>2334</v>
      </c>
      <c r="M439" s="65" t="str">
        <f t="shared" si="6"/>
        <v>GRANORTEUA SAO LUISPEDRISCO</v>
      </c>
      <c r="N439" s="85" t="s">
        <v>224</v>
      </c>
    </row>
    <row r="440" spans="2:14" hidden="1" x14ac:dyDescent="0.25">
      <c r="B440" s="91">
        <v>46100</v>
      </c>
      <c r="C440" s="63">
        <v>1</v>
      </c>
      <c r="D440" s="63" t="s">
        <v>210</v>
      </c>
      <c r="E440" s="65" t="s">
        <v>211</v>
      </c>
      <c r="F440" s="65" t="s">
        <v>163</v>
      </c>
      <c r="G440" s="63" t="s">
        <v>164</v>
      </c>
      <c r="H440" s="63">
        <v>52</v>
      </c>
      <c r="I440" s="65" t="s">
        <v>175</v>
      </c>
      <c r="J440" s="63">
        <v>4626</v>
      </c>
      <c r="K440" s="64">
        <v>890.04</v>
      </c>
      <c r="L440" s="63" t="s">
        <v>2335</v>
      </c>
      <c r="M440" s="65" t="str">
        <f t="shared" si="6"/>
        <v>BRASIL MINERACAOUA SAO LUISBRITA 0</v>
      </c>
      <c r="N440" s="85" t="s">
        <v>224</v>
      </c>
    </row>
    <row r="441" spans="2:14" hidden="1" x14ac:dyDescent="0.25">
      <c r="B441" s="91">
        <v>46100</v>
      </c>
      <c r="C441" s="63">
        <v>1</v>
      </c>
      <c r="D441" s="63" t="s">
        <v>199</v>
      </c>
      <c r="E441" s="65" t="s">
        <v>180</v>
      </c>
      <c r="F441" s="65" t="s">
        <v>166</v>
      </c>
      <c r="G441" s="63" t="s">
        <v>824</v>
      </c>
      <c r="H441" s="63">
        <v>78</v>
      </c>
      <c r="I441" s="65" t="s">
        <v>169</v>
      </c>
      <c r="J441" s="63">
        <v>2668</v>
      </c>
      <c r="K441" s="64">
        <v>769.98</v>
      </c>
      <c r="L441" s="63" t="s">
        <v>2336</v>
      </c>
      <c r="M441" s="65" t="str">
        <f t="shared" si="6"/>
        <v>GRANORTECRUZAMENTO MA 201/202 (METROPOLITANA)PULMÃOZINHO</v>
      </c>
      <c r="N441" s="85" t="s">
        <v>108</v>
      </c>
    </row>
    <row r="442" spans="2:14" hidden="1" x14ac:dyDescent="0.25">
      <c r="B442" s="91">
        <v>46100</v>
      </c>
      <c r="C442" s="63">
        <v>1</v>
      </c>
      <c r="D442" s="63" t="s">
        <v>196</v>
      </c>
      <c r="E442" s="65" t="s">
        <v>197</v>
      </c>
      <c r="F442" s="65" t="s">
        <v>163</v>
      </c>
      <c r="G442" s="63" t="s">
        <v>164</v>
      </c>
      <c r="H442" s="63">
        <v>52</v>
      </c>
      <c r="I442" s="65" t="s">
        <v>165</v>
      </c>
      <c r="J442" s="63">
        <v>6838</v>
      </c>
      <c r="K442" s="64">
        <v>1315.63</v>
      </c>
      <c r="L442" s="63" t="s">
        <v>2337</v>
      </c>
      <c r="M442" s="65" t="str">
        <f t="shared" si="6"/>
        <v>BRASIL MINERACAOUA SAO LUISPÓ DE BRITA</v>
      </c>
      <c r="N442" s="85" t="s">
        <v>224</v>
      </c>
    </row>
    <row r="443" spans="2:14" hidden="1" x14ac:dyDescent="0.25">
      <c r="B443" s="91">
        <v>46100</v>
      </c>
      <c r="C443" s="63">
        <v>1</v>
      </c>
      <c r="D443" s="63" t="s">
        <v>193</v>
      </c>
      <c r="E443" s="65" t="s">
        <v>285</v>
      </c>
      <c r="F443" s="65" t="s">
        <v>166</v>
      </c>
      <c r="G443" s="63" t="s">
        <v>111</v>
      </c>
      <c r="H443" s="63">
        <v>79</v>
      </c>
      <c r="I443" s="65" t="s">
        <v>169</v>
      </c>
      <c r="J443" s="63">
        <v>2516</v>
      </c>
      <c r="K443" s="64">
        <v>735.43</v>
      </c>
      <c r="L443" s="63" t="s">
        <v>2338</v>
      </c>
      <c r="M443" s="65" t="str">
        <f t="shared" si="6"/>
        <v>GRANORTEBEIRA RIOPULMÃOZINHO</v>
      </c>
      <c r="N443" s="85" t="s">
        <v>111</v>
      </c>
    </row>
    <row r="444" spans="2:14" hidden="1" x14ac:dyDescent="0.25">
      <c r="B444" s="91">
        <v>46100</v>
      </c>
      <c r="C444" s="63">
        <v>1</v>
      </c>
      <c r="D444" s="63" t="s">
        <v>181</v>
      </c>
      <c r="E444" s="65" t="s">
        <v>182</v>
      </c>
      <c r="F444" s="65" t="s">
        <v>2331</v>
      </c>
      <c r="G444" s="63" t="s">
        <v>2112</v>
      </c>
      <c r="H444" s="63">
        <v>76</v>
      </c>
      <c r="I444" s="65" t="s">
        <v>169</v>
      </c>
      <c r="J444" s="63">
        <v>2532</v>
      </c>
      <c r="K444" s="64">
        <v>712</v>
      </c>
      <c r="L444" s="63" t="s">
        <v>2339</v>
      </c>
      <c r="M444" s="65" t="str">
        <f t="shared" si="6"/>
        <v>AV. METROPOLITANARETORNO DA UEMAPULMÃOZINHO</v>
      </c>
      <c r="N444" s="85" t="s">
        <v>108</v>
      </c>
    </row>
    <row r="445" spans="2:14" hidden="1" x14ac:dyDescent="0.25">
      <c r="B445" s="91">
        <v>46100</v>
      </c>
      <c r="C445" s="63">
        <v>1</v>
      </c>
      <c r="D445" s="63" t="s">
        <v>192</v>
      </c>
      <c r="E445" s="65" t="s">
        <v>287</v>
      </c>
      <c r="F445" s="65" t="s">
        <v>163</v>
      </c>
      <c r="G445" s="63" t="s">
        <v>164</v>
      </c>
      <c r="H445" s="63">
        <v>52</v>
      </c>
      <c r="I445" s="65" t="s">
        <v>165</v>
      </c>
      <c r="J445" s="63">
        <v>4548</v>
      </c>
      <c r="K445" s="64">
        <v>875.04</v>
      </c>
      <c r="L445" s="63" t="s">
        <v>2340</v>
      </c>
      <c r="M445" s="65" t="str">
        <f t="shared" si="6"/>
        <v>BRASIL MINERACAOUA SAO LUISPÓ DE BRITA</v>
      </c>
      <c r="N445" s="85" t="s">
        <v>224</v>
      </c>
    </row>
    <row r="446" spans="2:14" hidden="1" x14ac:dyDescent="0.25">
      <c r="B446" s="91">
        <v>46100</v>
      </c>
      <c r="C446" s="63">
        <v>1</v>
      </c>
      <c r="D446" s="63" t="s">
        <v>208</v>
      </c>
      <c r="E446" s="65" t="s">
        <v>209</v>
      </c>
      <c r="F446" s="65" t="s">
        <v>166</v>
      </c>
      <c r="G446" s="63" t="s">
        <v>164</v>
      </c>
      <c r="H446" s="63">
        <v>58</v>
      </c>
      <c r="I446" s="65" t="s">
        <v>165</v>
      </c>
      <c r="J446" s="63">
        <v>580</v>
      </c>
      <c r="K446" s="64">
        <v>1244.68</v>
      </c>
      <c r="L446" s="63" t="s">
        <v>2341</v>
      </c>
      <c r="M446" s="65" t="str">
        <f t="shared" si="6"/>
        <v>GRANORTEUA SAO LUISPÓ DE BRITA</v>
      </c>
      <c r="N446" s="85" t="s">
        <v>224</v>
      </c>
    </row>
    <row r="447" spans="2:14" hidden="1" x14ac:dyDescent="0.25">
      <c r="B447" s="91">
        <v>46100</v>
      </c>
      <c r="C447" s="63">
        <v>1</v>
      </c>
      <c r="D447" s="63" t="s">
        <v>199</v>
      </c>
      <c r="E447" s="65" t="s">
        <v>180</v>
      </c>
      <c r="F447" s="65" t="s">
        <v>166</v>
      </c>
      <c r="G447" s="63" t="s">
        <v>218</v>
      </c>
      <c r="H447" s="63">
        <v>71</v>
      </c>
      <c r="I447" s="65" t="s">
        <v>169</v>
      </c>
      <c r="J447" s="63">
        <v>2576</v>
      </c>
      <c r="K447" s="64">
        <v>676.72</v>
      </c>
      <c r="L447" s="63" t="s">
        <v>2342</v>
      </c>
      <c r="M447" s="65" t="str">
        <f t="shared" si="6"/>
        <v>GRANORTEEXPOEMAPULMÃOZINHO</v>
      </c>
      <c r="N447" s="85" t="s">
        <v>111</v>
      </c>
    </row>
    <row r="448" spans="2:14" hidden="1" x14ac:dyDescent="0.25">
      <c r="B448" s="91">
        <v>46100</v>
      </c>
      <c r="C448" s="63">
        <v>1</v>
      </c>
      <c r="D448" s="63" t="s">
        <v>210</v>
      </c>
      <c r="E448" s="65" t="s">
        <v>211</v>
      </c>
      <c r="F448" s="65" t="s">
        <v>163</v>
      </c>
      <c r="G448" s="63" t="s">
        <v>164</v>
      </c>
      <c r="H448" s="63">
        <v>52</v>
      </c>
      <c r="I448" s="65" t="s">
        <v>165</v>
      </c>
      <c r="J448" s="63">
        <v>449</v>
      </c>
      <c r="K448" s="64">
        <v>863.88</v>
      </c>
      <c r="L448" s="63" t="s">
        <v>2343</v>
      </c>
      <c r="M448" s="65" t="str">
        <f t="shared" si="6"/>
        <v>BRASIL MINERACAOUA SAO LUISPÓ DE BRITA</v>
      </c>
      <c r="N448" s="85" t="s">
        <v>224</v>
      </c>
    </row>
    <row r="449" spans="2:14" x14ac:dyDescent="0.25">
      <c r="B449" s="91">
        <v>46100</v>
      </c>
      <c r="C449" s="63">
        <v>1</v>
      </c>
      <c r="D449" s="63" t="s">
        <v>162</v>
      </c>
      <c r="E449" s="65" t="s">
        <v>281</v>
      </c>
      <c r="F449" s="65" t="s">
        <v>166</v>
      </c>
      <c r="G449" s="63" t="s">
        <v>2123</v>
      </c>
      <c r="H449" s="63">
        <v>60</v>
      </c>
      <c r="I449" s="65" t="s">
        <v>169</v>
      </c>
      <c r="J449" s="63">
        <v>2528</v>
      </c>
      <c r="K449" s="64">
        <v>561.22</v>
      </c>
      <c r="L449" s="63" t="s">
        <v>2344</v>
      </c>
      <c r="M449" s="65" t="str">
        <f t="shared" si="6"/>
        <v>GRANORTEVIADUTO DO CAFEPULMÃOZINHO</v>
      </c>
      <c r="N449" s="85" t="s">
        <v>2854</v>
      </c>
    </row>
    <row r="450" spans="2:14" hidden="1" x14ac:dyDescent="0.25">
      <c r="B450" s="91">
        <v>46100</v>
      </c>
      <c r="C450" s="63">
        <v>1</v>
      </c>
      <c r="D450" s="63" t="s">
        <v>196</v>
      </c>
      <c r="E450" s="65" t="s">
        <v>197</v>
      </c>
      <c r="F450" s="65" t="s">
        <v>163</v>
      </c>
      <c r="G450" s="63" t="s">
        <v>164</v>
      </c>
      <c r="H450" s="63">
        <v>52</v>
      </c>
      <c r="I450" s="65" t="s">
        <v>175</v>
      </c>
      <c r="J450" s="63">
        <v>7096</v>
      </c>
      <c r="K450" s="64">
        <v>1365.27</v>
      </c>
      <c r="L450" s="63" t="s">
        <v>2345</v>
      </c>
      <c r="M450" s="65" t="str">
        <f t="shared" si="6"/>
        <v>BRASIL MINERACAOUA SAO LUISBRITA 0</v>
      </c>
      <c r="N450" s="85" t="s">
        <v>224</v>
      </c>
    </row>
    <row r="451" spans="2:14" x14ac:dyDescent="0.25">
      <c r="B451" s="91">
        <v>46100</v>
      </c>
      <c r="C451" s="63">
        <v>1</v>
      </c>
      <c r="D451" s="63" t="s">
        <v>193</v>
      </c>
      <c r="E451" s="65" t="s">
        <v>285</v>
      </c>
      <c r="F451" s="65" t="s">
        <v>166</v>
      </c>
      <c r="G451" s="63" t="s">
        <v>2123</v>
      </c>
      <c r="H451" s="63">
        <v>60</v>
      </c>
      <c r="I451" s="65" t="s">
        <v>169</v>
      </c>
      <c r="J451" s="63">
        <v>2618</v>
      </c>
      <c r="K451" s="64">
        <v>581.20000000000005</v>
      </c>
      <c r="L451" s="63" t="s">
        <v>2346</v>
      </c>
      <c r="M451" s="65" t="str">
        <f t="shared" si="6"/>
        <v>GRANORTEVIADUTO DO CAFEPULMÃOZINHO</v>
      </c>
      <c r="N451" s="85" t="s">
        <v>2854</v>
      </c>
    </row>
    <row r="452" spans="2:14" hidden="1" x14ac:dyDescent="0.25">
      <c r="B452" s="91">
        <v>46100</v>
      </c>
      <c r="C452" s="63">
        <v>1</v>
      </c>
      <c r="D452" s="63" t="s">
        <v>202</v>
      </c>
      <c r="E452" s="65" t="s">
        <v>214</v>
      </c>
      <c r="F452" s="65" t="s">
        <v>163</v>
      </c>
      <c r="G452" s="63" t="s">
        <v>164</v>
      </c>
      <c r="H452" s="63">
        <v>52</v>
      </c>
      <c r="I452" s="65" t="s">
        <v>165</v>
      </c>
      <c r="J452" s="63">
        <v>6968</v>
      </c>
      <c r="K452" s="64">
        <v>1340.64</v>
      </c>
      <c r="L452" s="63" t="s">
        <v>2347</v>
      </c>
      <c r="M452" s="65" t="str">
        <f t="shared" si="6"/>
        <v>BRASIL MINERACAOUA SAO LUISPÓ DE BRITA</v>
      </c>
      <c r="N452" s="85" t="s">
        <v>224</v>
      </c>
    </row>
    <row r="453" spans="2:14" hidden="1" x14ac:dyDescent="0.25">
      <c r="B453" s="91">
        <v>46100</v>
      </c>
      <c r="C453" s="63">
        <v>1</v>
      </c>
      <c r="D453" s="63" t="s">
        <v>283</v>
      </c>
      <c r="E453" s="65" t="s">
        <v>215</v>
      </c>
      <c r="F453" s="65" t="s">
        <v>163</v>
      </c>
      <c r="G453" s="63" t="s">
        <v>164</v>
      </c>
      <c r="H453" s="63">
        <v>52</v>
      </c>
      <c r="I453" s="65" t="s">
        <v>175</v>
      </c>
      <c r="J453" s="63">
        <v>2644</v>
      </c>
      <c r="K453" s="64">
        <v>508.71</v>
      </c>
      <c r="L453" s="63" t="s">
        <v>2348</v>
      </c>
      <c r="M453" s="65" t="str">
        <f t="shared" ref="M453:M516" si="7">_xlfn.CONCAT(F453&amp;G453&amp;I453)</f>
        <v>BRASIL MINERACAOUA SAO LUISBRITA 0</v>
      </c>
      <c r="N453" s="85" t="s">
        <v>224</v>
      </c>
    </row>
    <row r="454" spans="2:14" hidden="1" x14ac:dyDescent="0.25">
      <c r="B454" s="91">
        <v>46100</v>
      </c>
      <c r="C454" s="63">
        <v>1</v>
      </c>
      <c r="D454" s="63" t="s">
        <v>283</v>
      </c>
      <c r="E454" s="65" t="s">
        <v>215</v>
      </c>
      <c r="F454" s="65" t="s">
        <v>163</v>
      </c>
      <c r="G454" s="63" t="s">
        <v>164</v>
      </c>
      <c r="H454" s="63">
        <v>52</v>
      </c>
      <c r="I454" s="65" t="s">
        <v>175</v>
      </c>
      <c r="J454" s="63">
        <v>260</v>
      </c>
      <c r="K454" s="64">
        <v>500.24</v>
      </c>
      <c r="L454" s="63" t="s">
        <v>2349</v>
      </c>
      <c r="M454" s="65" t="str">
        <f t="shared" si="7"/>
        <v>BRASIL MINERACAOUA SAO LUISBRITA 0</v>
      </c>
      <c r="N454" s="85" t="s">
        <v>224</v>
      </c>
    </row>
    <row r="455" spans="2:14" x14ac:dyDescent="0.25">
      <c r="B455" s="91">
        <v>46100</v>
      </c>
      <c r="C455" s="63">
        <v>1</v>
      </c>
      <c r="D455" s="63" t="s">
        <v>183</v>
      </c>
      <c r="E455" s="65" t="s">
        <v>184</v>
      </c>
      <c r="F455" s="65" t="s">
        <v>166</v>
      </c>
      <c r="G455" s="63" t="s">
        <v>2123</v>
      </c>
      <c r="H455" s="63">
        <v>60</v>
      </c>
      <c r="I455" s="65" t="s">
        <v>169</v>
      </c>
      <c r="J455" s="63">
        <v>2568</v>
      </c>
      <c r="K455" s="64">
        <v>570.1</v>
      </c>
      <c r="L455" s="63" t="s">
        <v>2350</v>
      </c>
      <c r="M455" s="65" t="str">
        <f t="shared" si="7"/>
        <v>GRANORTEVIADUTO DO CAFEPULMÃOZINHO</v>
      </c>
      <c r="N455" s="85" t="s">
        <v>2854</v>
      </c>
    </row>
    <row r="456" spans="2:14" x14ac:dyDescent="0.25">
      <c r="B456" s="91">
        <v>46100</v>
      </c>
      <c r="C456" s="63">
        <v>1</v>
      </c>
      <c r="D456" s="63" t="s">
        <v>183</v>
      </c>
      <c r="E456" s="65" t="s">
        <v>184</v>
      </c>
      <c r="F456" s="65" t="s">
        <v>166</v>
      </c>
      <c r="G456" s="63" t="s">
        <v>2123</v>
      </c>
      <c r="H456" s="63">
        <v>60</v>
      </c>
      <c r="I456" s="65" t="s">
        <v>169</v>
      </c>
      <c r="J456" s="63">
        <v>2556</v>
      </c>
      <c r="K456" s="64">
        <v>567.42999999999995</v>
      </c>
      <c r="L456" s="63" t="s">
        <v>2351</v>
      </c>
      <c r="M456" s="65" t="str">
        <f t="shared" si="7"/>
        <v>GRANORTEVIADUTO DO CAFEPULMÃOZINHO</v>
      </c>
      <c r="N456" s="85" t="s">
        <v>2854</v>
      </c>
    </row>
    <row r="457" spans="2:14" hidden="1" x14ac:dyDescent="0.25">
      <c r="B457" s="91">
        <v>46100</v>
      </c>
      <c r="C457" s="63">
        <v>1</v>
      </c>
      <c r="D457" s="63" t="s">
        <v>186</v>
      </c>
      <c r="E457" s="65" t="s">
        <v>187</v>
      </c>
      <c r="F457" s="65" t="s">
        <v>166</v>
      </c>
      <c r="G457" s="63" t="s">
        <v>164</v>
      </c>
      <c r="H457" s="63">
        <v>58</v>
      </c>
      <c r="I457" s="65" t="s">
        <v>175</v>
      </c>
      <c r="J457" s="63">
        <v>5012</v>
      </c>
      <c r="K457" s="64">
        <v>1075.58</v>
      </c>
      <c r="L457" s="63" t="s">
        <v>2352</v>
      </c>
      <c r="M457" s="65" t="str">
        <f t="shared" si="7"/>
        <v>GRANORTEUA SAO LUISBRITA 0</v>
      </c>
      <c r="N457" s="85" t="s">
        <v>224</v>
      </c>
    </row>
    <row r="458" spans="2:14" hidden="1" x14ac:dyDescent="0.25">
      <c r="B458" s="91">
        <v>46100</v>
      </c>
      <c r="C458" s="63">
        <v>1</v>
      </c>
      <c r="D458" s="63" t="s">
        <v>186</v>
      </c>
      <c r="E458" s="65" t="s">
        <v>187</v>
      </c>
      <c r="F458" s="65" t="s">
        <v>166</v>
      </c>
      <c r="G458" s="63" t="s">
        <v>164</v>
      </c>
      <c r="H458" s="63">
        <v>58</v>
      </c>
      <c r="I458" s="65" t="s">
        <v>165</v>
      </c>
      <c r="J458" s="63">
        <v>5036</v>
      </c>
      <c r="K458" s="64">
        <v>1080.73</v>
      </c>
      <c r="L458" s="63" t="s">
        <v>2353</v>
      </c>
      <c r="M458" s="65" t="str">
        <f t="shared" si="7"/>
        <v>GRANORTEUA SAO LUISPÓ DE BRITA</v>
      </c>
      <c r="N458" s="85" t="s">
        <v>224</v>
      </c>
    </row>
    <row r="459" spans="2:14" hidden="1" x14ac:dyDescent="0.25">
      <c r="B459" s="91">
        <v>46100</v>
      </c>
      <c r="C459" s="63">
        <v>1</v>
      </c>
      <c r="D459" s="63" t="s">
        <v>286</v>
      </c>
      <c r="E459" s="65" t="s">
        <v>506</v>
      </c>
      <c r="F459" s="65" t="s">
        <v>163</v>
      </c>
      <c r="G459" s="63" t="s">
        <v>164</v>
      </c>
      <c r="H459" s="63">
        <v>52</v>
      </c>
      <c r="I459" s="65" t="s">
        <v>175</v>
      </c>
      <c r="J459" s="63">
        <v>2484</v>
      </c>
      <c r="K459" s="64">
        <v>477.92</v>
      </c>
      <c r="L459" s="63" t="s">
        <v>2354</v>
      </c>
      <c r="M459" s="65" t="str">
        <f t="shared" si="7"/>
        <v>BRASIL MINERACAOUA SAO LUISBRITA 0</v>
      </c>
      <c r="N459" s="85" t="s">
        <v>224</v>
      </c>
    </row>
    <row r="460" spans="2:14" hidden="1" x14ac:dyDescent="0.25">
      <c r="B460" s="91">
        <v>46100</v>
      </c>
      <c r="C460" s="63">
        <v>1</v>
      </c>
      <c r="D460" s="63" t="s">
        <v>286</v>
      </c>
      <c r="E460" s="65" t="s">
        <v>506</v>
      </c>
      <c r="F460" s="65" t="s">
        <v>166</v>
      </c>
      <c r="G460" s="63" t="s">
        <v>164</v>
      </c>
      <c r="H460" s="63">
        <v>58</v>
      </c>
      <c r="I460" s="65" t="s">
        <v>165</v>
      </c>
      <c r="J460" s="63">
        <v>2576</v>
      </c>
      <c r="K460" s="64">
        <v>552.80999999999995</v>
      </c>
      <c r="L460" s="63" t="s">
        <v>2355</v>
      </c>
      <c r="M460" s="65" t="str">
        <f t="shared" si="7"/>
        <v>GRANORTEUA SAO LUISPÓ DE BRITA</v>
      </c>
      <c r="N460" s="85" t="s">
        <v>224</v>
      </c>
    </row>
    <row r="461" spans="2:14" hidden="1" x14ac:dyDescent="0.25">
      <c r="B461" s="91">
        <v>46100</v>
      </c>
      <c r="C461" s="63">
        <v>1</v>
      </c>
      <c r="D461" s="63" t="s">
        <v>286</v>
      </c>
      <c r="E461" s="65" t="s">
        <v>506</v>
      </c>
      <c r="F461" s="65" t="s">
        <v>163</v>
      </c>
      <c r="G461" s="63" t="s">
        <v>164</v>
      </c>
      <c r="H461" s="63">
        <v>52</v>
      </c>
      <c r="I461" s="65" t="s">
        <v>165</v>
      </c>
      <c r="J461" s="63">
        <v>2832</v>
      </c>
      <c r="K461" s="64">
        <v>544.88</v>
      </c>
      <c r="L461" s="63" t="s">
        <v>2356</v>
      </c>
      <c r="M461" s="65" t="str">
        <f t="shared" si="7"/>
        <v>BRASIL MINERACAOUA SAO LUISPÓ DE BRITA</v>
      </c>
      <c r="N461" s="85" t="s">
        <v>224</v>
      </c>
    </row>
    <row r="462" spans="2:14" hidden="1" x14ac:dyDescent="0.25">
      <c r="B462" s="91">
        <v>46100</v>
      </c>
      <c r="C462" s="63">
        <v>1</v>
      </c>
      <c r="D462" s="63" t="s">
        <v>200</v>
      </c>
      <c r="E462" s="65" t="s">
        <v>201</v>
      </c>
      <c r="F462" s="65" t="s">
        <v>163</v>
      </c>
      <c r="G462" s="63" t="s">
        <v>164</v>
      </c>
      <c r="H462" s="63">
        <v>52</v>
      </c>
      <c r="I462" s="65" t="s">
        <v>165</v>
      </c>
      <c r="J462" s="63">
        <v>4622</v>
      </c>
      <c r="K462" s="64">
        <v>889.27</v>
      </c>
      <c r="L462" s="63" t="s">
        <v>2357</v>
      </c>
      <c r="M462" s="65" t="str">
        <f t="shared" si="7"/>
        <v>BRASIL MINERACAOUA SAO LUISPÓ DE BRITA</v>
      </c>
      <c r="N462" s="85" t="s">
        <v>224</v>
      </c>
    </row>
    <row r="463" spans="2:14" hidden="1" x14ac:dyDescent="0.25">
      <c r="B463" s="91">
        <v>46100</v>
      </c>
      <c r="C463" s="63">
        <v>1</v>
      </c>
      <c r="D463" s="63" t="s">
        <v>1948</v>
      </c>
      <c r="E463" s="65" t="s">
        <v>1949</v>
      </c>
      <c r="F463" s="65" t="s">
        <v>166</v>
      </c>
      <c r="G463" s="63" t="s">
        <v>164</v>
      </c>
      <c r="H463" s="63">
        <v>58</v>
      </c>
      <c r="I463" s="65" t="s">
        <v>175</v>
      </c>
      <c r="J463" s="63">
        <v>471</v>
      </c>
      <c r="K463" s="64">
        <v>1010.77</v>
      </c>
      <c r="L463" s="63" t="s">
        <v>2358</v>
      </c>
      <c r="M463" s="65" t="str">
        <f t="shared" si="7"/>
        <v>GRANORTEUA SAO LUISBRITA 0</v>
      </c>
      <c r="N463" s="85" t="s">
        <v>224</v>
      </c>
    </row>
    <row r="464" spans="2:14" hidden="1" x14ac:dyDescent="0.25">
      <c r="B464" s="91">
        <v>46100</v>
      </c>
      <c r="C464" s="63">
        <v>1</v>
      </c>
      <c r="D464" s="63" t="s">
        <v>1948</v>
      </c>
      <c r="E464" s="65" t="s">
        <v>1949</v>
      </c>
      <c r="F464" s="65" t="s">
        <v>163</v>
      </c>
      <c r="G464" s="63" t="s">
        <v>164</v>
      </c>
      <c r="H464" s="63">
        <v>52</v>
      </c>
      <c r="I464" s="65" t="s">
        <v>175</v>
      </c>
      <c r="J464" s="63">
        <v>472</v>
      </c>
      <c r="K464" s="64">
        <v>908.13</v>
      </c>
      <c r="L464" s="63" t="s">
        <v>2359</v>
      </c>
      <c r="M464" s="65" t="str">
        <f t="shared" si="7"/>
        <v>BRASIL MINERACAOUA SAO LUISBRITA 0</v>
      </c>
      <c r="N464" s="85" t="s">
        <v>224</v>
      </c>
    </row>
    <row r="465" spans="2:14" hidden="1" x14ac:dyDescent="0.25">
      <c r="B465" s="91">
        <v>46100</v>
      </c>
      <c r="C465" s="63">
        <v>1</v>
      </c>
      <c r="D465" s="63" t="s">
        <v>192</v>
      </c>
      <c r="E465" s="65" t="s">
        <v>287</v>
      </c>
      <c r="F465" s="65" t="s">
        <v>163</v>
      </c>
      <c r="G465" s="63" t="s">
        <v>164</v>
      </c>
      <c r="H465" s="63">
        <v>52</v>
      </c>
      <c r="I465" s="65" t="s">
        <v>175</v>
      </c>
      <c r="J465" s="63">
        <v>508</v>
      </c>
      <c r="K465" s="64">
        <v>977.39</v>
      </c>
      <c r="L465" s="63" t="s">
        <v>2360</v>
      </c>
      <c r="M465" s="65" t="str">
        <f t="shared" si="7"/>
        <v>BRASIL MINERACAOUA SAO LUISBRITA 0</v>
      </c>
      <c r="N465" s="85" t="s">
        <v>224</v>
      </c>
    </row>
    <row r="466" spans="2:14" hidden="1" x14ac:dyDescent="0.25">
      <c r="B466" s="91">
        <v>46101</v>
      </c>
      <c r="C466" s="63">
        <v>1</v>
      </c>
      <c r="D466" s="63" t="s">
        <v>200</v>
      </c>
      <c r="E466" s="65" t="s">
        <v>201</v>
      </c>
      <c r="F466" s="65" t="s">
        <v>163</v>
      </c>
      <c r="G466" s="63" t="s">
        <v>164</v>
      </c>
      <c r="H466" s="63">
        <v>52</v>
      </c>
      <c r="I466" s="65" t="s">
        <v>165</v>
      </c>
      <c r="J466" s="63">
        <v>4596</v>
      </c>
      <c r="K466" s="64">
        <v>884.27</v>
      </c>
      <c r="L466" s="63" t="s">
        <v>1098</v>
      </c>
      <c r="M466" s="65" t="str">
        <f t="shared" si="7"/>
        <v>BRASIL MINERACAOUA SAO LUISPÓ DE BRITA</v>
      </c>
      <c r="N466" s="85" t="s">
        <v>224</v>
      </c>
    </row>
    <row r="467" spans="2:14" hidden="1" x14ac:dyDescent="0.25">
      <c r="B467" s="91">
        <v>46101</v>
      </c>
      <c r="C467" s="63">
        <v>1</v>
      </c>
      <c r="D467" s="63" t="s">
        <v>205</v>
      </c>
      <c r="E467" s="65" t="s">
        <v>206</v>
      </c>
      <c r="F467" s="65" t="s">
        <v>291</v>
      </c>
      <c r="G467" s="63" t="s">
        <v>759</v>
      </c>
      <c r="H467" s="63">
        <v>289</v>
      </c>
      <c r="I467" s="65" t="s">
        <v>221</v>
      </c>
      <c r="J467" s="63">
        <v>506</v>
      </c>
      <c r="K467" s="64">
        <v>5410.66</v>
      </c>
      <c r="L467" s="63" t="s">
        <v>2361</v>
      </c>
      <c r="M467" s="65" t="str">
        <f t="shared" si="7"/>
        <v>MINERADORA PORTO FRANCO - MAVF CONSTRUTORA KM39BGS</v>
      </c>
      <c r="N467" s="85" t="s">
        <v>15</v>
      </c>
    </row>
    <row r="468" spans="2:14" hidden="1" x14ac:dyDescent="0.25">
      <c r="B468" s="91">
        <v>46101</v>
      </c>
      <c r="C468" s="63">
        <v>1</v>
      </c>
      <c r="D468" s="63" t="s">
        <v>181</v>
      </c>
      <c r="E468" s="65" t="s">
        <v>182</v>
      </c>
      <c r="F468" s="65" t="s">
        <v>2331</v>
      </c>
      <c r="G468" s="63" t="s">
        <v>2112</v>
      </c>
      <c r="H468" s="63">
        <v>76</v>
      </c>
      <c r="I468" s="65" t="s">
        <v>169</v>
      </c>
      <c r="J468" s="63">
        <v>2602</v>
      </c>
      <c r="K468" s="64">
        <v>731.68</v>
      </c>
      <c r="L468" s="63" t="s">
        <v>2362</v>
      </c>
      <c r="M468" s="65" t="str">
        <f t="shared" si="7"/>
        <v>AV. METROPOLITANARETORNO DA UEMAPULMÃOZINHO</v>
      </c>
      <c r="N468" s="85" t="s">
        <v>108</v>
      </c>
    </row>
    <row r="469" spans="2:14" hidden="1" x14ac:dyDescent="0.25">
      <c r="B469" s="91">
        <v>46101</v>
      </c>
      <c r="C469" s="63">
        <v>1</v>
      </c>
      <c r="D469" s="63" t="s">
        <v>186</v>
      </c>
      <c r="E469" s="65" t="s">
        <v>187</v>
      </c>
      <c r="F469" s="65" t="s">
        <v>166</v>
      </c>
      <c r="G469" s="63" t="s">
        <v>164</v>
      </c>
      <c r="H469" s="63">
        <v>58</v>
      </c>
      <c r="I469" s="65" t="s">
        <v>175</v>
      </c>
      <c r="J469" s="63">
        <v>502</v>
      </c>
      <c r="K469" s="64">
        <v>1077.29</v>
      </c>
      <c r="L469" s="63" t="s">
        <v>2363</v>
      </c>
      <c r="M469" s="65" t="str">
        <f t="shared" si="7"/>
        <v>GRANORTEUA SAO LUISBRITA 0</v>
      </c>
      <c r="N469" s="85" t="s">
        <v>224</v>
      </c>
    </row>
    <row r="470" spans="2:14" hidden="1" x14ac:dyDescent="0.25">
      <c r="B470" s="91">
        <v>46101</v>
      </c>
      <c r="C470" s="63">
        <v>1</v>
      </c>
      <c r="D470" s="63" t="s">
        <v>203</v>
      </c>
      <c r="E470" s="65" t="s">
        <v>204</v>
      </c>
      <c r="F470" s="65" t="s">
        <v>163</v>
      </c>
      <c r="G470" s="63" t="s">
        <v>164</v>
      </c>
      <c r="H470" s="63">
        <v>52</v>
      </c>
      <c r="I470" s="65" t="s">
        <v>165</v>
      </c>
      <c r="J470" s="63">
        <v>4544</v>
      </c>
      <c r="K470" s="64">
        <v>874.27</v>
      </c>
      <c r="L470" s="63" t="s">
        <v>2364</v>
      </c>
      <c r="M470" s="65" t="str">
        <f t="shared" si="7"/>
        <v>BRASIL MINERACAOUA SAO LUISPÓ DE BRITA</v>
      </c>
      <c r="N470" s="85" t="s">
        <v>224</v>
      </c>
    </row>
    <row r="471" spans="2:14" hidden="1" x14ac:dyDescent="0.25">
      <c r="B471" s="91">
        <v>46101</v>
      </c>
      <c r="C471" s="63">
        <v>1</v>
      </c>
      <c r="D471" s="63" t="s">
        <v>167</v>
      </c>
      <c r="E471" s="65" t="s">
        <v>168</v>
      </c>
      <c r="F471" s="65" t="s">
        <v>166</v>
      </c>
      <c r="G471" s="63" t="s">
        <v>824</v>
      </c>
      <c r="H471" s="63">
        <v>78</v>
      </c>
      <c r="I471" s="65" t="s">
        <v>169</v>
      </c>
      <c r="J471" s="63">
        <v>2566</v>
      </c>
      <c r="K471" s="64">
        <v>740.55</v>
      </c>
      <c r="L471" s="63" t="s">
        <v>2365</v>
      </c>
      <c r="M471" s="65" t="str">
        <f t="shared" si="7"/>
        <v>GRANORTECRUZAMENTO MA 201/202 (METROPOLITANA)PULMÃOZINHO</v>
      </c>
      <c r="N471" s="85" t="s">
        <v>108</v>
      </c>
    </row>
    <row r="472" spans="2:14" hidden="1" x14ac:dyDescent="0.25">
      <c r="B472" s="91">
        <v>46101</v>
      </c>
      <c r="C472" s="63">
        <v>1</v>
      </c>
      <c r="D472" s="63" t="s">
        <v>167</v>
      </c>
      <c r="E472" s="65" t="s">
        <v>168</v>
      </c>
      <c r="F472" s="65" t="s">
        <v>166</v>
      </c>
      <c r="G472" s="63" t="s">
        <v>824</v>
      </c>
      <c r="H472" s="63">
        <v>78</v>
      </c>
      <c r="I472" s="65" t="s">
        <v>169</v>
      </c>
      <c r="J472" s="63">
        <v>2616</v>
      </c>
      <c r="K472" s="64">
        <v>754.98</v>
      </c>
      <c r="L472" s="63" t="s">
        <v>2366</v>
      </c>
      <c r="M472" s="65" t="str">
        <f t="shared" si="7"/>
        <v>GRANORTECRUZAMENTO MA 201/202 (METROPOLITANA)PULMÃOZINHO</v>
      </c>
      <c r="N472" s="85" t="s">
        <v>108</v>
      </c>
    </row>
    <row r="473" spans="2:14" hidden="1" x14ac:dyDescent="0.25">
      <c r="B473" s="91">
        <v>46101</v>
      </c>
      <c r="C473" s="63">
        <v>1</v>
      </c>
      <c r="D473" s="63" t="s">
        <v>167</v>
      </c>
      <c r="E473" s="65" t="s">
        <v>168</v>
      </c>
      <c r="F473" s="65" t="s">
        <v>166</v>
      </c>
      <c r="G473" s="63" t="s">
        <v>824</v>
      </c>
      <c r="H473" s="63">
        <v>78</v>
      </c>
      <c r="I473" s="65" t="s">
        <v>169</v>
      </c>
      <c r="J473" s="63">
        <v>2792</v>
      </c>
      <c r="K473" s="64">
        <v>805.77</v>
      </c>
      <c r="L473" s="63" t="s">
        <v>2367</v>
      </c>
      <c r="M473" s="65" t="str">
        <f t="shared" si="7"/>
        <v>GRANORTECRUZAMENTO MA 201/202 (METROPOLITANA)PULMÃOZINHO</v>
      </c>
      <c r="N473" s="85" t="s">
        <v>108</v>
      </c>
    </row>
    <row r="474" spans="2:14" hidden="1" x14ac:dyDescent="0.25">
      <c r="B474" s="91">
        <v>46101</v>
      </c>
      <c r="C474" s="63">
        <v>1</v>
      </c>
      <c r="D474" s="63" t="s">
        <v>162</v>
      </c>
      <c r="E474" s="65" t="s">
        <v>281</v>
      </c>
      <c r="F474" s="65" t="s">
        <v>166</v>
      </c>
      <c r="G474" s="63" t="s">
        <v>164</v>
      </c>
      <c r="H474" s="63">
        <v>58</v>
      </c>
      <c r="I474" s="65" t="s">
        <v>169</v>
      </c>
      <c r="J474" s="63">
        <v>2624</v>
      </c>
      <c r="K474" s="64">
        <v>563.11</v>
      </c>
      <c r="L474" s="63" t="s">
        <v>2368</v>
      </c>
      <c r="M474" s="65" t="str">
        <f t="shared" si="7"/>
        <v>GRANORTEUA SAO LUISPULMÃOZINHO</v>
      </c>
      <c r="N474" s="85" t="s">
        <v>224</v>
      </c>
    </row>
    <row r="475" spans="2:14" hidden="1" x14ac:dyDescent="0.25">
      <c r="B475" s="91">
        <v>46101</v>
      </c>
      <c r="C475" s="63">
        <v>1</v>
      </c>
      <c r="D475" s="63" t="s">
        <v>170</v>
      </c>
      <c r="E475" s="65" t="s">
        <v>171</v>
      </c>
      <c r="F475" s="65" t="s">
        <v>166</v>
      </c>
      <c r="G475" s="63" t="s">
        <v>218</v>
      </c>
      <c r="H475" s="63">
        <v>71</v>
      </c>
      <c r="I475" s="65" t="s">
        <v>169</v>
      </c>
      <c r="J475" s="63">
        <v>251</v>
      </c>
      <c r="K475" s="64">
        <v>659.38</v>
      </c>
      <c r="L475" s="63" t="s">
        <v>2369</v>
      </c>
      <c r="M475" s="65" t="str">
        <f t="shared" si="7"/>
        <v>GRANORTEEXPOEMAPULMÃOZINHO</v>
      </c>
      <c r="N475" s="85" t="s">
        <v>111</v>
      </c>
    </row>
    <row r="476" spans="2:14" hidden="1" x14ac:dyDescent="0.25">
      <c r="B476" s="91">
        <v>46101</v>
      </c>
      <c r="C476" s="63">
        <v>1</v>
      </c>
      <c r="D476" s="63" t="s">
        <v>208</v>
      </c>
      <c r="E476" s="65" t="s">
        <v>209</v>
      </c>
      <c r="F476" s="65" t="s">
        <v>163</v>
      </c>
      <c r="G476" s="63" t="s">
        <v>164</v>
      </c>
      <c r="H476" s="63">
        <v>52</v>
      </c>
      <c r="I476" s="65" t="s">
        <v>165</v>
      </c>
      <c r="J476" s="63">
        <v>520</v>
      </c>
      <c r="K476" s="64">
        <v>1000.48</v>
      </c>
      <c r="L476" s="63" t="s">
        <v>2370</v>
      </c>
      <c r="M476" s="65" t="str">
        <f t="shared" si="7"/>
        <v>BRASIL MINERACAOUA SAO LUISPÓ DE BRITA</v>
      </c>
      <c r="N476" s="85" t="s">
        <v>224</v>
      </c>
    </row>
    <row r="477" spans="2:14" hidden="1" x14ac:dyDescent="0.25">
      <c r="B477" s="91">
        <v>46101</v>
      </c>
      <c r="C477" s="63">
        <v>1</v>
      </c>
      <c r="D477" s="63" t="s">
        <v>203</v>
      </c>
      <c r="E477" s="65" t="s">
        <v>204</v>
      </c>
      <c r="F477" s="65" t="s">
        <v>163</v>
      </c>
      <c r="G477" s="63" t="s">
        <v>164</v>
      </c>
      <c r="H477" s="63">
        <v>52</v>
      </c>
      <c r="I477" s="65" t="s">
        <v>165</v>
      </c>
      <c r="J477" s="63">
        <v>4994</v>
      </c>
      <c r="K477" s="64">
        <v>960.85</v>
      </c>
      <c r="L477" s="63" t="s">
        <v>2371</v>
      </c>
      <c r="M477" s="65" t="str">
        <f t="shared" si="7"/>
        <v>BRASIL MINERACAOUA SAO LUISPÓ DE BRITA</v>
      </c>
      <c r="N477" s="85" t="s">
        <v>224</v>
      </c>
    </row>
    <row r="478" spans="2:14" hidden="1" x14ac:dyDescent="0.25">
      <c r="B478" s="91">
        <v>46101</v>
      </c>
      <c r="C478" s="63">
        <v>1</v>
      </c>
      <c r="D478" s="63" t="s">
        <v>181</v>
      </c>
      <c r="E478" s="65" t="s">
        <v>182</v>
      </c>
      <c r="F478" s="65" t="s">
        <v>2331</v>
      </c>
      <c r="G478" s="63" t="s">
        <v>2112</v>
      </c>
      <c r="H478" s="63">
        <v>76</v>
      </c>
      <c r="I478" s="65" t="s">
        <v>169</v>
      </c>
      <c r="J478" s="63">
        <v>2614</v>
      </c>
      <c r="K478" s="64">
        <v>735.06</v>
      </c>
      <c r="L478" s="63" t="s">
        <v>2372</v>
      </c>
      <c r="M478" s="65" t="str">
        <f t="shared" si="7"/>
        <v>AV. METROPOLITANARETORNO DA UEMAPULMÃOZINHO</v>
      </c>
      <c r="N478" s="85" t="s">
        <v>108</v>
      </c>
    </row>
    <row r="479" spans="2:14" hidden="1" x14ac:dyDescent="0.25">
      <c r="B479" s="91">
        <v>46101</v>
      </c>
      <c r="C479" s="63">
        <v>1</v>
      </c>
      <c r="D479" s="63" t="s">
        <v>202</v>
      </c>
      <c r="E479" s="65" t="s">
        <v>214</v>
      </c>
      <c r="F479" s="65" t="s">
        <v>163</v>
      </c>
      <c r="G479" s="63" t="s">
        <v>164</v>
      </c>
      <c r="H479" s="63">
        <v>52</v>
      </c>
      <c r="I479" s="65" t="s">
        <v>165</v>
      </c>
      <c r="J479" s="63">
        <v>4968</v>
      </c>
      <c r="K479" s="64">
        <v>955.84</v>
      </c>
      <c r="L479" s="63" t="s">
        <v>2373</v>
      </c>
      <c r="M479" s="65" t="str">
        <f t="shared" si="7"/>
        <v>BRASIL MINERACAOUA SAO LUISPÓ DE BRITA</v>
      </c>
      <c r="N479" s="85" t="s">
        <v>224</v>
      </c>
    </row>
    <row r="480" spans="2:14" x14ac:dyDescent="0.25">
      <c r="B480" s="91">
        <v>46101</v>
      </c>
      <c r="C480" s="63">
        <v>1</v>
      </c>
      <c r="D480" s="63" t="s">
        <v>162</v>
      </c>
      <c r="E480" s="65" t="s">
        <v>281</v>
      </c>
      <c r="F480" s="65" t="s">
        <v>166</v>
      </c>
      <c r="G480" s="63" t="s">
        <v>2123</v>
      </c>
      <c r="H480" s="63">
        <v>60</v>
      </c>
      <c r="I480" s="65" t="s">
        <v>172</v>
      </c>
      <c r="J480" s="63">
        <v>2556</v>
      </c>
      <c r="K480" s="64">
        <v>567.42999999999995</v>
      </c>
      <c r="L480" s="63" t="s">
        <v>2374</v>
      </c>
      <c r="M480" s="65" t="str">
        <f t="shared" si="7"/>
        <v>GRANORTEVIADUTO DO CAFEBICA CORRIDA</v>
      </c>
      <c r="N480" s="85" t="s">
        <v>2854</v>
      </c>
    </row>
    <row r="481" spans="2:14" hidden="1" x14ac:dyDescent="0.25">
      <c r="B481" s="91">
        <v>46101</v>
      </c>
      <c r="C481" s="63">
        <v>1</v>
      </c>
      <c r="D481" s="63" t="s">
        <v>210</v>
      </c>
      <c r="E481" s="65" t="s">
        <v>211</v>
      </c>
      <c r="F481" s="65" t="s">
        <v>163</v>
      </c>
      <c r="G481" s="63" t="s">
        <v>164</v>
      </c>
      <c r="H481" s="63">
        <v>52</v>
      </c>
      <c r="I481" s="65" t="s">
        <v>165</v>
      </c>
      <c r="J481" s="63">
        <v>4504</v>
      </c>
      <c r="K481" s="64">
        <v>866.57</v>
      </c>
      <c r="L481" s="63" t="s">
        <v>2375</v>
      </c>
      <c r="M481" s="65" t="str">
        <f t="shared" si="7"/>
        <v>BRASIL MINERACAOUA SAO LUISPÓ DE BRITA</v>
      </c>
      <c r="N481" s="85" t="s">
        <v>224</v>
      </c>
    </row>
    <row r="482" spans="2:14" x14ac:dyDescent="0.25">
      <c r="B482" s="91">
        <v>46101</v>
      </c>
      <c r="C482" s="63">
        <v>1</v>
      </c>
      <c r="D482" s="63" t="s">
        <v>193</v>
      </c>
      <c r="E482" s="65" t="s">
        <v>285</v>
      </c>
      <c r="F482" s="65" t="s">
        <v>166</v>
      </c>
      <c r="G482" s="63" t="s">
        <v>2123</v>
      </c>
      <c r="H482" s="63">
        <v>60</v>
      </c>
      <c r="I482" s="65" t="s">
        <v>169</v>
      </c>
      <c r="J482" s="63">
        <v>2566</v>
      </c>
      <c r="K482" s="64">
        <v>569.65</v>
      </c>
      <c r="L482" s="63" t="s">
        <v>2376</v>
      </c>
      <c r="M482" s="65" t="str">
        <f t="shared" si="7"/>
        <v>GRANORTEVIADUTO DO CAFEPULMÃOZINHO</v>
      </c>
      <c r="N482" s="85" t="s">
        <v>2854</v>
      </c>
    </row>
    <row r="483" spans="2:14" x14ac:dyDescent="0.25">
      <c r="B483" s="91">
        <v>46101</v>
      </c>
      <c r="C483" s="63">
        <v>1</v>
      </c>
      <c r="D483" s="63" t="s">
        <v>193</v>
      </c>
      <c r="E483" s="65" t="s">
        <v>285</v>
      </c>
      <c r="F483" s="65" t="s">
        <v>166</v>
      </c>
      <c r="G483" s="63" t="s">
        <v>2123</v>
      </c>
      <c r="H483" s="63">
        <v>60</v>
      </c>
      <c r="I483" s="65" t="s">
        <v>169</v>
      </c>
      <c r="J483" s="63">
        <v>2556</v>
      </c>
      <c r="K483" s="64">
        <v>567.42999999999995</v>
      </c>
      <c r="L483" s="63" t="s">
        <v>2377</v>
      </c>
      <c r="M483" s="65" t="str">
        <f t="shared" si="7"/>
        <v>GRANORTEVIADUTO DO CAFEPULMÃOZINHO</v>
      </c>
      <c r="N483" s="85" t="s">
        <v>2854</v>
      </c>
    </row>
    <row r="484" spans="2:14" hidden="1" x14ac:dyDescent="0.25">
      <c r="B484" s="91">
        <v>46101</v>
      </c>
      <c r="C484" s="63">
        <v>1</v>
      </c>
      <c r="D484" s="63" t="s">
        <v>283</v>
      </c>
      <c r="E484" s="65" t="s">
        <v>215</v>
      </c>
      <c r="F484" s="65" t="s">
        <v>166</v>
      </c>
      <c r="G484" s="63" t="s">
        <v>111</v>
      </c>
      <c r="H484" s="63">
        <v>79</v>
      </c>
      <c r="I484" s="65" t="s">
        <v>169</v>
      </c>
      <c r="J484" s="63">
        <v>2988</v>
      </c>
      <c r="K484" s="64">
        <v>873.39</v>
      </c>
      <c r="L484" s="63" t="s">
        <v>2378</v>
      </c>
      <c r="M484" s="65" t="str">
        <f t="shared" si="7"/>
        <v>GRANORTEBEIRA RIOPULMÃOZINHO</v>
      </c>
      <c r="N484" s="85" t="s">
        <v>111</v>
      </c>
    </row>
    <row r="485" spans="2:14" hidden="1" x14ac:dyDescent="0.25">
      <c r="B485" s="91">
        <v>46101</v>
      </c>
      <c r="C485" s="63">
        <v>1</v>
      </c>
      <c r="D485" s="63" t="s">
        <v>283</v>
      </c>
      <c r="E485" s="65" t="s">
        <v>215</v>
      </c>
      <c r="F485" s="65" t="s">
        <v>163</v>
      </c>
      <c r="G485" s="63" t="s">
        <v>164</v>
      </c>
      <c r="H485" s="63">
        <v>52</v>
      </c>
      <c r="I485" s="65" t="s">
        <v>165</v>
      </c>
      <c r="J485" s="63">
        <v>2626</v>
      </c>
      <c r="K485" s="64">
        <v>505.24</v>
      </c>
      <c r="L485" s="63" t="s">
        <v>2379</v>
      </c>
      <c r="M485" s="65" t="str">
        <f t="shared" si="7"/>
        <v>BRASIL MINERACAOUA SAO LUISPÓ DE BRITA</v>
      </c>
      <c r="N485" s="85" t="s">
        <v>224</v>
      </c>
    </row>
    <row r="486" spans="2:14" hidden="1" x14ac:dyDescent="0.25">
      <c r="B486" s="91">
        <v>46101</v>
      </c>
      <c r="C486" s="63">
        <v>1</v>
      </c>
      <c r="D486" s="63" t="s">
        <v>283</v>
      </c>
      <c r="E486" s="65" t="s">
        <v>215</v>
      </c>
      <c r="F486" s="65" t="s">
        <v>163</v>
      </c>
      <c r="G486" s="63" t="s">
        <v>164</v>
      </c>
      <c r="H486" s="63">
        <v>52</v>
      </c>
      <c r="I486" s="65" t="s">
        <v>165</v>
      </c>
      <c r="J486" s="63">
        <v>253</v>
      </c>
      <c r="K486" s="64">
        <v>486.77</v>
      </c>
      <c r="L486" s="63" t="s">
        <v>2380</v>
      </c>
      <c r="M486" s="65" t="str">
        <f t="shared" si="7"/>
        <v>BRASIL MINERACAOUA SAO LUISPÓ DE BRITA</v>
      </c>
      <c r="N486" s="85" t="s">
        <v>224</v>
      </c>
    </row>
    <row r="487" spans="2:14" hidden="1" x14ac:dyDescent="0.25">
      <c r="B487" s="91">
        <v>46101</v>
      </c>
      <c r="C487" s="63">
        <v>1</v>
      </c>
      <c r="D487" s="63" t="s">
        <v>286</v>
      </c>
      <c r="E487" s="65" t="s">
        <v>506</v>
      </c>
      <c r="F487" s="65" t="s">
        <v>163</v>
      </c>
      <c r="G487" s="63" t="s">
        <v>164</v>
      </c>
      <c r="H487" s="63">
        <v>52</v>
      </c>
      <c r="I487" s="65" t="s">
        <v>175</v>
      </c>
      <c r="J487" s="63">
        <v>2536</v>
      </c>
      <c r="K487" s="64">
        <v>487.93</v>
      </c>
      <c r="L487" s="63" t="s">
        <v>2381</v>
      </c>
      <c r="M487" s="65" t="str">
        <f t="shared" si="7"/>
        <v>BRASIL MINERACAOUA SAO LUISBRITA 0</v>
      </c>
      <c r="N487" s="85" t="s">
        <v>224</v>
      </c>
    </row>
    <row r="488" spans="2:14" hidden="1" x14ac:dyDescent="0.25">
      <c r="B488" s="91">
        <v>46101</v>
      </c>
      <c r="C488" s="63">
        <v>1</v>
      </c>
      <c r="D488" s="63" t="s">
        <v>286</v>
      </c>
      <c r="E488" s="65" t="s">
        <v>506</v>
      </c>
      <c r="F488" s="65" t="s">
        <v>163</v>
      </c>
      <c r="G488" s="63" t="s">
        <v>164</v>
      </c>
      <c r="H488" s="63">
        <v>52</v>
      </c>
      <c r="I488" s="65" t="s">
        <v>165</v>
      </c>
      <c r="J488" s="63">
        <v>3036</v>
      </c>
      <c r="K488" s="64">
        <v>584.13</v>
      </c>
      <c r="L488" s="63" t="s">
        <v>2382</v>
      </c>
      <c r="M488" s="65" t="str">
        <f t="shared" si="7"/>
        <v>BRASIL MINERACAOUA SAO LUISPÓ DE BRITA</v>
      </c>
      <c r="N488" s="85" t="s">
        <v>224</v>
      </c>
    </row>
    <row r="489" spans="2:14" hidden="1" x14ac:dyDescent="0.25">
      <c r="B489" s="91">
        <v>46101</v>
      </c>
      <c r="C489" s="63">
        <v>1</v>
      </c>
      <c r="D489" s="63" t="s">
        <v>286</v>
      </c>
      <c r="E489" s="65" t="s">
        <v>506</v>
      </c>
      <c r="F489" s="65" t="s">
        <v>163</v>
      </c>
      <c r="G489" s="63" t="s">
        <v>164</v>
      </c>
      <c r="H489" s="63">
        <v>52</v>
      </c>
      <c r="I489" s="65" t="s">
        <v>165</v>
      </c>
      <c r="J489" s="63">
        <v>2488</v>
      </c>
      <c r="K489" s="64">
        <v>478.69</v>
      </c>
      <c r="L489" s="63" t="s">
        <v>2383</v>
      </c>
      <c r="M489" s="65" t="str">
        <f t="shared" si="7"/>
        <v>BRASIL MINERACAOUA SAO LUISPÓ DE BRITA</v>
      </c>
      <c r="N489" s="85" t="s">
        <v>224</v>
      </c>
    </row>
    <row r="490" spans="2:14" x14ac:dyDescent="0.25">
      <c r="B490" s="91">
        <v>46101</v>
      </c>
      <c r="C490" s="63">
        <v>1</v>
      </c>
      <c r="D490" s="63" t="s">
        <v>183</v>
      </c>
      <c r="E490" s="65" t="s">
        <v>184</v>
      </c>
      <c r="F490" s="65" t="s">
        <v>166</v>
      </c>
      <c r="G490" s="63" t="s">
        <v>2123</v>
      </c>
      <c r="H490" s="63">
        <v>60</v>
      </c>
      <c r="I490" s="65" t="s">
        <v>169</v>
      </c>
      <c r="J490" s="63">
        <v>2558</v>
      </c>
      <c r="K490" s="64">
        <v>567.88</v>
      </c>
      <c r="L490" s="63" t="s">
        <v>2384</v>
      </c>
      <c r="M490" s="65" t="str">
        <f t="shared" si="7"/>
        <v>GRANORTEVIADUTO DO CAFEPULMÃOZINHO</v>
      </c>
      <c r="N490" s="85" t="s">
        <v>2854</v>
      </c>
    </row>
    <row r="491" spans="2:14" x14ac:dyDescent="0.25">
      <c r="B491" s="91">
        <v>46101</v>
      </c>
      <c r="C491" s="63">
        <v>1</v>
      </c>
      <c r="D491" s="63" t="s">
        <v>183</v>
      </c>
      <c r="E491" s="65" t="s">
        <v>184</v>
      </c>
      <c r="F491" s="65" t="s">
        <v>166</v>
      </c>
      <c r="G491" s="63" t="s">
        <v>2123</v>
      </c>
      <c r="H491" s="63">
        <v>60</v>
      </c>
      <c r="I491" s="65" t="s">
        <v>169</v>
      </c>
      <c r="J491" s="63">
        <v>2544</v>
      </c>
      <c r="K491" s="64">
        <v>564.77</v>
      </c>
      <c r="L491" s="63" t="s">
        <v>2385</v>
      </c>
      <c r="M491" s="65" t="str">
        <f t="shared" si="7"/>
        <v>GRANORTEVIADUTO DO CAFEPULMÃOZINHO</v>
      </c>
      <c r="N491" s="85" t="s">
        <v>2854</v>
      </c>
    </row>
    <row r="492" spans="2:14" x14ac:dyDescent="0.25">
      <c r="B492" s="91">
        <v>46101</v>
      </c>
      <c r="C492" s="63">
        <v>1</v>
      </c>
      <c r="D492" s="63" t="s">
        <v>183</v>
      </c>
      <c r="E492" s="65" t="s">
        <v>184</v>
      </c>
      <c r="F492" s="65" t="s">
        <v>166</v>
      </c>
      <c r="G492" s="63" t="s">
        <v>2123</v>
      </c>
      <c r="H492" s="63">
        <v>60</v>
      </c>
      <c r="I492" s="65" t="s">
        <v>169</v>
      </c>
      <c r="J492" s="63">
        <v>2428</v>
      </c>
      <c r="K492" s="64">
        <v>539.02</v>
      </c>
      <c r="L492" s="63" t="s">
        <v>2386</v>
      </c>
      <c r="M492" s="65" t="str">
        <f t="shared" si="7"/>
        <v>GRANORTEVIADUTO DO CAFEPULMÃOZINHO</v>
      </c>
      <c r="N492" s="85" t="s">
        <v>2854</v>
      </c>
    </row>
    <row r="493" spans="2:14" hidden="1" x14ac:dyDescent="0.25">
      <c r="B493" s="91">
        <v>46101</v>
      </c>
      <c r="C493" s="63">
        <v>1</v>
      </c>
      <c r="D493" s="63" t="s">
        <v>1948</v>
      </c>
      <c r="E493" s="65" t="s">
        <v>1949</v>
      </c>
      <c r="F493" s="65" t="s">
        <v>163</v>
      </c>
      <c r="G493" s="63" t="s">
        <v>164</v>
      </c>
      <c r="H493" s="63">
        <v>52</v>
      </c>
      <c r="I493" s="65" t="s">
        <v>165</v>
      </c>
      <c r="J493" s="63">
        <v>471</v>
      </c>
      <c r="K493" s="64">
        <v>906.2</v>
      </c>
      <c r="L493" s="63" t="s">
        <v>2387</v>
      </c>
      <c r="M493" s="65" t="str">
        <f t="shared" si="7"/>
        <v>BRASIL MINERACAOUA SAO LUISPÓ DE BRITA</v>
      </c>
      <c r="N493" s="85" t="s">
        <v>224</v>
      </c>
    </row>
    <row r="494" spans="2:14" hidden="1" x14ac:dyDescent="0.25">
      <c r="B494" s="91">
        <v>46101</v>
      </c>
      <c r="C494" s="63">
        <v>1</v>
      </c>
      <c r="D494" s="63" t="s">
        <v>1948</v>
      </c>
      <c r="E494" s="65" t="s">
        <v>1949</v>
      </c>
      <c r="F494" s="65" t="s">
        <v>163</v>
      </c>
      <c r="G494" s="63" t="s">
        <v>164</v>
      </c>
      <c r="H494" s="63">
        <v>52</v>
      </c>
      <c r="I494" s="65" t="s">
        <v>165</v>
      </c>
      <c r="J494" s="63">
        <v>475</v>
      </c>
      <c r="K494" s="64">
        <v>913.9</v>
      </c>
      <c r="L494" s="63" t="s">
        <v>2388</v>
      </c>
      <c r="M494" s="65" t="str">
        <f t="shared" si="7"/>
        <v>BRASIL MINERACAOUA SAO LUISPÓ DE BRITA</v>
      </c>
      <c r="N494" s="85" t="s">
        <v>224</v>
      </c>
    </row>
    <row r="495" spans="2:14" hidden="1" x14ac:dyDescent="0.25">
      <c r="B495" s="91">
        <v>46101</v>
      </c>
      <c r="C495" s="63">
        <v>1</v>
      </c>
      <c r="D495" s="63" t="s">
        <v>1948</v>
      </c>
      <c r="E495" s="65" t="s">
        <v>1949</v>
      </c>
      <c r="F495" s="65" t="s">
        <v>163</v>
      </c>
      <c r="G495" s="63" t="s">
        <v>164</v>
      </c>
      <c r="H495" s="63">
        <v>52</v>
      </c>
      <c r="I495" s="65" t="s">
        <v>165</v>
      </c>
      <c r="J495" s="63">
        <v>477</v>
      </c>
      <c r="K495" s="64">
        <v>917.75</v>
      </c>
      <c r="L495" s="63" t="s">
        <v>2389</v>
      </c>
      <c r="M495" s="65" t="str">
        <f t="shared" si="7"/>
        <v>BRASIL MINERACAOUA SAO LUISPÓ DE BRITA</v>
      </c>
      <c r="N495" s="85" t="s">
        <v>224</v>
      </c>
    </row>
    <row r="496" spans="2:14" hidden="1" x14ac:dyDescent="0.25">
      <c r="B496" s="91">
        <v>46101</v>
      </c>
      <c r="C496" s="63">
        <v>1</v>
      </c>
      <c r="D496" s="63" t="s">
        <v>186</v>
      </c>
      <c r="E496" s="65" t="s">
        <v>187</v>
      </c>
      <c r="F496" s="65" t="s">
        <v>166</v>
      </c>
      <c r="G496" s="63" t="s">
        <v>164</v>
      </c>
      <c r="H496" s="63">
        <v>58</v>
      </c>
      <c r="I496" s="65" t="s">
        <v>175</v>
      </c>
      <c r="J496" s="63">
        <v>527</v>
      </c>
      <c r="K496" s="64">
        <v>1130.94</v>
      </c>
      <c r="L496" s="63" t="s">
        <v>2390</v>
      </c>
      <c r="M496" s="65" t="str">
        <f t="shared" si="7"/>
        <v>GRANORTEUA SAO LUISBRITA 0</v>
      </c>
      <c r="N496" s="85" t="s">
        <v>224</v>
      </c>
    </row>
    <row r="497" spans="2:14" hidden="1" x14ac:dyDescent="0.25">
      <c r="B497" s="91">
        <v>46101</v>
      </c>
      <c r="C497" s="63">
        <v>1</v>
      </c>
      <c r="D497" s="63" t="s">
        <v>192</v>
      </c>
      <c r="E497" s="65" t="s">
        <v>287</v>
      </c>
      <c r="F497" s="65" t="s">
        <v>163</v>
      </c>
      <c r="G497" s="63" t="s">
        <v>164</v>
      </c>
      <c r="H497" s="63">
        <v>52</v>
      </c>
      <c r="I497" s="65" t="s">
        <v>175</v>
      </c>
      <c r="J497" s="63">
        <v>4754</v>
      </c>
      <c r="K497" s="64">
        <v>914.67</v>
      </c>
      <c r="L497" s="63" t="s">
        <v>2391</v>
      </c>
      <c r="M497" s="65" t="str">
        <f t="shared" si="7"/>
        <v>BRASIL MINERACAOUA SAO LUISBRITA 0</v>
      </c>
      <c r="N497" s="85" t="s">
        <v>224</v>
      </c>
    </row>
    <row r="498" spans="2:14" hidden="1" x14ac:dyDescent="0.25">
      <c r="B498" s="91">
        <v>46101</v>
      </c>
      <c r="C498" s="63">
        <v>1</v>
      </c>
      <c r="D498" s="63" t="s">
        <v>192</v>
      </c>
      <c r="E498" s="65" t="s">
        <v>287</v>
      </c>
      <c r="F498" s="65" t="s">
        <v>163</v>
      </c>
      <c r="G498" s="63" t="s">
        <v>164</v>
      </c>
      <c r="H498" s="63">
        <v>52</v>
      </c>
      <c r="I498" s="65" t="s">
        <v>165</v>
      </c>
      <c r="J498" s="63">
        <v>4548</v>
      </c>
      <c r="K498" s="64">
        <v>875.04</v>
      </c>
      <c r="L498" s="63" t="s">
        <v>2392</v>
      </c>
      <c r="M498" s="65" t="str">
        <f t="shared" si="7"/>
        <v>BRASIL MINERACAOUA SAO LUISPÓ DE BRITA</v>
      </c>
      <c r="N498" s="85" t="s">
        <v>224</v>
      </c>
    </row>
    <row r="499" spans="2:14" hidden="1" x14ac:dyDescent="0.25">
      <c r="B499" s="91">
        <v>46101</v>
      </c>
      <c r="C499" s="63">
        <v>1</v>
      </c>
      <c r="D499" s="63" t="s">
        <v>275</v>
      </c>
      <c r="E499" s="65" t="s">
        <v>217</v>
      </c>
      <c r="F499" s="65" t="s">
        <v>190</v>
      </c>
      <c r="G499" s="63" t="s">
        <v>212</v>
      </c>
      <c r="H499" s="63">
        <v>376</v>
      </c>
      <c r="I499" s="65" t="s">
        <v>165</v>
      </c>
      <c r="J499" s="63">
        <v>4746</v>
      </c>
      <c r="K499" s="64">
        <v>5710.39</v>
      </c>
      <c r="L499" s="63" t="s">
        <v>2393</v>
      </c>
      <c r="M499" s="65" t="str">
        <f t="shared" si="7"/>
        <v>SERVENGUSINA PINHEIROPÓ DE BRITA</v>
      </c>
      <c r="N499" s="85" t="s">
        <v>223</v>
      </c>
    </row>
    <row r="500" spans="2:14" hidden="1" x14ac:dyDescent="0.25">
      <c r="B500" s="91">
        <v>46101</v>
      </c>
      <c r="C500" s="63">
        <v>1</v>
      </c>
      <c r="D500" s="63" t="s">
        <v>286</v>
      </c>
      <c r="E500" s="65" t="s">
        <v>343</v>
      </c>
      <c r="F500" s="65" t="s">
        <v>163</v>
      </c>
      <c r="G500" s="63" t="s">
        <v>164</v>
      </c>
      <c r="H500" s="63">
        <v>52</v>
      </c>
      <c r="I500" s="65" t="s">
        <v>165</v>
      </c>
      <c r="J500" s="63">
        <v>4716</v>
      </c>
      <c r="K500" s="64">
        <v>907.36</v>
      </c>
      <c r="L500" s="63" t="s">
        <v>2394</v>
      </c>
      <c r="M500" s="65" t="str">
        <f t="shared" si="7"/>
        <v>BRASIL MINERACAOUA SAO LUISPÓ DE BRITA</v>
      </c>
      <c r="N500" s="85" t="s">
        <v>224</v>
      </c>
    </row>
    <row r="501" spans="2:14" hidden="1" x14ac:dyDescent="0.25">
      <c r="B501" s="91">
        <v>46101</v>
      </c>
      <c r="C501" s="63">
        <v>1</v>
      </c>
      <c r="D501" s="63" t="s">
        <v>286</v>
      </c>
      <c r="E501" s="65" t="s">
        <v>343</v>
      </c>
      <c r="F501" s="65" t="s">
        <v>166</v>
      </c>
      <c r="G501" s="63" t="s">
        <v>164</v>
      </c>
      <c r="H501" s="63">
        <v>58</v>
      </c>
      <c r="I501" s="65" t="s">
        <v>165</v>
      </c>
      <c r="J501" s="63">
        <v>4792</v>
      </c>
      <c r="K501" s="64">
        <v>1028.3599999999999</v>
      </c>
      <c r="L501" s="63" t="s">
        <v>2395</v>
      </c>
      <c r="M501" s="65" t="str">
        <f t="shared" si="7"/>
        <v>GRANORTEUA SAO LUISPÓ DE BRITA</v>
      </c>
      <c r="N501" s="85" t="s">
        <v>224</v>
      </c>
    </row>
    <row r="502" spans="2:14" hidden="1" x14ac:dyDescent="0.25">
      <c r="B502" s="91">
        <v>46101</v>
      </c>
      <c r="C502" s="63">
        <v>1</v>
      </c>
      <c r="D502" s="63" t="s">
        <v>1129</v>
      </c>
      <c r="E502" s="65" t="s">
        <v>2396</v>
      </c>
      <c r="F502" s="65" t="s">
        <v>166</v>
      </c>
      <c r="G502" s="63" t="s">
        <v>824</v>
      </c>
      <c r="H502" s="63">
        <v>78</v>
      </c>
      <c r="I502" s="65" t="s">
        <v>169</v>
      </c>
      <c r="J502" s="63">
        <v>260</v>
      </c>
      <c r="K502" s="64">
        <v>750.36</v>
      </c>
      <c r="L502" s="63" t="s">
        <v>2397</v>
      </c>
      <c r="M502" s="65" t="str">
        <f t="shared" si="7"/>
        <v>GRANORTECRUZAMENTO MA 201/202 (METROPOLITANA)PULMÃOZINHO</v>
      </c>
      <c r="N502" s="85" t="s">
        <v>108</v>
      </c>
    </row>
    <row r="503" spans="2:14" hidden="1" x14ac:dyDescent="0.25">
      <c r="B503" s="91">
        <v>46101</v>
      </c>
      <c r="C503" s="63">
        <v>1</v>
      </c>
      <c r="D503" s="63" t="s">
        <v>1129</v>
      </c>
      <c r="E503" s="65" t="s">
        <v>2396</v>
      </c>
      <c r="F503" s="65" t="s">
        <v>166</v>
      </c>
      <c r="G503" s="63" t="s">
        <v>824</v>
      </c>
      <c r="H503" s="63">
        <v>78</v>
      </c>
      <c r="I503" s="65" t="s">
        <v>169</v>
      </c>
      <c r="J503" s="63">
        <v>2514</v>
      </c>
      <c r="K503" s="64">
        <v>725.54</v>
      </c>
      <c r="L503" s="63" t="s">
        <v>2398</v>
      </c>
      <c r="M503" s="65" t="str">
        <f t="shared" si="7"/>
        <v>GRANORTECRUZAMENTO MA 201/202 (METROPOLITANA)PULMÃOZINHO</v>
      </c>
      <c r="N503" s="85" t="s">
        <v>108</v>
      </c>
    </row>
    <row r="504" spans="2:14" hidden="1" x14ac:dyDescent="0.25">
      <c r="B504" s="91">
        <v>46101</v>
      </c>
      <c r="C504" s="63">
        <v>1</v>
      </c>
      <c r="D504" s="63" t="s">
        <v>1129</v>
      </c>
      <c r="E504" s="65" t="s">
        <v>2396</v>
      </c>
      <c r="F504" s="65" t="s">
        <v>166</v>
      </c>
      <c r="G504" s="63" t="s">
        <v>824</v>
      </c>
      <c r="H504" s="63">
        <v>78</v>
      </c>
      <c r="I504" s="65" t="s">
        <v>169</v>
      </c>
      <c r="J504" s="63">
        <v>2604</v>
      </c>
      <c r="K504" s="64">
        <v>751.51</v>
      </c>
      <c r="L504" s="63" t="s">
        <v>2399</v>
      </c>
      <c r="M504" s="65" t="str">
        <f t="shared" si="7"/>
        <v>GRANORTECRUZAMENTO MA 201/202 (METROPOLITANA)PULMÃOZINHO</v>
      </c>
      <c r="N504" s="85" t="s">
        <v>108</v>
      </c>
    </row>
    <row r="505" spans="2:14" hidden="1" x14ac:dyDescent="0.25">
      <c r="B505" s="91">
        <v>46102</v>
      </c>
      <c r="C505" s="63">
        <v>1</v>
      </c>
      <c r="D505" s="63" t="s">
        <v>188</v>
      </c>
      <c r="E505" s="65" t="s">
        <v>189</v>
      </c>
      <c r="F505" s="65" t="s">
        <v>166</v>
      </c>
      <c r="G505" s="63" t="s">
        <v>164</v>
      </c>
      <c r="H505" s="63">
        <v>58</v>
      </c>
      <c r="I505" s="65" t="s">
        <v>175</v>
      </c>
      <c r="J505" s="63">
        <v>7854</v>
      </c>
      <c r="K505" s="64">
        <v>1685.47</v>
      </c>
      <c r="L505" s="63" t="s">
        <v>2400</v>
      </c>
      <c r="M505" s="65" t="str">
        <f t="shared" si="7"/>
        <v>GRANORTEUA SAO LUISBRITA 0</v>
      </c>
      <c r="N505" s="85" t="s">
        <v>224</v>
      </c>
    </row>
    <row r="506" spans="2:14" hidden="1" x14ac:dyDescent="0.25">
      <c r="B506" s="91">
        <v>46102</v>
      </c>
      <c r="C506" s="63">
        <v>1</v>
      </c>
      <c r="D506" s="63" t="s">
        <v>202</v>
      </c>
      <c r="E506" s="65" t="s">
        <v>214</v>
      </c>
      <c r="F506" s="65" t="s">
        <v>163</v>
      </c>
      <c r="G506" s="63" t="s">
        <v>164</v>
      </c>
      <c r="H506" s="63">
        <v>52</v>
      </c>
      <c r="I506" s="65" t="s">
        <v>165</v>
      </c>
      <c r="J506" s="63">
        <v>692</v>
      </c>
      <c r="K506" s="64">
        <v>1331.41</v>
      </c>
      <c r="L506" s="63" t="s">
        <v>2401</v>
      </c>
      <c r="M506" s="65" t="str">
        <f t="shared" si="7"/>
        <v>BRASIL MINERACAOUA SAO LUISPÓ DE BRITA</v>
      </c>
      <c r="N506" s="85" t="s">
        <v>224</v>
      </c>
    </row>
    <row r="507" spans="2:14" hidden="1" x14ac:dyDescent="0.25">
      <c r="B507" s="91">
        <v>46102</v>
      </c>
      <c r="C507" s="63">
        <v>1</v>
      </c>
      <c r="D507" s="63" t="s">
        <v>170</v>
      </c>
      <c r="E507" s="65" t="s">
        <v>171</v>
      </c>
      <c r="F507" s="65" t="s">
        <v>166</v>
      </c>
      <c r="G507" s="63" t="s">
        <v>218</v>
      </c>
      <c r="H507" s="63">
        <v>71</v>
      </c>
      <c r="I507" s="65" t="s">
        <v>169</v>
      </c>
      <c r="J507" s="63">
        <v>2594</v>
      </c>
      <c r="K507" s="64">
        <v>681.44</v>
      </c>
      <c r="L507" s="63" t="s">
        <v>2402</v>
      </c>
      <c r="M507" s="65" t="str">
        <f t="shared" si="7"/>
        <v>GRANORTEEXPOEMAPULMÃOZINHO</v>
      </c>
      <c r="N507" s="85" t="s">
        <v>111</v>
      </c>
    </row>
    <row r="508" spans="2:14" hidden="1" x14ac:dyDescent="0.25">
      <c r="B508" s="91">
        <v>46102</v>
      </c>
      <c r="C508" s="63">
        <v>1</v>
      </c>
      <c r="D508" s="63" t="s">
        <v>167</v>
      </c>
      <c r="E508" s="65" t="s">
        <v>168</v>
      </c>
      <c r="F508" s="65" t="s">
        <v>11</v>
      </c>
      <c r="G508" s="63" t="s">
        <v>2112</v>
      </c>
      <c r="H508" s="63">
        <v>76</v>
      </c>
      <c r="I508" s="65" t="s">
        <v>169</v>
      </c>
      <c r="J508" s="63">
        <v>2646</v>
      </c>
      <c r="K508" s="64">
        <v>744.06</v>
      </c>
      <c r="L508" s="63" t="s">
        <v>2403</v>
      </c>
      <c r="M508" s="65" t="str">
        <f t="shared" si="7"/>
        <v>METROPOLITANARETORNO DA UEMAPULMÃOZINHO</v>
      </c>
      <c r="N508" s="85" t="s">
        <v>108</v>
      </c>
    </row>
    <row r="509" spans="2:14" hidden="1" x14ac:dyDescent="0.25">
      <c r="B509" s="91">
        <v>46102</v>
      </c>
      <c r="C509" s="63">
        <v>1</v>
      </c>
      <c r="D509" s="63" t="s">
        <v>167</v>
      </c>
      <c r="E509" s="65" t="s">
        <v>168</v>
      </c>
      <c r="F509" s="65" t="s">
        <v>2331</v>
      </c>
      <c r="G509" s="63" t="s">
        <v>2112</v>
      </c>
      <c r="H509" s="63">
        <v>76</v>
      </c>
      <c r="I509" s="65" t="s">
        <v>169</v>
      </c>
      <c r="J509" s="63">
        <v>267</v>
      </c>
      <c r="K509" s="64">
        <v>750.8</v>
      </c>
      <c r="L509" s="63" t="s">
        <v>2404</v>
      </c>
      <c r="M509" s="65" t="str">
        <f t="shared" si="7"/>
        <v>AV. METROPOLITANARETORNO DA UEMAPULMÃOZINHO</v>
      </c>
      <c r="N509" s="85" t="s">
        <v>108</v>
      </c>
    </row>
    <row r="510" spans="2:14" hidden="1" x14ac:dyDescent="0.25">
      <c r="B510" s="91">
        <v>46102</v>
      </c>
      <c r="C510" s="63">
        <v>1</v>
      </c>
      <c r="D510" s="63" t="s">
        <v>196</v>
      </c>
      <c r="E510" s="65" t="s">
        <v>197</v>
      </c>
      <c r="F510" s="65" t="s">
        <v>163</v>
      </c>
      <c r="G510" s="63" t="s">
        <v>164</v>
      </c>
      <c r="H510" s="63">
        <v>52</v>
      </c>
      <c r="I510" s="65" t="s">
        <v>175</v>
      </c>
      <c r="J510" s="63">
        <v>7044</v>
      </c>
      <c r="K510" s="64">
        <v>1355.27</v>
      </c>
      <c r="L510" s="63" t="s">
        <v>2405</v>
      </c>
      <c r="M510" s="65" t="str">
        <f t="shared" si="7"/>
        <v>BRASIL MINERACAOUA SAO LUISBRITA 0</v>
      </c>
      <c r="N510" s="85" t="s">
        <v>224</v>
      </c>
    </row>
    <row r="511" spans="2:14" hidden="1" x14ac:dyDescent="0.25">
      <c r="B511" s="91">
        <v>46102</v>
      </c>
      <c r="C511" s="63">
        <v>1</v>
      </c>
      <c r="D511" s="63" t="s">
        <v>181</v>
      </c>
      <c r="E511" s="65" t="s">
        <v>182</v>
      </c>
      <c r="F511" s="65" t="s">
        <v>2331</v>
      </c>
      <c r="G511" s="63" t="s">
        <v>2112</v>
      </c>
      <c r="H511" s="63">
        <v>76</v>
      </c>
      <c r="I511" s="65" t="s">
        <v>169</v>
      </c>
      <c r="J511" s="63">
        <v>253</v>
      </c>
      <c r="K511" s="64">
        <v>711.44</v>
      </c>
      <c r="L511" s="63" t="s">
        <v>2406</v>
      </c>
      <c r="M511" s="65" t="str">
        <f t="shared" si="7"/>
        <v>AV. METROPOLITANARETORNO DA UEMAPULMÃOZINHO</v>
      </c>
      <c r="N511" s="85" t="s">
        <v>108</v>
      </c>
    </row>
    <row r="512" spans="2:14" hidden="1" x14ac:dyDescent="0.25">
      <c r="B512" s="91">
        <v>46102</v>
      </c>
      <c r="C512" s="63">
        <v>1</v>
      </c>
      <c r="D512" s="63" t="s">
        <v>283</v>
      </c>
      <c r="E512" s="65" t="s">
        <v>215</v>
      </c>
      <c r="F512" s="65" t="s">
        <v>163</v>
      </c>
      <c r="G512" s="63" t="s">
        <v>164</v>
      </c>
      <c r="H512" s="63">
        <v>52</v>
      </c>
      <c r="I512" s="65" t="s">
        <v>165</v>
      </c>
      <c r="J512" s="63">
        <v>2598</v>
      </c>
      <c r="K512" s="64">
        <v>499.86</v>
      </c>
      <c r="L512" s="63" t="s">
        <v>2407</v>
      </c>
      <c r="M512" s="65" t="str">
        <f t="shared" si="7"/>
        <v>BRASIL MINERACAOUA SAO LUISPÓ DE BRITA</v>
      </c>
      <c r="N512" s="85" t="s">
        <v>224</v>
      </c>
    </row>
    <row r="513" spans="2:14" hidden="1" x14ac:dyDescent="0.25">
      <c r="B513" s="91">
        <v>46102</v>
      </c>
      <c r="C513" s="63">
        <v>1</v>
      </c>
      <c r="D513" s="63" t="s">
        <v>1948</v>
      </c>
      <c r="E513" s="65" t="s">
        <v>1949</v>
      </c>
      <c r="F513" s="65" t="s">
        <v>163</v>
      </c>
      <c r="G513" s="63" t="s">
        <v>164</v>
      </c>
      <c r="H513" s="63">
        <v>52</v>
      </c>
      <c r="I513" s="65" t="s">
        <v>165</v>
      </c>
      <c r="J513" s="63">
        <v>471</v>
      </c>
      <c r="K513" s="64">
        <v>906.2</v>
      </c>
      <c r="L513" s="63" t="s">
        <v>2408</v>
      </c>
      <c r="M513" s="65" t="str">
        <f t="shared" si="7"/>
        <v>BRASIL MINERACAOUA SAO LUISPÓ DE BRITA</v>
      </c>
      <c r="N513" s="85" t="s">
        <v>224</v>
      </c>
    </row>
    <row r="514" spans="2:14" hidden="1" x14ac:dyDescent="0.25">
      <c r="B514" s="91">
        <v>46102</v>
      </c>
      <c r="C514" s="63">
        <v>1</v>
      </c>
      <c r="D514" s="63" t="s">
        <v>1948</v>
      </c>
      <c r="E514" s="65" t="s">
        <v>1949</v>
      </c>
      <c r="F514" s="65" t="s">
        <v>875</v>
      </c>
      <c r="G514" s="63" t="s">
        <v>2409</v>
      </c>
      <c r="H514" s="63">
        <v>217</v>
      </c>
      <c r="I514" s="65" t="s">
        <v>165</v>
      </c>
      <c r="J514" s="63">
        <v>472</v>
      </c>
      <c r="K514" s="64">
        <v>3277.57</v>
      </c>
      <c r="L514" s="63" t="s">
        <v>2410</v>
      </c>
      <c r="M514" s="65" t="str">
        <f t="shared" si="7"/>
        <v>USINA SANTA RITABARREIRINHASPÓ DE BRITA</v>
      </c>
      <c r="N514" s="85" t="s">
        <v>224</v>
      </c>
    </row>
    <row r="515" spans="2:14" hidden="1" x14ac:dyDescent="0.25">
      <c r="B515" s="91">
        <v>46102</v>
      </c>
      <c r="C515" s="63">
        <v>1</v>
      </c>
      <c r="D515" s="63" t="s">
        <v>186</v>
      </c>
      <c r="E515" s="65" t="s">
        <v>187</v>
      </c>
      <c r="F515" s="65" t="s">
        <v>163</v>
      </c>
      <c r="G515" s="63" t="s">
        <v>164</v>
      </c>
      <c r="H515" s="63">
        <v>52</v>
      </c>
      <c r="I515" s="65" t="s">
        <v>165</v>
      </c>
      <c r="J515" s="63">
        <v>505</v>
      </c>
      <c r="K515" s="64">
        <v>971.62</v>
      </c>
      <c r="L515" s="63" t="s">
        <v>2411</v>
      </c>
      <c r="M515" s="65" t="str">
        <f t="shared" si="7"/>
        <v>BRASIL MINERACAOUA SAO LUISPÓ DE BRITA</v>
      </c>
      <c r="N515" s="85" t="s">
        <v>224</v>
      </c>
    </row>
    <row r="516" spans="2:14" x14ac:dyDescent="0.25">
      <c r="B516" s="91">
        <v>46102</v>
      </c>
      <c r="C516" s="63">
        <v>1</v>
      </c>
      <c r="D516" s="63" t="s">
        <v>183</v>
      </c>
      <c r="E516" s="65" t="s">
        <v>184</v>
      </c>
      <c r="F516" s="65" t="s">
        <v>166</v>
      </c>
      <c r="G516" s="63" t="s">
        <v>2123</v>
      </c>
      <c r="H516" s="63">
        <v>60</v>
      </c>
      <c r="I516" s="65" t="s">
        <v>169</v>
      </c>
      <c r="J516" s="63">
        <v>2568</v>
      </c>
      <c r="K516" s="64">
        <v>570.1</v>
      </c>
      <c r="L516" s="63" t="s">
        <v>2412</v>
      </c>
      <c r="M516" s="65" t="str">
        <f t="shared" si="7"/>
        <v>GRANORTEVIADUTO DO CAFEPULMÃOZINHO</v>
      </c>
      <c r="N516" s="85" t="s">
        <v>2854</v>
      </c>
    </row>
    <row r="517" spans="2:14" x14ac:dyDescent="0.25">
      <c r="B517" s="91">
        <v>46102</v>
      </c>
      <c r="C517" s="63">
        <v>1</v>
      </c>
      <c r="D517" s="63" t="s">
        <v>183</v>
      </c>
      <c r="E517" s="65" t="s">
        <v>184</v>
      </c>
      <c r="F517" s="65" t="s">
        <v>166</v>
      </c>
      <c r="G517" s="63" t="s">
        <v>2123</v>
      </c>
      <c r="H517" s="63">
        <v>60</v>
      </c>
      <c r="I517" s="65" t="s">
        <v>169</v>
      </c>
      <c r="J517" s="63">
        <v>2556</v>
      </c>
      <c r="K517" s="64">
        <v>567.42999999999995</v>
      </c>
      <c r="L517" s="63" t="s">
        <v>2413</v>
      </c>
      <c r="M517" s="65" t="str">
        <f t="shared" ref="M517:M580" si="8">_xlfn.CONCAT(F517&amp;G517&amp;I517)</f>
        <v>GRANORTEVIADUTO DO CAFEPULMÃOZINHO</v>
      </c>
      <c r="N517" s="85" t="s">
        <v>2854</v>
      </c>
    </row>
    <row r="518" spans="2:14" hidden="1" x14ac:dyDescent="0.25">
      <c r="B518" s="91">
        <v>46102</v>
      </c>
      <c r="C518" s="63">
        <v>1</v>
      </c>
      <c r="D518" s="63" t="s">
        <v>286</v>
      </c>
      <c r="E518" s="65" t="s">
        <v>506</v>
      </c>
      <c r="F518" s="65" t="s">
        <v>163</v>
      </c>
      <c r="G518" s="63" t="s">
        <v>164</v>
      </c>
      <c r="H518" s="63">
        <v>52</v>
      </c>
      <c r="I518" s="65" t="s">
        <v>165</v>
      </c>
      <c r="J518" s="63">
        <v>2506</v>
      </c>
      <c r="K518" s="64">
        <v>482.15</v>
      </c>
      <c r="L518" s="63" t="s">
        <v>2414</v>
      </c>
      <c r="M518" s="65" t="str">
        <f t="shared" si="8"/>
        <v>BRASIL MINERACAOUA SAO LUISPÓ DE BRITA</v>
      </c>
      <c r="N518" s="85" t="s">
        <v>224</v>
      </c>
    </row>
    <row r="519" spans="2:14" hidden="1" x14ac:dyDescent="0.25">
      <c r="B519" s="91">
        <v>46102</v>
      </c>
      <c r="C519" s="63">
        <v>1</v>
      </c>
      <c r="D519" s="63" t="s">
        <v>192</v>
      </c>
      <c r="E519" s="65" t="s">
        <v>287</v>
      </c>
      <c r="F519" s="65" t="s">
        <v>163</v>
      </c>
      <c r="G519" s="63" t="s">
        <v>164</v>
      </c>
      <c r="H519" s="63">
        <v>52</v>
      </c>
      <c r="I519" s="65" t="s">
        <v>165</v>
      </c>
      <c r="J519" s="63">
        <v>500</v>
      </c>
      <c r="K519" s="64">
        <v>962</v>
      </c>
      <c r="L519" s="63" t="s">
        <v>2415</v>
      </c>
      <c r="M519" s="65" t="str">
        <f t="shared" si="8"/>
        <v>BRASIL MINERACAOUA SAO LUISPÓ DE BRITA</v>
      </c>
      <c r="N519" s="85" t="s">
        <v>224</v>
      </c>
    </row>
    <row r="520" spans="2:14" hidden="1" x14ac:dyDescent="0.25">
      <c r="B520" s="91">
        <v>46102</v>
      </c>
      <c r="C520" s="63">
        <v>1</v>
      </c>
      <c r="D520" s="63" t="s">
        <v>275</v>
      </c>
      <c r="E520" s="65" t="s">
        <v>217</v>
      </c>
      <c r="F520" s="65" t="s">
        <v>190</v>
      </c>
      <c r="G520" s="63" t="s">
        <v>212</v>
      </c>
      <c r="H520" s="63">
        <v>376</v>
      </c>
      <c r="I520" s="65" t="s">
        <v>165</v>
      </c>
      <c r="J520" s="63">
        <v>475</v>
      </c>
      <c r="K520" s="64">
        <v>5715.2</v>
      </c>
      <c r="L520" s="63" t="s">
        <v>2416</v>
      </c>
      <c r="M520" s="65" t="str">
        <f t="shared" si="8"/>
        <v>SERVENGUSINA PINHEIROPÓ DE BRITA</v>
      </c>
      <c r="N520" s="85" t="s">
        <v>223</v>
      </c>
    </row>
    <row r="521" spans="2:14" hidden="1" x14ac:dyDescent="0.25">
      <c r="B521" s="91">
        <v>46102</v>
      </c>
      <c r="C521" s="63">
        <v>1</v>
      </c>
      <c r="D521" s="63" t="s">
        <v>286</v>
      </c>
      <c r="E521" s="65" t="s">
        <v>343</v>
      </c>
      <c r="F521" s="65" t="s">
        <v>166</v>
      </c>
      <c r="G521" s="63" t="s">
        <v>164</v>
      </c>
      <c r="H521" s="63">
        <v>58</v>
      </c>
      <c r="I521" s="65" t="s">
        <v>165</v>
      </c>
      <c r="J521" s="63">
        <v>4082</v>
      </c>
      <c r="K521" s="64">
        <v>876</v>
      </c>
      <c r="L521" s="63" t="s">
        <v>2417</v>
      </c>
      <c r="M521" s="65" t="str">
        <f t="shared" si="8"/>
        <v>GRANORTEUA SAO LUISPÓ DE BRITA</v>
      </c>
      <c r="N521" s="85" t="s">
        <v>224</v>
      </c>
    </row>
    <row r="522" spans="2:14" hidden="1" x14ac:dyDescent="0.25">
      <c r="B522" s="91">
        <v>46103</v>
      </c>
      <c r="C522" s="63">
        <v>1</v>
      </c>
      <c r="D522" s="63" t="s">
        <v>205</v>
      </c>
      <c r="E522" s="65" t="s">
        <v>206</v>
      </c>
      <c r="F522" s="65" t="s">
        <v>291</v>
      </c>
      <c r="G522" s="63" t="s">
        <v>2418</v>
      </c>
      <c r="H522" s="63">
        <v>331</v>
      </c>
      <c r="I522" s="65" t="s">
        <v>185</v>
      </c>
      <c r="J522" s="63">
        <v>530</v>
      </c>
      <c r="K522" s="64">
        <v>6490.91</v>
      </c>
      <c r="L522" s="63" t="s">
        <v>2419</v>
      </c>
      <c r="M522" s="65" t="str">
        <f t="shared" si="8"/>
        <v>MINERADORA PORTO FRANCO - MAPOVOADO NOVA VIDARACHÃOZINHO</v>
      </c>
      <c r="N522" s="85" t="s">
        <v>15</v>
      </c>
    </row>
    <row r="523" spans="2:14" hidden="1" x14ac:dyDescent="0.25">
      <c r="B523" s="91">
        <v>46103</v>
      </c>
      <c r="C523" s="63">
        <v>1</v>
      </c>
      <c r="D523" s="63" t="s">
        <v>275</v>
      </c>
      <c r="E523" s="65" t="s">
        <v>217</v>
      </c>
      <c r="F523" s="65" t="s">
        <v>163</v>
      </c>
      <c r="G523" s="63" t="s">
        <v>164</v>
      </c>
      <c r="H523" s="63">
        <v>52</v>
      </c>
      <c r="I523" s="65" t="s">
        <v>165</v>
      </c>
      <c r="J523" s="63">
        <v>4764</v>
      </c>
      <c r="K523" s="64">
        <v>916.59</v>
      </c>
      <c r="L523" s="63" t="s">
        <v>2420</v>
      </c>
      <c r="M523" s="65" t="str">
        <f t="shared" si="8"/>
        <v>BRASIL MINERACAOUA SAO LUISPÓ DE BRITA</v>
      </c>
      <c r="N523" s="85" t="s">
        <v>224</v>
      </c>
    </row>
    <row r="524" spans="2:14" hidden="1" x14ac:dyDescent="0.25">
      <c r="B524" s="91">
        <v>46103</v>
      </c>
      <c r="C524" s="63">
        <v>1</v>
      </c>
      <c r="D524" s="63" t="s">
        <v>275</v>
      </c>
      <c r="E524" s="65" t="s">
        <v>217</v>
      </c>
      <c r="F524" s="65" t="s">
        <v>163</v>
      </c>
      <c r="G524" s="63" t="s">
        <v>164</v>
      </c>
      <c r="H524" s="63">
        <v>52</v>
      </c>
      <c r="I524" s="65" t="s">
        <v>165</v>
      </c>
      <c r="J524" s="63">
        <v>498</v>
      </c>
      <c r="K524" s="64">
        <v>958.15</v>
      </c>
      <c r="L524" s="63" t="s">
        <v>2421</v>
      </c>
      <c r="M524" s="65" t="str">
        <f t="shared" si="8"/>
        <v>BRASIL MINERACAOUA SAO LUISPÓ DE BRITA</v>
      </c>
      <c r="N524" s="85" t="s">
        <v>224</v>
      </c>
    </row>
    <row r="525" spans="2:14" hidden="1" x14ac:dyDescent="0.25">
      <c r="B525" s="91">
        <v>46104</v>
      </c>
      <c r="C525" s="63">
        <v>1</v>
      </c>
      <c r="D525" s="63" t="s">
        <v>188</v>
      </c>
      <c r="E525" s="65" t="s">
        <v>189</v>
      </c>
      <c r="F525" s="65" t="s">
        <v>166</v>
      </c>
      <c r="G525" s="63" t="s">
        <v>164</v>
      </c>
      <c r="H525" s="63">
        <v>58</v>
      </c>
      <c r="I525" s="65" t="s">
        <v>165</v>
      </c>
      <c r="J525" s="63">
        <v>5058</v>
      </c>
      <c r="K525" s="64">
        <v>1085.45</v>
      </c>
      <c r="L525" s="63" t="s">
        <v>2422</v>
      </c>
      <c r="M525" s="65" t="str">
        <f t="shared" si="8"/>
        <v>GRANORTEUA SAO LUISPÓ DE BRITA</v>
      </c>
      <c r="N525" s="85" t="s">
        <v>224</v>
      </c>
    </row>
    <row r="526" spans="2:14" hidden="1" x14ac:dyDescent="0.25">
      <c r="B526" s="91">
        <v>46104</v>
      </c>
      <c r="C526" s="63">
        <v>1</v>
      </c>
      <c r="D526" s="63" t="s">
        <v>202</v>
      </c>
      <c r="E526" s="65" t="s">
        <v>214</v>
      </c>
      <c r="F526" s="65" t="s">
        <v>163</v>
      </c>
      <c r="G526" s="63" t="s">
        <v>164</v>
      </c>
      <c r="H526" s="63">
        <v>52</v>
      </c>
      <c r="I526" s="65" t="s">
        <v>165</v>
      </c>
      <c r="J526" s="63">
        <v>4922</v>
      </c>
      <c r="K526" s="64">
        <v>946.99</v>
      </c>
      <c r="L526" s="63" t="s">
        <v>2423</v>
      </c>
      <c r="M526" s="65" t="str">
        <f t="shared" si="8"/>
        <v>BRASIL MINERACAOUA SAO LUISPÓ DE BRITA</v>
      </c>
      <c r="N526" s="85" t="s">
        <v>224</v>
      </c>
    </row>
    <row r="527" spans="2:14" x14ac:dyDescent="0.25">
      <c r="B527" s="91">
        <v>46104</v>
      </c>
      <c r="C527" s="63">
        <v>1</v>
      </c>
      <c r="D527" s="63" t="s">
        <v>170</v>
      </c>
      <c r="E527" s="65" t="s">
        <v>171</v>
      </c>
      <c r="F527" s="65" t="s">
        <v>166</v>
      </c>
      <c r="G527" s="63" t="s">
        <v>2123</v>
      </c>
      <c r="H527" s="63">
        <v>60</v>
      </c>
      <c r="I527" s="65" t="s">
        <v>169</v>
      </c>
      <c r="J527" s="63">
        <v>2566</v>
      </c>
      <c r="K527" s="64">
        <v>569.65</v>
      </c>
      <c r="L527" s="63" t="s">
        <v>2424</v>
      </c>
      <c r="M527" s="65" t="str">
        <f t="shared" si="8"/>
        <v>GRANORTEVIADUTO DO CAFEPULMÃOZINHO</v>
      </c>
      <c r="N527" s="85" t="s">
        <v>2854</v>
      </c>
    </row>
    <row r="528" spans="2:14" hidden="1" x14ac:dyDescent="0.25">
      <c r="B528" s="91">
        <v>46104</v>
      </c>
      <c r="C528" s="63">
        <v>1</v>
      </c>
      <c r="D528" s="63" t="s">
        <v>1948</v>
      </c>
      <c r="E528" s="65" t="s">
        <v>1949</v>
      </c>
      <c r="F528" s="65" t="s">
        <v>163</v>
      </c>
      <c r="G528" s="63" t="s">
        <v>164</v>
      </c>
      <c r="H528" s="63">
        <v>52</v>
      </c>
      <c r="I528" s="65" t="s">
        <v>165</v>
      </c>
      <c r="J528" s="63">
        <v>475</v>
      </c>
      <c r="K528" s="64">
        <v>913.9</v>
      </c>
      <c r="L528" s="63" t="s">
        <v>2425</v>
      </c>
      <c r="M528" s="65" t="str">
        <f t="shared" si="8"/>
        <v>BRASIL MINERACAOUA SAO LUISPÓ DE BRITA</v>
      </c>
      <c r="N528" s="85" t="s">
        <v>224</v>
      </c>
    </row>
    <row r="529" spans="2:14" hidden="1" x14ac:dyDescent="0.25">
      <c r="B529" s="91">
        <v>46104</v>
      </c>
      <c r="C529" s="63">
        <v>1</v>
      </c>
      <c r="D529" s="63" t="s">
        <v>203</v>
      </c>
      <c r="E529" s="65" t="s">
        <v>204</v>
      </c>
      <c r="F529" s="65" t="s">
        <v>163</v>
      </c>
      <c r="G529" s="63" t="s">
        <v>164</v>
      </c>
      <c r="H529" s="63">
        <v>52</v>
      </c>
      <c r="I529" s="65" t="s">
        <v>165</v>
      </c>
      <c r="J529" s="63">
        <v>447</v>
      </c>
      <c r="K529" s="64">
        <v>860.03</v>
      </c>
      <c r="L529" s="63" t="s">
        <v>2426</v>
      </c>
      <c r="M529" s="65" t="str">
        <f t="shared" si="8"/>
        <v>BRASIL MINERACAOUA SAO LUISPÓ DE BRITA</v>
      </c>
      <c r="N529" s="85" t="s">
        <v>224</v>
      </c>
    </row>
    <row r="530" spans="2:14" x14ac:dyDescent="0.25">
      <c r="B530" s="91">
        <v>46104</v>
      </c>
      <c r="C530" s="63">
        <v>1</v>
      </c>
      <c r="D530" s="63" t="s">
        <v>170</v>
      </c>
      <c r="E530" s="65" t="s">
        <v>171</v>
      </c>
      <c r="F530" s="65" t="s">
        <v>166</v>
      </c>
      <c r="G530" s="63" t="s">
        <v>2123</v>
      </c>
      <c r="H530" s="63">
        <v>60</v>
      </c>
      <c r="I530" s="65" t="s">
        <v>172</v>
      </c>
      <c r="J530" s="63">
        <v>2512</v>
      </c>
      <c r="K530" s="64">
        <v>557.66</v>
      </c>
      <c r="L530" s="63" t="s">
        <v>2427</v>
      </c>
      <c r="M530" s="65" t="str">
        <f t="shared" si="8"/>
        <v>GRANORTEVIADUTO DO CAFEBICA CORRIDA</v>
      </c>
      <c r="N530" s="85" t="s">
        <v>2854</v>
      </c>
    </row>
    <row r="531" spans="2:14" hidden="1" x14ac:dyDescent="0.25">
      <c r="B531" s="91">
        <v>46104</v>
      </c>
      <c r="C531" s="63">
        <v>1</v>
      </c>
      <c r="D531" s="63" t="s">
        <v>186</v>
      </c>
      <c r="E531" s="65" t="s">
        <v>187</v>
      </c>
      <c r="F531" s="65" t="s">
        <v>166</v>
      </c>
      <c r="G531" s="63" t="s">
        <v>164</v>
      </c>
      <c r="H531" s="63">
        <v>58</v>
      </c>
      <c r="I531" s="65" t="s">
        <v>165</v>
      </c>
      <c r="J531" s="63">
        <v>506</v>
      </c>
      <c r="K531" s="64">
        <v>1085.8800000000001</v>
      </c>
      <c r="L531" s="63" t="s">
        <v>2428</v>
      </c>
      <c r="M531" s="65" t="str">
        <f t="shared" si="8"/>
        <v>GRANORTEUA SAO LUISPÓ DE BRITA</v>
      </c>
      <c r="N531" s="85" t="s">
        <v>224</v>
      </c>
    </row>
    <row r="532" spans="2:14" x14ac:dyDescent="0.25">
      <c r="B532" s="91">
        <v>46104</v>
      </c>
      <c r="C532" s="63">
        <v>1</v>
      </c>
      <c r="D532" s="63" t="s">
        <v>199</v>
      </c>
      <c r="E532" s="65" t="s">
        <v>180</v>
      </c>
      <c r="F532" s="65" t="s">
        <v>166</v>
      </c>
      <c r="G532" s="63" t="s">
        <v>2123</v>
      </c>
      <c r="H532" s="63">
        <v>60</v>
      </c>
      <c r="I532" s="65" t="s">
        <v>169</v>
      </c>
      <c r="J532" s="63">
        <v>251</v>
      </c>
      <c r="K532" s="64">
        <v>557.22</v>
      </c>
      <c r="L532" s="63" t="s">
        <v>2429</v>
      </c>
      <c r="M532" s="65" t="str">
        <f t="shared" si="8"/>
        <v>GRANORTEVIADUTO DO CAFEPULMÃOZINHO</v>
      </c>
      <c r="N532" s="85" t="s">
        <v>2854</v>
      </c>
    </row>
    <row r="533" spans="2:14" hidden="1" x14ac:dyDescent="0.25">
      <c r="B533" s="91">
        <v>46104</v>
      </c>
      <c r="C533" s="63">
        <v>1</v>
      </c>
      <c r="D533" s="63" t="s">
        <v>188</v>
      </c>
      <c r="E533" s="65" t="s">
        <v>189</v>
      </c>
      <c r="F533" s="65" t="s">
        <v>163</v>
      </c>
      <c r="G533" s="63" t="s">
        <v>164</v>
      </c>
      <c r="H533" s="63">
        <v>52</v>
      </c>
      <c r="I533" s="65" t="s">
        <v>175</v>
      </c>
      <c r="J533" s="63">
        <v>4832</v>
      </c>
      <c r="K533" s="64">
        <v>929.68</v>
      </c>
      <c r="L533" s="63" t="s">
        <v>2430</v>
      </c>
      <c r="M533" s="65" t="str">
        <f t="shared" si="8"/>
        <v>BRASIL MINERACAOUA SAO LUISBRITA 0</v>
      </c>
      <c r="N533" s="85" t="s">
        <v>224</v>
      </c>
    </row>
    <row r="534" spans="2:14" hidden="1" x14ac:dyDescent="0.25">
      <c r="B534" s="91">
        <v>46104</v>
      </c>
      <c r="C534" s="63">
        <v>1</v>
      </c>
      <c r="D534" s="63" t="s">
        <v>196</v>
      </c>
      <c r="E534" s="65" t="s">
        <v>197</v>
      </c>
      <c r="F534" s="65" t="s">
        <v>166</v>
      </c>
      <c r="G534" s="63" t="s">
        <v>164</v>
      </c>
      <c r="H534" s="63">
        <v>58</v>
      </c>
      <c r="I534" s="65" t="s">
        <v>165</v>
      </c>
      <c r="J534" s="63">
        <v>4952</v>
      </c>
      <c r="K534" s="64">
        <v>1062.7</v>
      </c>
      <c r="L534" s="63" t="s">
        <v>2431</v>
      </c>
      <c r="M534" s="65" t="str">
        <f t="shared" si="8"/>
        <v>GRANORTEUA SAO LUISPÓ DE BRITA</v>
      </c>
      <c r="N534" s="85" t="s">
        <v>224</v>
      </c>
    </row>
    <row r="535" spans="2:14" hidden="1" x14ac:dyDescent="0.25">
      <c r="B535" s="91">
        <v>46104</v>
      </c>
      <c r="C535" s="63">
        <v>1</v>
      </c>
      <c r="D535" s="63" t="s">
        <v>203</v>
      </c>
      <c r="E535" s="65" t="s">
        <v>204</v>
      </c>
      <c r="F535" s="65" t="s">
        <v>166</v>
      </c>
      <c r="G535" s="63" t="s">
        <v>164</v>
      </c>
      <c r="H535" s="63">
        <v>58</v>
      </c>
      <c r="I535" s="65" t="s">
        <v>165</v>
      </c>
      <c r="J535" s="63">
        <v>5384</v>
      </c>
      <c r="K535" s="64">
        <v>1155.4100000000001</v>
      </c>
      <c r="L535" s="63" t="s">
        <v>2432</v>
      </c>
      <c r="M535" s="65" t="str">
        <f t="shared" si="8"/>
        <v>GRANORTEUA SAO LUISPÓ DE BRITA</v>
      </c>
      <c r="N535" s="85" t="s">
        <v>224</v>
      </c>
    </row>
    <row r="536" spans="2:14" x14ac:dyDescent="0.25">
      <c r="B536" s="91">
        <v>46104</v>
      </c>
      <c r="C536" s="63">
        <v>1</v>
      </c>
      <c r="D536" s="63" t="s">
        <v>183</v>
      </c>
      <c r="E536" s="65" t="s">
        <v>184</v>
      </c>
      <c r="F536" s="65" t="s">
        <v>166</v>
      </c>
      <c r="G536" s="63" t="s">
        <v>2123</v>
      </c>
      <c r="H536" s="63">
        <v>60</v>
      </c>
      <c r="I536" s="65" t="s">
        <v>172</v>
      </c>
      <c r="J536" s="63">
        <v>2574</v>
      </c>
      <c r="K536" s="64">
        <v>571.42999999999995</v>
      </c>
      <c r="L536" s="63" t="s">
        <v>2433</v>
      </c>
      <c r="M536" s="65" t="str">
        <f t="shared" si="8"/>
        <v>GRANORTEVIADUTO DO CAFEBICA CORRIDA</v>
      </c>
      <c r="N536" s="85" t="s">
        <v>2854</v>
      </c>
    </row>
    <row r="537" spans="2:14" x14ac:dyDescent="0.25">
      <c r="B537" s="91">
        <v>46104</v>
      </c>
      <c r="C537" s="63">
        <v>1</v>
      </c>
      <c r="D537" s="63" t="s">
        <v>183</v>
      </c>
      <c r="E537" s="65" t="s">
        <v>184</v>
      </c>
      <c r="F537" s="65" t="s">
        <v>166</v>
      </c>
      <c r="G537" s="63" t="s">
        <v>2123</v>
      </c>
      <c r="H537" s="63">
        <v>60</v>
      </c>
      <c r="I537" s="65" t="s">
        <v>172</v>
      </c>
      <c r="J537" s="63">
        <v>2668</v>
      </c>
      <c r="K537" s="64">
        <v>592.29999999999995</v>
      </c>
      <c r="L537" s="63" t="s">
        <v>2434</v>
      </c>
      <c r="M537" s="65" t="str">
        <f t="shared" si="8"/>
        <v>GRANORTEVIADUTO DO CAFEBICA CORRIDA</v>
      </c>
      <c r="N537" s="85" t="s">
        <v>2854</v>
      </c>
    </row>
    <row r="538" spans="2:14" x14ac:dyDescent="0.25">
      <c r="B538" s="91">
        <v>46104</v>
      </c>
      <c r="C538" s="63">
        <v>1</v>
      </c>
      <c r="D538" s="63" t="s">
        <v>183</v>
      </c>
      <c r="E538" s="65" t="s">
        <v>184</v>
      </c>
      <c r="F538" s="65" t="s">
        <v>166</v>
      </c>
      <c r="G538" s="63" t="s">
        <v>2123</v>
      </c>
      <c r="H538" s="63">
        <v>60</v>
      </c>
      <c r="I538" s="65" t="s">
        <v>169</v>
      </c>
      <c r="J538" s="63">
        <v>2574</v>
      </c>
      <c r="K538" s="64">
        <v>571.42999999999995</v>
      </c>
      <c r="L538" s="63" t="s">
        <v>2435</v>
      </c>
      <c r="M538" s="65" t="str">
        <f t="shared" si="8"/>
        <v>GRANORTEVIADUTO DO CAFEPULMÃOZINHO</v>
      </c>
      <c r="N538" s="85" t="s">
        <v>2854</v>
      </c>
    </row>
    <row r="539" spans="2:14" hidden="1" x14ac:dyDescent="0.25">
      <c r="B539" s="91">
        <v>46104</v>
      </c>
      <c r="C539" s="63">
        <v>1</v>
      </c>
      <c r="D539" s="63" t="s">
        <v>283</v>
      </c>
      <c r="E539" s="65" t="s">
        <v>215</v>
      </c>
      <c r="F539" s="65" t="s">
        <v>163</v>
      </c>
      <c r="G539" s="63" t="s">
        <v>164</v>
      </c>
      <c r="H539" s="63">
        <v>52</v>
      </c>
      <c r="I539" s="65" t="s">
        <v>165</v>
      </c>
      <c r="J539" s="63">
        <v>2648</v>
      </c>
      <c r="K539" s="64">
        <v>509.48</v>
      </c>
      <c r="L539" s="63" t="s">
        <v>2436</v>
      </c>
      <c r="M539" s="65" t="str">
        <f t="shared" si="8"/>
        <v>BRASIL MINERACAOUA SAO LUISPÓ DE BRITA</v>
      </c>
      <c r="N539" s="85" t="s">
        <v>224</v>
      </c>
    </row>
    <row r="540" spans="2:14" hidden="1" x14ac:dyDescent="0.25">
      <c r="B540" s="91">
        <v>46104</v>
      </c>
      <c r="C540" s="63">
        <v>1</v>
      </c>
      <c r="D540" s="63" t="s">
        <v>283</v>
      </c>
      <c r="E540" s="65" t="s">
        <v>215</v>
      </c>
      <c r="F540" s="65" t="s">
        <v>163</v>
      </c>
      <c r="G540" s="63" t="s">
        <v>164</v>
      </c>
      <c r="H540" s="63">
        <v>52</v>
      </c>
      <c r="I540" s="65" t="s">
        <v>165</v>
      </c>
      <c r="J540" s="63">
        <v>2542</v>
      </c>
      <c r="K540" s="64">
        <v>489.08</v>
      </c>
      <c r="L540" s="63" t="s">
        <v>2437</v>
      </c>
      <c r="M540" s="65" t="str">
        <f t="shared" si="8"/>
        <v>BRASIL MINERACAOUA SAO LUISPÓ DE BRITA</v>
      </c>
      <c r="N540" s="85" t="s">
        <v>224</v>
      </c>
    </row>
    <row r="541" spans="2:14" x14ac:dyDescent="0.25">
      <c r="B541" s="91">
        <v>46104</v>
      </c>
      <c r="C541" s="63">
        <v>1</v>
      </c>
      <c r="D541" s="63" t="s">
        <v>199</v>
      </c>
      <c r="E541" s="65" t="s">
        <v>180</v>
      </c>
      <c r="F541" s="65" t="s">
        <v>166</v>
      </c>
      <c r="G541" s="63" t="s">
        <v>2123</v>
      </c>
      <c r="H541" s="63">
        <v>60</v>
      </c>
      <c r="I541" s="65" t="s">
        <v>169</v>
      </c>
      <c r="J541" s="63">
        <v>2776</v>
      </c>
      <c r="K541" s="64">
        <v>616.27</v>
      </c>
      <c r="L541" s="63" t="s">
        <v>2438</v>
      </c>
      <c r="M541" s="65" t="str">
        <f t="shared" si="8"/>
        <v>GRANORTEVIADUTO DO CAFEPULMÃOZINHO</v>
      </c>
      <c r="N541" s="85" t="s">
        <v>2854</v>
      </c>
    </row>
    <row r="542" spans="2:14" hidden="1" x14ac:dyDescent="0.25">
      <c r="B542" s="91">
        <v>46104</v>
      </c>
      <c r="C542" s="63">
        <v>1</v>
      </c>
      <c r="D542" s="63" t="s">
        <v>202</v>
      </c>
      <c r="E542" s="65" t="s">
        <v>214</v>
      </c>
      <c r="F542" s="65" t="s">
        <v>166</v>
      </c>
      <c r="G542" s="63" t="s">
        <v>164</v>
      </c>
      <c r="H542" s="63">
        <v>58</v>
      </c>
      <c r="I542" s="65" t="s">
        <v>165</v>
      </c>
      <c r="J542" s="63">
        <v>5104</v>
      </c>
      <c r="K542" s="64">
        <v>1095.32</v>
      </c>
      <c r="L542" s="63" t="s">
        <v>2439</v>
      </c>
      <c r="M542" s="65" t="str">
        <f t="shared" si="8"/>
        <v>GRANORTEUA SAO LUISPÓ DE BRITA</v>
      </c>
      <c r="N542" s="85" t="s">
        <v>224</v>
      </c>
    </row>
    <row r="543" spans="2:14" hidden="1" x14ac:dyDescent="0.25">
      <c r="B543" s="91">
        <v>46104</v>
      </c>
      <c r="C543" s="63">
        <v>1</v>
      </c>
      <c r="D543" s="63" t="s">
        <v>286</v>
      </c>
      <c r="E543" s="65" t="s">
        <v>506</v>
      </c>
      <c r="F543" s="65" t="s">
        <v>166</v>
      </c>
      <c r="G543" s="63" t="s">
        <v>164</v>
      </c>
      <c r="H543" s="63">
        <v>58</v>
      </c>
      <c r="I543" s="65" t="s">
        <v>165</v>
      </c>
      <c r="J543" s="63">
        <v>2604</v>
      </c>
      <c r="K543" s="64">
        <v>558.82000000000005</v>
      </c>
      <c r="L543" s="63" t="s">
        <v>2440</v>
      </c>
      <c r="M543" s="65" t="str">
        <f t="shared" si="8"/>
        <v>GRANORTEUA SAO LUISPÓ DE BRITA</v>
      </c>
      <c r="N543" s="85" t="s">
        <v>224</v>
      </c>
    </row>
    <row r="544" spans="2:14" hidden="1" x14ac:dyDescent="0.25">
      <c r="B544" s="91">
        <v>46104</v>
      </c>
      <c r="C544" s="63">
        <v>1</v>
      </c>
      <c r="D544" s="63" t="s">
        <v>286</v>
      </c>
      <c r="E544" s="65" t="s">
        <v>506</v>
      </c>
      <c r="F544" s="65" t="s">
        <v>163</v>
      </c>
      <c r="G544" s="63" t="s">
        <v>164</v>
      </c>
      <c r="H544" s="63">
        <v>52</v>
      </c>
      <c r="I544" s="65" t="s">
        <v>165</v>
      </c>
      <c r="J544" s="63">
        <v>2556</v>
      </c>
      <c r="K544" s="64">
        <v>491.77</v>
      </c>
      <c r="L544" s="63" t="s">
        <v>2441</v>
      </c>
      <c r="M544" s="65" t="str">
        <f t="shared" si="8"/>
        <v>BRASIL MINERACAOUA SAO LUISPÓ DE BRITA</v>
      </c>
      <c r="N544" s="85" t="s">
        <v>224</v>
      </c>
    </row>
    <row r="545" spans="2:14" hidden="1" x14ac:dyDescent="0.25">
      <c r="B545" s="91">
        <v>46104</v>
      </c>
      <c r="C545" s="63">
        <v>1</v>
      </c>
      <c r="D545" s="63" t="s">
        <v>167</v>
      </c>
      <c r="E545" s="65" t="s">
        <v>168</v>
      </c>
      <c r="F545" s="65" t="s">
        <v>11</v>
      </c>
      <c r="G545" s="63" t="s">
        <v>2112</v>
      </c>
      <c r="H545" s="63">
        <v>76</v>
      </c>
      <c r="I545" s="65" t="s">
        <v>169</v>
      </c>
      <c r="J545" s="63">
        <v>2596</v>
      </c>
      <c r="K545" s="64">
        <v>730</v>
      </c>
      <c r="L545" s="63" t="s">
        <v>2442</v>
      </c>
      <c r="M545" s="65" t="str">
        <f t="shared" si="8"/>
        <v>METROPOLITANARETORNO DA UEMAPULMÃOZINHO</v>
      </c>
      <c r="N545" s="85" t="s">
        <v>108</v>
      </c>
    </row>
    <row r="546" spans="2:14" hidden="1" x14ac:dyDescent="0.25">
      <c r="B546" s="91">
        <v>46104</v>
      </c>
      <c r="C546" s="63">
        <v>1</v>
      </c>
      <c r="D546" s="63" t="s">
        <v>167</v>
      </c>
      <c r="E546" s="65" t="s">
        <v>168</v>
      </c>
      <c r="F546" s="65" t="s">
        <v>11</v>
      </c>
      <c r="G546" s="63" t="s">
        <v>2112</v>
      </c>
      <c r="H546" s="63">
        <v>76</v>
      </c>
      <c r="I546" s="65" t="s">
        <v>169</v>
      </c>
      <c r="J546" s="63">
        <v>2626</v>
      </c>
      <c r="K546" s="64">
        <v>738.43</v>
      </c>
      <c r="L546" s="63" t="s">
        <v>2443</v>
      </c>
      <c r="M546" s="65" t="str">
        <f t="shared" si="8"/>
        <v>METROPOLITANARETORNO DA UEMAPULMÃOZINHO</v>
      </c>
      <c r="N546" s="85" t="s">
        <v>108</v>
      </c>
    </row>
    <row r="547" spans="2:14" x14ac:dyDescent="0.25">
      <c r="B547" s="91">
        <v>46104</v>
      </c>
      <c r="C547" s="63">
        <v>1</v>
      </c>
      <c r="D547" s="63" t="s">
        <v>181</v>
      </c>
      <c r="E547" s="65" t="s">
        <v>182</v>
      </c>
      <c r="F547" s="65" t="s">
        <v>166</v>
      </c>
      <c r="G547" s="63" t="s">
        <v>2123</v>
      </c>
      <c r="H547" s="63">
        <v>60</v>
      </c>
      <c r="I547" s="65" t="s">
        <v>169</v>
      </c>
      <c r="J547" s="63">
        <v>256</v>
      </c>
      <c r="K547" s="64">
        <v>568.32000000000005</v>
      </c>
      <c r="L547" s="63" t="s">
        <v>2444</v>
      </c>
      <c r="M547" s="65" t="str">
        <f t="shared" si="8"/>
        <v>GRANORTEVIADUTO DO CAFEPULMÃOZINHO</v>
      </c>
      <c r="N547" s="85" t="s">
        <v>2854</v>
      </c>
    </row>
    <row r="548" spans="2:14" hidden="1" x14ac:dyDescent="0.25">
      <c r="B548" s="91">
        <v>46104</v>
      </c>
      <c r="C548" s="63">
        <v>1</v>
      </c>
      <c r="D548" s="63" t="s">
        <v>219</v>
      </c>
      <c r="E548" s="65" t="s">
        <v>220</v>
      </c>
      <c r="F548" s="65" t="s">
        <v>163</v>
      </c>
      <c r="G548" s="63" t="s">
        <v>164</v>
      </c>
      <c r="H548" s="63">
        <v>52</v>
      </c>
      <c r="I548" s="65" t="s">
        <v>175</v>
      </c>
      <c r="J548" s="63">
        <v>578</v>
      </c>
      <c r="K548" s="64">
        <v>1112.07</v>
      </c>
      <c r="L548" s="63" t="s">
        <v>2445</v>
      </c>
      <c r="M548" s="65" t="str">
        <f t="shared" si="8"/>
        <v>BRASIL MINERACAOUA SAO LUISBRITA 0</v>
      </c>
      <c r="N548" s="85" t="s">
        <v>224</v>
      </c>
    </row>
    <row r="549" spans="2:14" hidden="1" x14ac:dyDescent="0.25">
      <c r="B549" s="91">
        <v>46104</v>
      </c>
      <c r="C549" s="63">
        <v>1</v>
      </c>
      <c r="D549" s="63" t="s">
        <v>210</v>
      </c>
      <c r="E549" s="65" t="s">
        <v>211</v>
      </c>
      <c r="F549" s="65" t="s">
        <v>163</v>
      </c>
      <c r="G549" s="63" t="s">
        <v>164</v>
      </c>
      <c r="H549" s="63">
        <v>52</v>
      </c>
      <c r="I549" s="65" t="s">
        <v>165</v>
      </c>
      <c r="J549" s="63">
        <v>4534</v>
      </c>
      <c r="K549" s="64">
        <v>872.34</v>
      </c>
      <c r="L549" s="63" t="s">
        <v>2446</v>
      </c>
      <c r="M549" s="65" t="str">
        <f t="shared" si="8"/>
        <v>BRASIL MINERACAOUA SAO LUISPÓ DE BRITA</v>
      </c>
      <c r="N549" s="85" t="s">
        <v>224</v>
      </c>
    </row>
    <row r="550" spans="2:14" hidden="1" x14ac:dyDescent="0.25">
      <c r="B550" s="91">
        <v>46104</v>
      </c>
      <c r="C550" s="63">
        <v>1</v>
      </c>
      <c r="D550" s="63" t="s">
        <v>192</v>
      </c>
      <c r="E550" s="65" t="s">
        <v>287</v>
      </c>
      <c r="F550" s="65" t="s">
        <v>163</v>
      </c>
      <c r="G550" s="63" t="s">
        <v>164</v>
      </c>
      <c r="H550" s="63">
        <v>52</v>
      </c>
      <c r="I550" s="65" t="s">
        <v>175</v>
      </c>
      <c r="J550" s="63">
        <v>5086</v>
      </c>
      <c r="K550" s="64">
        <v>978.55</v>
      </c>
      <c r="L550" s="63" t="s">
        <v>2447</v>
      </c>
      <c r="M550" s="65" t="str">
        <f t="shared" si="8"/>
        <v>BRASIL MINERACAOUA SAO LUISBRITA 0</v>
      </c>
      <c r="N550" s="85" t="s">
        <v>224</v>
      </c>
    </row>
    <row r="551" spans="2:14" hidden="1" x14ac:dyDescent="0.25">
      <c r="B551" s="91">
        <v>46104</v>
      </c>
      <c r="C551" s="63">
        <v>1</v>
      </c>
      <c r="D551" s="63" t="s">
        <v>192</v>
      </c>
      <c r="E551" s="65" t="s">
        <v>287</v>
      </c>
      <c r="F551" s="65" t="s">
        <v>163</v>
      </c>
      <c r="G551" s="63" t="s">
        <v>164</v>
      </c>
      <c r="H551" s="63">
        <v>52</v>
      </c>
      <c r="I551" s="65" t="s">
        <v>175</v>
      </c>
      <c r="J551" s="63">
        <v>4656</v>
      </c>
      <c r="K551" s="64">
        <v>895.81</v>
      </c>
      <c r="L551" s="63" t="s">
        <v>2448</v>
      </c>
      <c r="M551" s="65" t="str">
        <f t="shared" si="8"/>
        <v>BRASIL MINERACAOUA SAO LUISBRITA 0</v>
      </c>
      <c r="N551" s="85" t="s">
        <v>224</v>
      </c>
    </row>
    <row r="552" spans="2:14" hidden="1" x14ac:dyDescent="0.25">
      <c r="B552" s="91">
        <v>46104</v>
      </c>
      <c r="C552" s="63">
        <v>1</v>
      </c>
      <c r="D552" s="63" t="s">
        <v>213</v>
      </c>
      <c r="E552" s="65" t="s">
        <v>178</v>
      </c>
      <c r="F552" s="65" t="s">
        <v>166</v>
      </c>
      <c r="G552" s="63" t="s">
        <v>164</v>
      </c>
      <c r="H552" s="63">
        <v>58</v>
      </c>
      <c r="I552" s="65" t="s">
        <v>165</v>
      </c>
      <c r="J552" s="63">
        <v>4856</v>
      </c>
      <c r="K552" s="64">
        <v>1042.0999999999999</v>
      </c>
      <c r="L552" s="63" t="s">
        <v>2449</v>
      </c>
      <c r="M552" s="65" t="str">
        <f t="shared" si="8"/>
        <v>GRANORTEUA SAO LUISPÓ DE BRITA</v>
      </c>
      <c r="N552" s="85" t="s">
        <v>224</v>
      </c>
    </row>
    <row r="553" spans="2:14" hidden="1" x14ac:dyDescent="0.25">
      <c r="B553" s="91">
        <v>46104</v>
      </c>
      <c r="C553" s="63">
        <v>1</v>
      </c>
      <c r="D553" s="63" t="s">
        <v>213</v>
      </c>
      <c r="E553" s="65" t="s">
        <v>178</v>
      </c>
      <c r="F553" s="65" t="s">
        <v>166</v>
      </c>
      <c r="G553" s="63" t="s">
        <v>164</v>
      </c>
      <c r="H553" s="63">
        <v>58</v>
      </c>
      <c r="I553" s="65" t="s">
        <v>165</v>
      </c>
      <c r="J553" s="63">
        <v>4782</v>
      </c>
      <c r="K553" s="64">
        <v>1026.22</v>
      </c>
      <c r="L553" s="63" t="s">
        <v>2450</v>
      </c>
      <c r="M553" s="65" t="str">
        <f t="shared" si="8"/>
        <v>GRANORTEUA SAO LUISPÓ DE BRITA</v>
      </c>
      <c r="N553" s="85" t="s">
        <v>224</v>
      </c>
    </row>
    <row r="554" spans="2:14" hidden="1" x14ac:dyDescent="0.25">
      <c r="B554" s="91">
        <v>46104</v>
      </c>
      <c r="C554" s="63">
        <v>1</v>
      </c>
      <c r="D554" s="63" t="s">
        <v>275</v>
      </c>
      <c r="E554" s="65" t="s">
        <v>217</v>
      </c>
      <c r="F554" s="65" t="s">
        <v>163</v>
      </c>
      <c r="G554" s="63" t="s">
        <v>164</v>
      </c>
      <c r="H554" s="63">
        <v>52</v>
      </c>
      <c r="I554" s="65" t="s">
        <v>165</v>
      </c>
      <c r="J554" s="63">
        <v>477</v>
      </c>
      <c r="K554" s="64">
        <v>917.75</v>
      </c>
      <c r="L554" s="63" t="s">
        <v>2451</v>
      </c>
      <c r="M554" s="65" t="str">
        <f t="shared" si="8"/>
        <v>BRASIL MINERACAOUA SAO LUISPÓ DE BRITA</v>
      </c>
      <c r="N554" s="85" t="s">
        <v>224</v>
      </c>
    </row>
    <row r="555" spans="2:14" hidden="1" x14ac:dyDescent="0.25">
      <c r="B555" s="91">
        <v>46104</v>
      </c>
      <c r="C555" s="63">
        <v>1</v>
      </c>
      <c r="D555" s="63" t="s">
        <v>275</v>
      </c>
      <c r="E555" s="65" t="s">
        <v>217</v>
      </c>
      <c r="F555" s="65" t="s">
        <v>163</v>
      </c>
      <c r="G555" s="63" t="s">
        <v>164</v>
      </c>
      <c r="H555" s="63">
        <v>52</v>
      </c>
      <c r="I555" s="65" t="s">
        <v>165</v>
      </c>
      <c r="J555" s="63">
        <v>4602</v>
      </c>
      <c r="K555" s="64">
        <v>885.42</v>
      </c>
      <c r="L555" s="63" t="s">
        <v>2452</v>
      </c>
      <c r="M555" s="65" t="str">
        <f t="shared" si="8"/>
        <v>BRASIL MINERACAOUA SAO LUISPÓ DE BRITA</v>
      </c>
      <c r="N555" s="85" t="s">
        <v>224</v>
      </c>
    </row>
    <row r="556" spans="2:14" hidden="1" x14ac:dyDescent="0.25">
      <c r="B556" s="91">
        <v>46104</v>
      </c>
      <c r="C556" s="63">
        <v>1</v>
      </c>
      <c r="D556" s="63" t="s">
        <v>286</v>
      </c>
      <c r="E556" s="65" t="s">
        <v>343</v>
      </c>
      <c r="F556" s="65" t="s">
        <v>166</v>
      </c>
      <c r="G556" s="63" t="s">
        <v>164</v>
      </c>
      <c r="H556" s="63">
        <v>58</v>
      </c>
      <c r="I556" s="65" t="s">
        <v>185</v>
      </c>
      <c r="J556" s="63">
        <v>4948</v>
      </c>
      <c r="K556" s="64">
        <v>1061.8399999999999</v>
      </c>
      <c r="L556" s="63" t="s">
        <v>2453</v>
      </c>
      <c r="M556" s="65" t="str">
        <f t="shared" si="8"/>
        <v>GRANORTEUA SAO LUISRACHÃOZINHO</v>
      </c>
      <c r="N556" s="85" t="s">
        <v>224</v>
      </c>
    </row>
    <row r="557" spans="2:14" hidden="1" x14ac:dyDescent="0.25">
      <c r="B557" s="91">
        <v>46104</v>
      </c>
      <c r="C557" s="63">
        <v>1</v>
      </c>
      <c r="D557" s="63" t="s">
        <v>286</v>
      </c>
      <c r="E557" s="65" t="s">
        <v>343</v>
      </c>
      <c r="F557" s="65" t="s">
        <v>166</v>
      </c>
      <c r="G557" s="63" t="s">
        <v>164</v>
      </c>
      <c r="H557" s="63">
        <v>58</v>
      </c>
      <c r="I557" s="65" t="s">
        <v>185</v>
      </c>
      <c r="J557" s="63">
        <v>493</v>
      </c>
      <c r="K557" s="64">
        <v>1057.98</v>
      </c>
      <c r="L557" s="63" t="s">
        <v>2454</v>
      </c>
      <c r="M557" s="65" t="str">
        <f t="shared" si="8"/>
        <v>GRANORTEUA SAO LUISRACHÃOZINHO</v>
      </c>
      <c r="N557" s="85" t="s">
        <v>224</v>
      </c>
    </row>
    <row r="558" spans="2:14" hidden="1" x14ac:dyDescent="0.25">
      <c r="B558" s="91">
        <v>46105</v>
      </c>
      <c r="C558" s="63">
        <v>1</v>
      </c>
      <c r="D558" s="63" t="s">
        <v>167</v>
      </c>
      <c r="E558" s="65" t="s">
        <v>168</v>
      </c>
      <c r="F558" s="65" t="s">
        <v>11</v>
      </c>
      <c r="G558" s="63" t="s">
        <v>2112</v>
      </c>
      <c r="H558" s="63">
        <v>76</v>
      </c>
      <c r="I558" s="65" t="s">
        <v>169</v>
      </c>
      <c r="J558" s="63">
        <v>2622</v>
      </c>
      <c r="K558" s="64">
        <v>737.31</v>
      </c>
      <c r="L558" s="63" t="s">
        <v>2455</v>
      </c>
      <c r="M558" s="65" t="str">
        <f t="shared" si="8"/>
        <v>METROPOLITANARETORNO DA UEMAPULMÃOZINHO</v>
      </c>
      <c r="N558" s="85" t="s">
        <v>108</v>
      </c>
    </row>
    <row r="559" spans="2:14" x14ac:dyDescent="0.25">
      <c r="B559" s="91">
        <v>46105</v>
      </c>
      <c r="C559" s="63">
        <v>1</v>
      </c>
      <c r="D559" s="63" t="s">
        <v>167</v>
      </c>
      <c r="E559" s="65" t="s">
        <v>168</v>
      </c>
      <c r="F559" s="65" t="s">
        <v>166</v>
      </c>
      <c r="G559" s="63" t="s">
        <v>2123</v>
      </c>
      <c r="H559" s="63">
        <v>60</v>
      </c>
      <c r="I559" s="65" t="s">
        <v>169</v>
      </c>
      <c r="J559" s="63">
        <v>2652</v>
      </c>
      <c r="K559" s="64">
        <v>588.74</v>
      </c>
      <c r="L559" s="63" t="s">
        <v>2456</v>
      </c>
      <c r="M559" s="65" t="str">
        <f t="shared" si="8"/>
        <v>GRANORTEVIADUTO DO CAFEPULMÃOZINHO</v>
      </c>
      <c r="N559" s="85" t="s">
        <v>2854</v>
      </c>
    </row>
    <row r="560" spans="2:14" x14ac:dyDescent="0.25">
      <c r="B560" s="91">
        <v>46105</v>
      </c>
      <c r="C560" s="63">
        <v>1</v>
      </c>
      <c r="D560" s="63" t="s">
        <v>167</v>
      </c>
      <c r="E560" s="65" t="s">
        <v>168</v>
      </c>
      <c r="F560" s="65" t="s">
        <v>166</v>
      </c>
      <c r="G560" s="63" t="s">
        <v>2123</v>
      </c>
      <c r="H560" s="63">
        <v>60</v>
      </c>
      <c r="I560" s="65" t="s">
        <v>169</v>
      </c>
      <c r="J560" s="63">
        <v>2616</v>
      </c>
      <c r="K560" s="64">
        <v>580.75</v>
      </c>
      <c r="L560" s="63" t="s">
        <v>2457</v>
      </c>
      <c r="M560" s="65" t="str">
        <f t="shared" si="8"/>
        <v>GRANORTEVIADUTO DO CAFEPULMÃOZINHO</v>
      </c>
      <c r="N560" s="85" t="s">
        <v>2854</v>
      </c>
    </row>
    <row r="561" spans="2:14" hidden="1" x14ac:dyDescent="0.25">
      <c r="B561" s="91">
        <v>46105</v>
      </c>
      <c r="C561" s="63">
        <v>1</v>
      </c>
      <c r="D561" s="63" t="s">
        <v>202</v>
      </c>
      <c r="E561" s="65" t="s">
        <v>214</v>
      </c>
      <c r="F561" s="65" t="s">
        <v>163</v>
      </c>
      <c r="G561" s="63" t="s">
        <v>164</v>
      </c>
      <c r="H561" s="63">
        <v>52</v>
      </c>
      <c r="I561" s="65" t="s">
        <v>165</v>
      </c>
      <c r="J561" s="63">
        <v>6924</v>
      </c>
      <c r="K561" s="64">
        <v>1332.18</v>
      </c>
      <c r="L561" s="63" t="s">
        <v>2458</v>
      </c>
      <c r="M561" s="65" t="str">
        <f t="shared" si="8"/>
        <v>BRASIL MINERACAOUA SAO LUISPÓ DE BRITA</v>
      </c>
      <c r="N561" s="85" t="s">
        <v>224</v>
      </c>
    </row>
    <row r="562" spans="2:14" hidden="1" x14ac:dyDescent="0.25">
      <c r="B562" s="91">
        <v>46105</v>
      </c>
      <c r="C562" s="63">
        <v>1</v>
      </c>
      <c r="D562" s="63" t="s">
        <v>219</v>
      </c>
      <c r="E562" s="65" t="s">
        <v>220</v>
      </c>
      <c r="F562" s="65" t="s">
        <v>163</v>
      </c>
      <c r="G562" s="63" t="s">
        <v>164</v>
      </c>
      <c r="H562" s="63">
        <v>52</v>
      </c>
      <c r="I562" s="65" t="s">
        <v>175</v>
      </c>
      <c r="J562" s="63">
        <v>989</v>
      </c>
      <c r="K562" s="64">
        <v>1902.84</v>
      </c>
      <c r="L562" s="63" t="s">
        <v>2459</v>
      </c>
      <c r="M562" s="65" t="str">
        <f t="shared" si="8"/>
        <v>BRASIL MINERACAOUA SAO LUISBRITA 0</v>
      </c>
      <c r="N562" s="85" t="s">
        <v>224</v>
      </c>
    </row>
    <row r="563" spans="2:14" hidden="1" x14ac:dyDescent="0.25">
      <c r="B563" s="91">
        <v>46105</v>
      </c>
      <c r="C563" s="63">
        <v>1</v>
      </c>
      <c r="D563" s="63" t="s">
        <v>219</v>
      </c>
      <c r="E563" s="65" t="s">
        <v>220</v>
      </c>
      <c r="F563" s="65" t="s">
        <v>166</v>
      </c>
      <c r="G563" s="63" t="s">
        <v>164</v>
      </c>
      <c r="H563" s="63">
        <v>58</v>
      </c>
      <c r="I563" s="65" t="s">
        <v>175</v>
      </c>
      <c r="J563" s="63">
        <v>725</v>
      </c>
      <c r="K563" s="64">
        <v>1555.85</v>
      </c>
      <c r="L563" s="63" t="s">
        <v>2460</v>
      </c>
      <c r="M563" s="65" t="str">
        <f t="shared" si="8"/>
        <v>GRANORTEUA SAO LUISBRITA 0</v>
      </c>
      <c r="N563" s="85" t="s">
        <v>224</v>
      </c>
    </row>
    <row r="564" spans="2:14" hidden="1" x14ac:dyDescent="0.25">
      <c r="B564" s="91">
        <v>46105</v>
      </c>
      <c r="C564" s="63">
        <v>1</v>
      </c>
      <c r="D564" s="63" t="s">
        <v>219</v>
      </c>
      <c r="E564" s="65" t="s">
        <v>220</v>
      </c>
      <c r="F564" s="65" t="s">
        <v>163</v>
      </c>
      <c r="G564" s="63" t="s">
        <v>164</v>
      </c>
      <c r="H564" s="63">
        <v>52</v>
      </c>
      <c r="I564" s="65" t="s">
        <v>175</v>
      </c>
      <c r="J564" s="63">
        <v>976</v>
      </c>
      <c r="K564" s="64">
        <v>1877.82</v>
      </c>
      <c r="L564" s="63" t="s">
        <v>2461</v>
      </c>
      <c r="M564" s="65" t="str">
        <f t="shared" si="8"/>
        <v>BRASIL MINERACAOUA SAO LUISBRITA 0</v>
      </c>
      <c r="N564" s="85" t="s">
        <v>224</v>
      </c>
    </row>
    <row r="565" spans="2:14" hidden="1" x14ac:dyDescent="0.25">
      <c r="B565" s="91">
        <v>46105</v>
      </c>
      <c r="C565" s="63">
        <v>1</v>
      </c>
      <c r="D565" s="63" t="s">
        <v>219</v>
      </c>
      <c r="E565" s="65" t="s">
        <v>220</v>
      </c>
      <c r="F565" s="65" t="s">
        <v>163</v>
      </c>
      <c r="G565" s="63" t="s">
        <v>164</v>
      </c>
      <c r="H565" s="63">
        <v>52</v>
      </c>
      <c r="I565" s="65" t="s">
        <v>175</v>
      </c>
      <c r="J565" s="63">
        <v>978</v>
      </c>
      <c r="K565" s="64">
        <v>1881.67</v>
      </c>
      <c r="L565" s="63" t="s">
        <v>2462</v>
      </c>
      <c r="M565" s="65" t="str">
        <f t="shared" si="8"/>
        <v>BRASIL MINERACAOUA SAO LUISBRITA 0</v>
      </c>
      <c r="N565" s="85" t="s">
        <v>224</v>
      </c>
    </row>
    <row r="566" spans="2:14" x14ac:dyDescent="0.25">
      <c r="B566" s="91">
        <v>46105</v>
      </c>
      <c r="C566" s="63">
        <v>1</v>
      </c>
      <c r="D566" s="63" t="s">
        <v>170</v>
      </c>
      <c r="E566" s="65" t="s">
        <v>171</v>
      </c>
      <c r="F566" s="65" t="s">
        <v>166</v>
      </c>
      <c r="G566" s="63" t="s">
        <v>2123</v>
      </c>
      <c r="H566" s="63">
        <v>60</v>
      </c>
      <c r="I566" s="65" t="s">
        <v>169</v>
      </c>
      <c r="J566" s="63">
        <v>2584</v>
      </c>
      <c r="K566" s="64">
        <v>573.65</v>
      </c>
      <c r="L566" s="63" t="s">
        <v>2463</v>
      </c>
      <c r="M566" s="65" t="str">
        <f t="shared" si="8"/>
        <v>GRANORTEVIADUTO DO CAFEPULMÃOZINHO</v>
      </c>
      <c r="N566" s="85" t="s">
        <v>2854</v>
      </c>
    </row>
    <row r="567" spans="2:14" x14ac:dyDescent="0.25">
      <c r="B567" s="91">
        <v>46105</v>
      </c>
      <c r="C567" s="63">
        <v>1</v>
      </c>
      <c r="D567" s="63" t="s">
        <v>162</v>
      </c>
      <c r="E567" s="65" t="s">
        <v>281</v>
      </c>
      <c r="F567" s="65" t="s">
        <v>166</v>
      </c>
      <c r="G567" s="63" t="s">
        <v>2123</v>
      </c>
      <c r="H567" s="63">
        <v>60</v>
      </c>
      <c r="I567" s="65" t="s">
        <v>172</v>
      </c>
      <c r="J567" s="63">
        <v>2448</v>
      </c>
      <c r="K567" s="64">
        <v>543.46</v>
      </c>
      <c r="L567" s="63" t="s">
        <v>2464</v>
      </c>
      <c r="M567" s="65" t="str">
        <f t="shared" si="8"/>
        <v>GRANORTEVIADUTO DO CAFEBICA CORRIDA</v>
      </c>
      <c r="N567" s="85" t="s">
        <v>2854</v>
      </c>
    </row>
    <row r="568" spans="2:14" hidden="1" x14ac:dyDescent="0.25">
      <c r="B568" s="91">
        <v>46105</v>
      </c>
      <c r="C568" s="63">
        <v>1</v>
      </c>
      <c r="D568" s="63" t="s">
        <v>188</v>
      </c>
      <c r="E568" s="65" t="s">
        <v>189</v>
      </c>
      <c r="F568" s="65" t="s">
        <v>166</v>
      </c>
      <c r="G568" s="63" t="s">
        <v>164</v>
      </c>
      <c r="H568" s="63">
        <v>58</v>
      </c>
      <c r="I568" s="65" t="s">
        <v>175</v>
      </c>
      <c r="J568" s="63">
        <v>8046</v>
      </c>
      <c r="K568" s="64">
        <v>1726.67</v>
      </c>
      <c r="L568" s="63" t="s">
        <v>2465</v>
      </c>
      <c r="M568" s="65" t="str">
        <f t="shared" si="8"/>
        <v>GRANORTEUA SAO LUISBRITA 0</v>
      </c>
      <c r="N568" s="85" t="s">
        <v>224</v>
      </c>
    </row>
    <row r="569" spans="2:14" hidden="1" x14ac:dyDescent="0.25">
      <c r="B569" s="91">
        <v>46105</v>
      </c>
      <c r="C569" s="63">
        <v>1</v>
      </c>
      <c r="D569" s="63" t="s">
        <v>188</v>
      </c>
      <c r="E569" s="65" t="s">
        <v>189</v>
      </c>
      <c r="F569" s="65" t="s">
        <v>166</v>
      </c>
      <c r="G569" s="63" t="s">
        <v>164</v>
      </c>
      <c r="H569" s="63">
        <v>58</v>
      </c>
      <c r="I569" s="65" t="s">
        <v>175</v>
      </c>
      <c r="J569" s="63">
        <v>4828</v>
      </c>
      <c r="K569" s="64">
        <v>1036.0899999999999</v>
      </c>
      <c r="L569" s="63" t="s">
        <v>2466</v>
      </c>
      <c r="M569" s="65" t="str">
        <f t="shared" si="8"/>
        <v>GRANORTEUA SAO LUISBRITA 0</v>
      </c>
      <c r="N569" s="85" t="s">
        <v>224</v>
      </c>
    </row>
    <row r="570" spans="2:14" x14ac:dyDescent="0.25">
      <c r="B570" s="91">
        <v>46105</v>
      </c>
      <c r="C570" s="63">
        <v>1</v>
      </c>
      <c r="D570" s="63" t="s">
        <v>199</v>
      </c>
      <c r="E570" s="65" t="s">
        <v>180</v>
      </c>
      <c r="F570" s="65" t="s">
        <v>166</v>
      </c>
      <c r="G570" s="63" t="s">
        <v>2123</v>
      </c>
      <c r="H570" s="63">
        <v>60</v>
      </c>
      <c r="I570" s="65" t="s">
        <v>169</v>
      </c>
      <c r="J570" s="63">
        <v>2638</v>
      </c>
      <c r="K570" s="64">
        <v>585.64</v>
      </c>
      <c r="L570" s="63" t="s">
        <v>2467</v>
      </c>
      <c r="M570" s="65" t="str">
        <f t="shared" si="8"/>
        <v>GRANORTEVIADUTO DO CAFEPULMÃOZINHO</v>
      </c>
      <c r="N570" s="85" t="s">
        <v>2854</v>
      </c>
    </row>
    <row r="571" spans="2:14" hidden="1" x14ac:dyDescent="0.25">
      <c r="B571" s="91">
        <v>46105</v>
      </c>
      <c r="C571" s="63">
        <v>1</v>
      </c>
      <c r="D571" s="63" t="s">
        <v>202</v>
      </c>
      <c r="E571" s="65" t="s">
        <v>214</v>
      </c>
      <c r="F571" s="65" t="s">
        <v>163</v>
      </c>
      <c r="G571" s="63" t="s">
        <v>164</v>
      </c>
      <c r="H571" s="63">
        <v>52</v>
      </c>
      <c r="I571" s="65" t="s">
        <v>165</v>
      </c>
      <c r="J571" s="63">
        <v>4946</v>
      </c>
      <c r="K571" s="64">
        <v>951.61</v>
      </c>
      <c r="L571" s="63" t="s">
        <v>2468</v>
      </c>
      <c r="M571" s="65" t="str">
        <f t="shared" si="8"/>
        <v>BRASIL MINERACAOUA SAO LUISPÓ DE BRITA</v>
      </c>
      <c r="N571" s="85" t="s">
        <v>224</v>
      </c>
    </row>
    <row r="572" spans="2:14" hidden="1" x14ac:dyDescent="0.25">
      <c r="B572" s="91">
        <v>46105</v>
      </c>
      <c r="C572" s="63">
        <v>1</v>
      </c>
      <c r="D572" s="63" t="s">
        <v>208</v>
      </c>
      <c r="E572" s="65" t="s">
        <v>209</v>
      </c>
      <c r="F572" s="65" t="s">
        <v>163</v>
      </c>
      <c r="G572" s="63" t="s">
        <v>164</v>
      </c>
      <c r="H572" s="63">
        <v>52</v>
      </c>
      <c r="I572" s="65" t="s">
        <v>165</v>
      </c>
      <c r="J572" s="63">
        <v>450</v>
      </c>
      <c r="K572" s="64">
        <v>865.8</v>
      </c>
      <c r="L572" s="63" t="s">
        <v>2469</v>
      </c>
      <c r="M572" s="65" t="str">
        <f t="shared" si="8"/>
        <v>BRASIL MINERACAOUA SAO LUISPÓ DE BRITA</v>
      </c>
      <c r="N572" s="85" t="s">
        <v>224</v>
      </c>
    </row>
    <row r="573" spans="2:14" hidden="1" x14ac:dyDescent="0.25">
      <c r="B573" s="91">
        <v>46105</v>
      </c>
      <c r="C573" s="63">
        <v>1</v>
      </c>
      <c r="D573" s="63" t="s">
        <v>196</v>
      </c>
      <c r="E573" s="65" t="s">
        <v>197</v>
      </c>
      <c r="F573" s="65" t="s">
        <v>163</v>
      </c>
      <c r="G573" s="63" t="s">
        <v>164</v>
      </c>
      <c r="H573" s="63">
        <v>52</v>
      </c>
      <c r="I573" s="65" t="s">
        <v>165</v>
      </c>
      <c r="J573" s="63">
        <v>6948</v>
      </c>
      <c r="K573" s="64">
        <v>1336.8</v>
      </c>
      <c r="L573" s="63" t="s">
        <v>2470</v>
      </c>
      <c r="M573" s="65" t="str">
        <f t="shared" si="8"/>
        <v>BRASIL MINERACAOUA SAO LUISPÓ DE BRITA</v>
      </c>
      <c r="N573" s="85" t="s">
        <v>224</v>
      </c>
    </row>
    <row r="574" spans="2:14" hidden="1" x14ac:dyDescent="0.25">
      <c r="B574" s="91">
        <v>46105</v>
      </c>
      <c r="C574" s="63">
        <v>1</v>
      </c>
      <c r="D574" s="63" t="s">
        <v>188</v>
      </c>
      <c r="E574" s="65" t="s">
        <v>189</v>
      </c>
      <c r="F574" s="65" t="s">
        <v>166</v>
      </c>
      <c r="G574" s="63" t="s">
        <v>164</v>
      </c>
      <c r="H574" s="63">
        <v>58</v>
      </c>
      <c r="I574" s="65" t="s">
        <v>175</v>
      </c>
      <c r="J574" s="63">
        <v>4858</v>
      </c>
      <c r="K574" s="64">
        <v>1042.53</v>
      </c>
      <c r="L574" s="63" t="s">
        <v>2471</v>
      </c>
      <c r="M574" s="65" t="str">
        <f t="shared" si="8"/>
        <v>GRANORTEUA SAO LUISBRITA 0</v>
      </c>
      <c r="N574" s="85" t="s">
        <v>224</v>
      </c>
    </row>
    <row r="575" spans="2:14" x14ac:dyDescent="0.25">
      <c r="B575" s="91">
        <v>46105</v>
      </c>
      <c r="C575" s="63">
        <v>1</v>
      </c>
      <c r="D575" s="63" t="s">
        <v>170</v>
      </c>
      <c r="E575" s="65" t="s">
        <v>171</v>
      </c>
      <c r="F575" s="65" t="s">
        <v>166</v>
      </c>
      <c r="G575" s="63" t="s">
        <v>2123</v>
      </c>
      <c r="H575" s="63">
        <v>60</v>
      </c>
      <c r="I575" s="65" t="s">
        <v>172</v>
      </c>
      <c r="J575" s="63">
        <v>254</v>
      </c>
      <c r="K575" s="64">
        <v>563.88</v>
      </c>
      <c r="L575" s="63" t="s">
        <v>2472</v>
      </c>
      <c r="M575" s="65" t="str">
        <f t="shared" si="8"/>
        <v>GRANORTEVIADUTO DO CAFEBICA CORRIDA</v>
      </c>
      <c r="N575" s="85" t="s">
        <v>2854</v>
      </c>
    </row>
    <row r="576" spans="2:14" x14ac:dyDescent="0.25">
      <c r="B576" s="91">
        <v>46105</v>
      </c>
      <c r="C576" s="63">
        <v>1</v>
      </c>
      <c r="D576" s="63" t="s">
        <v>199</v>
      </c>
      <c r="E576" s="65" t="s">
        <v>180</v>
      </c>
      <c r="F576" s="65" t="s">
        <v>166</v>
      </c>
      <c r="G576" s="63" t="s">
        <v>2123</v>
      </c>
      <c r="H576" s="63">
        <v>60</v>
      </c>
      <c r="I576" s="65" t="s">
        <v>172</v>
      </c>
      <c r="J576" s="63">
        <v>2822</v>
      </c>
      <c r="K576" s="64">
        <v>626.48</v>
      </c>
      <c r="L576" s="63" t="s">
        <v>2473</v>
      </c>
      <c r="M576" s="65" t="str">
        <f t="shared" si="8"/>
        <v>GRANORTEVIADUTO DO CAFEBICA CORRIDA</v>
      </c>
      <c r="N576" s="85" t="s">
        <v>2854</v>
      </c>
    </row>
    <row r="577" spans="2:14" x14ac:dyDescent="0.25">
      <c r="B577" s="91">
        <v>46105</v>
      </c>
      <c r="C577" s="63">
        <v>1</v>
      </c>
      <c r="D577" s="63" t="s">
        <v>199</v>
      </c>
      <c r="E577" s="65" t="s">
        <v>180</v>
      </c>
      <c r="F577" s="65" t="s">
        <v>166</v>
      </c>
      <c r="G577" s="63" t="s">
        <v>2123</v>
      </c>
      <c r="H577" s="63">
        <v>60</v>
      </c>
      <c r="I577" s="65" t="s">
        <v>172</v>
      </c>
      <c r="J577" s="63">
        <v>2822</v>
      </c>
      <c r="K577" s="64">
        <v>626.48</v>
      </c>
      <c r="L577" s="63" t="s">
        <v>2473</v>
      </c>
      <c r="M577" s="65" t="str">
        <f t="shared" si="8"/>
        <v>GRANORTEVIADUTO DO CAFEBICA CORRIDA</v>
      </c>
      <c r="N577" s="85" t="s">
        <v>2854</v>
      </c>
    </row>
    <row r="578" spans="2:14" hidden="1" x14ac:dyDescent="0.25">
      <c r="B578" s="91">
        <v>46105</v>
      </c>
      <c r="C578" s="63">
        <v>1</v>
      </c>
      <c r="D578" s="63" t="s">
        <v>203</v>
      </c>
      <c r="E578" s="65" t="s">
        <v>204</v>
      </c>
      <c r="F578" s="65" t="s">
        <v>163</v>
      </c>
      <c r="G578" s="63" t="s">
        <v>164</v>
      </c>
      <c r="H578" s="63">
        <v>52</v>
      </c>
      <c r="I578" s="65" t="s">
        <v>165</v>
      </c>
      <c r="J578" s="63">
        <v>446</v>
      </c>
      <c r="K578" s="64">
        <v>858.1</v>
      </c>
      <c r="L578" s="63" t="s">
        <v>2474</v>
      </c>
      <c r="M578" s="65" t="str">
        <f t="shared" si="8"/>
        <v>BRASIL MINERACAOUA SAO LUISPÓ DE BRITA</v>
      </c>
      <c r="N578" s="85" t="s">
        <v>224</v>
      </c>
    </row>
    <row r="579" spans="2:14" hidden="1" x14ac:dyDescent="0.25">
      <c r="B579" s="91">
        <v>46105</v>
      </c>
      <c r="C579" s="63">
        <v>1</v>
      </c>
      <c r="D579" s="63" t="s">
        <v>196</v>
      </c>
      <c r="E579" s="65" t="s">
        <v>197</v>
      </c>
      <c r="F579" s="65" t="s">
        <v>163</v>
      </c>
      <c r="G579" s="63" t="s">
        <v>164</v>
      </c>
      <c r="H579" s="63">
        <v>52</v>
      </c>
      <c r="I579" s="65" t="s">
        <v>165</v>
      </c>
      <c r="J579" s="63">
        <v>6864</v>
      </c>
      <c r="K579" s="64">
        <v>1320.63</v>
      </c>
      <c r="L579" s="63" t="s">
        <v>2475</v>
      </c>
      <c r="M579" s="65" t="str">
        <f t="shared" si="8"/>
        <v>BRASIL MINERACAOUA SAO LUISPÓ DE BRITA</v>
      </c>
      <c r="N579" s="85" t="s">
        <v>224</v>
      </c>
    </row>
    <row r="580" spans="2:14" hidden="1" x14ac:dyDescent="0.25">
      <c r="B580" s="91">
        <v>46105</v>
      </c>
      <c r="C580" s="63">
        <v>1</v>
      </c>
      <c r="D580" s="63" t="s">
        <v>192</v>
      </c>
      <c r="E580" s="65" t="s">
        <v>287</v>
      </c>
      <c r="F580" s="65" t="s">
        <v>166</v>
      </c>
      <c r="G580" s="63" t="s">
        <v>164</v>
      </c>
      <c r="H580" s="63">
        <v>58</v>
      </c>
      <c r="I580" s="65" t="s">
        <v>165</v>
      </c>
      <c r="J580" s="63">
        <v>493</v>
      </c>
      <c r="K580" s="64">
        <v>1057.98</v>
      </c>
      <c r="L580" s="63" t="s">
        <v>2476</v>
      </c>
      <c r="M580" s="65" t="str">
        <f t="shared" si="8"/>
        <v>GRANORTEUA SAO LUISPÓ DE BRITA</v>
      </c>
      <c r="N580" s="85" t="s">
        <v>224</v>
      </c>
    </row>
    <row r="581" spans="2:14" hidden="1" x14ac:dyDescent="0.25">
      <c r="B581" s="91">
        <v>46105</v>
      </c>
      <c r="C581" s="63">
        <v>1</v>
      </c>
      <c r="D581" s="63" t="s">
        <v>192</v>
      </c>
      <c r="E581" s="65" t="s">
        <v>287</v>
      </c>
      <c r="F581" s="65" t="s">
        <v>166</v>
      </c>
      <c r="G581" s="63" t="s">
        <v>164</v>
      </c>
      <c r="H581" s="63">
        <v>58</v>
      </c>
      <c r="I581" s="65" t="s">
        <v>165</v>
      </c>
      <c r="J581" s="63">
        <v>4982</v>
      </c>
      <c r="K581" s="64">
        <v>1069.1400000000001</v>
      </c>
      <c r="L581" s="63" t="s">
        <v>2477</v>
      </c>
      <c r="M581" s="65" t="str">
        <f t="shared" ref="M581:M644" si="9">_xlfn.CONCAT(F581&amp;G581&amp;I581)</f>
        <v>GRANORTEUA SAO LUISPÓ DE BRITA</v>
      </c>
      <c r="N581" s="85" t="s">
        <v>224</v>
      </c>
    </row>
    <row r="582" spans="2:14" hidden="1" x14ac:dyDescent="0.25">
      <c r="B582" s="91">
        <v>46105</v>
      </c>
      <c r="C582" s="63">
        <v>1</v>
      </c>
      <c r="D582" s="63" t="s">
        <v>202</v>
      </c>
      <c r="E582" s="65" t="s">
        <v>214</v>
      </c>
      <c r="F582" s="65" t="s">
        <v>163</v>
      </c>
      <c r="G582" s="63" t="s">
        <v>164</v>
      </c>
      <c r="H582" s="63">
        <v>52</v>
      </c>
      <c r="I582" s="65" t="s">
        <v>165</v>
      </c>
      <c r="J582" s="63">
        <v>5022</v>
      </c>
      <c r="K582" s="64">
        <v>966.23</v>
      </c>
      <c r="L582" s="63" t="s">
        <v>2478</v>
      </c>
      <c r="M582" s="65" t="str">
        <f t="shared" si="9"/>
        <v>BRASIL MINERACAOUA SAO LUISPÓ DE BRITA</v>
      </c>
      <c r="N582" s="85" t="s">
        <v>224</v>
      </c>
    </row>
    <row r="583" spans="2:14" hidden="1" x14ac:dyDescent="0.25">
      <c r="B583" s="91">
        <v>46105</v>
      </c>
      <c r="C583" s="63">
        <v>1</v>
      </c>
      <c r="D583" s="63" t="s">
        <v>205</v>
      </c>
      <c r="E583" s="65" t="s">
        <v>206</v>
      </c>
      <c r="F583" s="65" t="s">
        <v>291</v>
      </c>
      <c r="G583" s="63" t="s">
        <v>2418</v>
      </c>
      <c r="H583" s="63">
        <v>331</v>
      </c>
      <c r="I583" s="65" t="s">
        <v>185</v>
      </c>
      <c r="J583" s="63">
        <v>536</v>
      </c>
      <c r="K583" s="64">
        <v>6564.39</v>
      </c>
      <c r="L583" s="63" t="s">
        <v>2479</v>
      </c>
      <c r="M583" s="65" t="str">
        <f t="shared" si="9"/>
        <v>MINERADORA PORTO FRANCO - MAPOVOADO NOVA VIDARACHÃOZINHO</v>
      </c>
      <c r="N583" s="85" t="s">
        <v>15</v>
      </c>
    </row>
    <row r="584" spans="2:14" hidden="1" x14ac:dyDescent="0.25">
      <c r="B584" s="91">
        <v>46105</v>
      </c>
      <c r="C584" s="63">
        <v>1</v>
      </c>
      <c r="D584" s="63" t="s">
        <v>188</v>
      </c>
      <c r="E584" s="65" t="s">
        <v>189</v>
      </c>
      <c r="F584" s="65" t="s">
        <v>166</v>
      </c>
      <c r="G584" s="63" t="s">
        <v>164</v>
      </c>
      <c r="H584" s="63">
        <v>58</v>
      </c>
      <c r="I584" s="65" t="s">
        <v>175</v>
      </c>
      <c r="J584" s="63">
        <v>4762</v>
      </c>
      <c r="K584" s="64">
        <v>1021.93</v>
      </c>
      <c r="L584" s="63" t="s">
        <v>2480</v>
      </c>
      <c r="M584" s="65" t="str">
        <f t="shared" si="9"/>
        <v>GRANORTEUA SAO LUISBRITA 0</v>
      </c>
      <c r="N584" s="85" t="s">
        <v>224</v>
      </c>
    </row>
    <row r="585" spans="2:14" x14ac:dyDescent="0.25">
      <c r="B585" s="91">
        <v>46105</v>
      </c>
      <c r="C585" s="63">
        <v>1</v>
      </c>
      <c r="D585" s="63" t="s">
        <v>167</v>
      </c>
      <c r="E585" s="65" t="s">
        <v>168</v>
      </c>
      <c r="F585" s="65" t="s">
        <v>166</v>
      </c>
      <c r="G585" s="63" t="s">
        <v>2123</v>
      </c>
      <c r="H585" s="63">
        <v>60</v>
      </c>
      <c r="I585" s="65" t="s">
        <v>169</v>
      </c>
      <c r="J585" s="63">
        <v>2624</v>
      </c>
      <c r="K585" s="64">
        <v>582.53</v>
      </c>
      <c r="L585" s="63" t="s">
        <v>2481</v>
      </c>
      <c r="M585" s="65" t="str">
        <f t="shared" si="9"/>
        <v>GRANORTEVIADUTO DO CAFEPULMÃOZINHO</v>
      </c>
      <c r="N585" s="85" t="s">
        <v>2854</v>
      </c>
    </row>
    <row r="586" spans="2:14" x14ac:dyDescent="0.25">
      <c r="B586" s="91">
        <v>46105</v>
      </c>
      <c r="C586" s="63">
        <v>1</v>
      </c>
      <c r="D586" s="63" t="s">
        <v>199</v>
      </c>
      <c r="E586" s="65" t="s">
        <v>180</v>
      </c>
      <c r="F586" s="65" t="s">
        <v>166</v>
      </c>
      <c r="G586" s="63" t="s">
        <v>2123</v>
      </c>
      <c r="H586" s="63">
        <v>60</v>
      </c>
      <c r="I586" s="65" t="s">
        <v>172</v>
      </c>
      <c r="J586" s="63">
        <v>2922</v>
      </c>
      <c r="K586" s="64">
        <v>648.67999999999995</v>
      </c>
      <c r="L586" s="63" t="s">
        <v>2482</v>
      </c>
      <c r="M586" s="65" t="str">
        <f t="shared" si="9"/>
        <v>GRANORTEVIADUTO DO CAFEBICA CORRIDA</v>
      </c>
      <c r="N586" s="85" t="s">
        <v>2854</v>
      </c>
    </row>
    <row r="587" spans="2:14" hidden="1" x14ac:dyDescent="0.25">
      <c r="B587" s="91">
        <v>46105</v>
      </c>
      <c r="C587" s="63">
        <v>1</v>
      </c>
      <c r="D587" s="63" t="s">
        <v>283</v>
      </c>
      <c r="E587" s="65" t="s">
        <v>215</v>
      </c>
      <c r="F587" s="65" t="s">
        <v>163</v>
      </c>
      <c r="G587" s="63" t="s">
        <v>164</v>
      </c>
      <c r="H587" s="63">
        <v>52</v>
      </c>
      <c r="I587" s="65" t="s">
        <v>165</v>
      </c>
      <c r="J587" s="63">
        <v>2614</v>
      </c>
      <c r="K587" s="64">
        <v>502.93</v>
      </c>
      <c r="L587" s="63" t="s">
        <v>2483</v>
      </c>
      <c r="M587" s="65" t="str">
        <f t="shared" si="9"/>
        <v>BRASIL MINERACAOUA SAO LUISPÓ DE BRITA</v>
      </c>
      <c r="N587" s="85" t="s">
        <v>224</v>
      </c>
    </row>
    <row r="588" spans="2:14" hidden="1" x14ac:dyDescent="0.25">
      <c r="B588" s="91">
        <v>46105</v>
      </c>
      <c r="C588" s="63">
        <v>1</v>
      </c>
      <c r="D588" s="63" t="s">
        <v>283</v>
      </c>
      <c r="E588" s="65" t="s">
        <v>215</v>
      </c>
      <c r="F588" s="65" t="s">
        <v>163</v>
      </c>
      <c r="G588" s="63" t="s">
        <v>164</v>
      </c>
      <c r="H588" s="63">
        <v>52</v>
      </c>
      <c r="I588" s="65" t="s">
        <v>165</v>
      </c>
      <c r="J588" s="63">
        <v>2528</v>
      </c>
      <c r="K588" s="64">
        <v>486.39</v>
      </c>
      <c r="L588" s="63" t="s">
        <v>2484</v>
      </c>
      <c r="M588" s="65" t="str">
        <f t="shared" si="9"/>
        <v>BRASIL MINERACAOUA SAO LUISPÓ DE BRITA</v>
      </c>
      <c r="N588" s="85" t="s">
        <v>224</v>
      </c>
    </row>
    <row r="589" spans="2:14" x14ac:dyDescent="0.25">
      <c r="B589" s="91">
        <v>46105</v>
      </c>
      <c r="C589" s="63">
        <v>1</v>
      </c>
      <c r="D589" s="63" t="s">
        <v>283</v>
      </c>
      <c r="E589" s="65" t="s">
        <v>215</v>
      </c>
      <c r="F589" s="65" t="s">
        <v>166</v>
      </c>
      <c r="G589" s="63" t="s">
        <v>2123</v>
      </c>
      <c r="H589" s="63">
        <v>60</v>
      </c>
      <c r="I589" s="65" t="s">
        <v>172</v>
      </c>
      <c r="J589" s="63">
        <v>2888</v>
      </c>
      <c r="K589" s="64">
        <v>641.14</v>
      </c>
      <c r="L589" s="63" t="s">
        <v>2485</v>
      </c>
      <c r="M589" s="65" t="str">
        <f t="shared" si="9"/>
        <v>GRANORTEVIADUTO DO CAFEBICA CORRIDA</v>
      </c>
      <c r="N589" s="85" t="s">
        <v>2854</v>
      </c>
    </row>
    <row r="590" spans="2:14" x14ac:dyDescent="0.25">
      <c r="B590" s="91">
        <v>46105</v>
      </c>
      <c r="C590" s="63">
        <v>1</v>
      </c>
      <c r="D590" s="63" t="s">
        <v>181</v>
      </c>
      <c r="E590" s="65" t="s">
        <v>182</v>
      </c>
      <c r="F590" s="65" t="s">
        <v>166</v>
      </c>
      <c r="G590" s="63" t="s">
        <v>2123</v>
      </c>
      <c r="H590" s="63">
        <v>60</v>
      </c>
      <c r="I590" s="65" t="s">
        <v>169</v>
      </c>
      <c r="J590" s="63">
        <v>261</v>
      </c>
      <c r="K590" s="64">
        <v>579.41999999999996</v>
      </c>
      <c r="L590" s="63" t="s">
        <v>2486</v>
      </c>
      <c r="M590" s="65" t="str">
        <f t="shared" si="9"/>
        <v>GRANORTEVIADUTO DO CAFEPULMÃOZINHO</v>
      </c>
      <c r="N590" s="85" t="s">
        <v>2854</v>
      </c>
    </row>
    <row r="591" spans="2:14" x14ac:dyDescent="0.25">
      <c r="B591" s="91">
        <v>46105</v>
      </c>
      <c r="C591" s="63">
        <v>1</v>
      </c>
      <c r="D591" s="63" t="s">
        <v>181</v>
      </c>
      <c r="E591" s="65" t="s">
        <v>182</v>
      </c>
      <c r="F591" s="65" t="s">
        <v>166</v>
      </c>
      <c r="G591" s="63" t="s">
        <v>2123</v>
      </c>
      <c r="H591" s="63">
        <v>60</v>
      </c>
      <c r="I591" s="65" t="s">
        <v>169</v>
      </c>
      <c r="J591" s="63">
        <v>2624</v>
      </c>
      <c r="K591" s="64">
        <v>582.53</v>
      </c>
      <c r="L591" s="63" t="s">
        <v>2487</v>
      </c>
      <c r="M591" s="65" t="str">
        <f t="shared" si="9"/>
        <v>GRANORTEVIADUTO DO CAFEPULMÃOZINHO</v>
      </c>
      <c r="N591" s="85" t="s">
        <v>2854</v>
      </c>
    </row>
    <row r="592" spans="2:14" x14ac:dyDescent="0.25">
      <c r="B592" s="91">
        <v>46105</v>
      </c>
      <c r="C592" s="63">
        <v>1</v>
      </c>
      <c r="D592" s="63" t="s">
        <v>181</v>
      </c>
      <c r="E592" s="65" t="s">
        <v>182</v>
      </c>
      <c r="F592" s="65" t="s">
        <v>166</v>
      </c>
      <c r="G592" s="63" t="s">
        <v>2123</v>
      </c>
      <c r="H592" s="63">
        <v>60</v>
      </c>
      <c r="I592" s="65" t="s">
        <v>169</v>
      </c>
      <c r="J592" s="63">
        <v>2596</v>
      </c>
      <c r="K592" s="64">
        <v>576.30999999999995</v>
      </c>
      <c r="L592" s="63" t="s">
        <v>2488</v>
      </c>
      <c r="M592" s="65" t="str">
        <f t="shared" si="9"/>
        <v>GRANORTEVIADUTO DO CAFEPULMÃOZINHO</v>
      </c>
      <c r="N592" s="85" t="s">
        <v>2854</v>
      </c>
    </row>
    <row r="593" spans="2:14" x14ac:dyDescent="0.25">
      <c r="B593" s="91">
        <v>46105</v>
      </c>
      <c r="C593" s="63">
        <v>1</v>
      </c>
      <c r="D593" s="63" t="s">
        <v>183</v>
      </c>
      <c r="E593" s="65" t="s">
        <v>184</v>
      </c>
      <c r="F593" s="65" t="s">
        <v>166</v>
      </c>
      <c r="G593" s="63" t="s">
        <v>2123</v>
      </c>
      <c r="H593" s="63">
        <v>60</v>
      </c>
      <c r="I593" s="65" t="s">
        <v>172</v>
      </c>
      <c r="J593" s="63">
        <v>2614</v>
      </c>
      <c r="K593" s="64">
        <v>580.30999999999995</v>
      </c>
      <c r="L593" s="63" t="s">
        <v>2489</v>
      </c>
      <c r="M593" s="65" t="str">
        <f t="shared" si="9"/>
        <v>GRANORTEVIADUTO DO CAFEBICA CORRIDA</v>
      </c>
      <c r="N593" s="85" t="s">
        <v>2854</v>
      </c>
    </row>
    <row r="594" spans="2:14" x14ac:dyDescent="0.25">
      <c r="B594" s="91">
        <v>46105</v>
      </c>
      <c r="C594" s="63">
        <v>1</v>
      </c>
      <c r="D594" s="63" t="s">
        <v>183</v>
      </c>
      <c r="E594" s="65" t="s">
        <v>184</v>
      </c>
      <c r="F594" s="65" t="s">
        <v>166</v>
      </c>
      <c r="G594" s="63" t="s">
        <v>2123</v>
      </c>
      <c r="H594" s="63">
        <v>60</v>
      </c>
      <c r="I594" s="65" t="s">
        <v>172</v>
      </c>
      <c r="J594" s="63">
        <v>2708</v>
      </c>
      <c r="K594" s="64">
        <v>601.17999999999995</v>
      </c>
      <c r="L594" s="63" t="s">
        <v>2490</v>
      </c>
      <c r="M594" s="65" t="str">
        <f t="shared" si="9"/>
        <v>GRANORTEVIADUTO DO CAFEBICA CORRIDA</v>
      </c>
      <c r="N594" s="85" t="s">
        <v>2854</v>
      </c>
    </row>
    <row r="595" spans="2:14" hidden="1" x14ac:dyDescent="0.25">
      <c r="B595" s="91">
        <v>46105</v>
      </c>
      <c r="C595" s="63">
        <v>1</v>
      </c>
      <c r="D595" s="63" t="s">
        <v>1948</v>
      </c>
      <c r="E595" s="65" t="s">
        <v>1949</v>
      </c>
      <c r="F595" s="65" t="s">
        <v>163</v>
      </c>
      <c r="G595" s="63" t="s">
        <v>164</v>
      </c>
      <c r="H595" s="63">
        <v>52</v>
      </c>
      <c r="I595" s="65" t="s">
        <v>165</v>
      </c>
      <c r="J595" s="63">
        <v>481</v>
      </c>
      <c r="K595" s="64">
        <v>925.44</v>
      </c>
      <c r="L595" s="63" t="s">
        <v>2491</v>
      </c>
      <c r="M595" s="65" t="str">
        <f t="shared" si="9"/>
        <v>BRASIL MINERACAOUA SAO LUISPÓ DE BRITA</v>
      </c>
      <c r="N595" s="85" t="s">
        <v>224</v>
      </c>
    </row>
    <row r="596" spans="2:14" hidden="1" x14ac:dyDescent="0.25">
      <c r="B596" s="91">
        <v>46105</v>
      </c>
      <c r="C596" s="63">
        <v>1</v>
      </c>
      <c r="D596" s="63" t="s">
        <v>1948</v>
      </c>
      <c r="E596" s="65" t="s">
        <v>1949</v>
      </c>
      <c r="F596" s="65" t="s">
        <v>163</v>
      </c>
      <c r="G596" s="63" t="s">
        <v>164</v>
      </c>
      <c r="H596" s="63">
        <v>52</v>
      </c>
      <c r="I596" s="65" t="s">
        <v>165</v>
      </c>
      <c r="J596" s="63">
        <v>472</v>
      </c>
      <c r="K596" s="64">
        <v>908.13</v>
      </c>
      <c r="L596" s="63" t="s">
        <v>2492</v>
      </c>
      <c r="M596" s="65" t="str">
        <f t="shared" si="9"/>
        <v>BRASIL MINERACAOUA SAO LUISPÓ DE BRITA</v>
      </c>
      <c r="N596" s="85" t="s">
        <v>224</v>
      </c>
    </row>
    <row r="597" spans="2:14" hidden="1" x14ac:dyDescent="0.25">
      <c r="B597" s="91">
        <v>46105</v>
      </c>
      <c r="C597" s="63">
        <v>1</v>
      </c>
      <c r="D597" s="63" t="s">
        <v>213</v>
      </c>
      <c r="E597" s="65" t="s">
        <v>178</v>
      </c>
      <c r="F597" s="65" t="s">
        <v>163</v>
      </c>
      <c r="G597" s="63" t="s">
        <v>164</v>
      </c>
      <c r="H597" s="63">
        <v>52</v>
      </c>
      <c r="I597" s="65" t="s">
        <v>165</v>
      </c>
      <c r="J597" s="63">
        <v>4792</v>
      </c>
      <c r="K597" s="64">
        <v>921.98</v>
      </c>
      <c r="L597" s="63" t="s">
        <v>2493</v>
      </c>
      <c r="M597" s="65" t="str">
        <f t="shared" si="9"/>
        <v>BRASIL MINERACAOUA SAO LUISPÓ DE BRITA</v>
      </c>
      <c r="N597" s="85" t="s">
        <v>224</v>
      </c>
    </row>
    <row r="598" spans="2:14" hidden="1" x14ac:dyDescent="0.25">
      <c r="B598" s="91">
        <v>46105</v>
      </c>
      <c r="C598" s="63">
        <v>1</v>
      </c>
      <c r="D598" s="63" t="s">
        <v>213</v>
      </c>
      <c r="E598" s="65" t="s">
        <v>178</v>
      </c>
      <c r="F598" s="65" t="s">
        <v>163</v>
      </c>
      <c r="G598" s="63" t="s">
        <v>164</v>
      </c>
      <c r="H598" s="63">
        <v>52</v>
      </c>
      <c r="I598" s="65" t="s">
        <v>165</v>
      </c>
      <c r="J598" s="63">
        <v>4722</v>
      </c>
      <c r="K598" s="64">
        <v>908.51</v>
      </c>
      <c r="L598" s="63" t="s">
        <v>2494</v>
      </c>
      <c r="M598" s="65" t="str">
        <f t="shared" si="9"/>
        <v>BRASIL MINERACAOUA SAO LUISPÓ DE BRITA</v>
      </c>
      <c r="N598" s="85" t="s">
        <v>224</v>
      </c>
    </row>
    <row r="599" spans="2:14" hidden="1" x14ac:dyDescent="0.25">
      <c r="B599" s="91">
        <v>46105</v>
      </c>
      <c r="C599" s="63">
        <v>1</v>
      </c>
      <c r="D599" s="63" t="s">
        <v>186</v>
      </c>
      <c r="E599" s="65" t="s">
        <v>187</v>
      </c>
      <c r="F599" s="65" t="s">
        <v>166</v>
      </c>
      <c r="G599" s="63" t="s">
        <v>164</v>
      </c>
      <c r="H599" s="63">
        <v>58</v>
      </c>
      <c r="I599" s="65" t="s">
        <v>165</v>
      </c>
      <c r="J599" s="63">
        <v>5056</v>
      </c>
      <c r="K599" s="64">
        <v>1085.02</v>
      </c>
      <c r="L599" s="63" t="s">
        <v>2495</v>
      </c>
      <c r="M599" s="65" t="str">
        <f t="shared" si="9"/>
        <v>GRANORTEUA SAO LUISPÓ DE BRITA</v>
      </c>
      <c r="N599" s="85" t="s">
        <v>224</v>
      </c>
    </row>
    <row r="600" spans="2:14" hidden="1" x14ac:dyDescent="0.25">
      <c r="B600" s="91">
        <v>46105</v>
      </c>
      <c r="C600" s="63">
        <v>1</v>
      </c>
      <c r="D600" s="63" t="s">
        <v>286</v>
      </c>
      <c r="E600" s="65" t="s">
        <v>506</v>
      </c>
      <c r="F600" s="65" t="s">
        <v>163</v>
      </c>
      <c r="G600" s="63" t="s">
        <v>164</v>
      </c>
      <c r="H600" s="63">
        <v>52</v>
      </c>
      <c r="I600" s="65" t="s">
        <v>175</v>
      </c>
      <c r="J600" s="63">
        <v>2538</v>
      </c>
      <c r="K600" s="64">
        <v>488.31</v>
      </c>
      <c r="L600" s="63" t="s">
        <v>2496</v>
      </c>
      <c r="M600" s="65" t="str">
        <f t="shared" si="9"/>
        <v>BRASIL MINERACAOUA SAO LUISBRITA 0</v>
      </c>
      <c r="N600" s="85" t="s">
        <v>224</v>
      </c>
    </row>
    <row r="601" spans="2:14" hidden="1" x14ac:dyDescent="0.25">
      <c r="B601" s="91">
        <v>46105</v>
      </c>
      <c r="C601" s="63">
        <v>1</v>
      </c>
      <c r="D601" s="63" t="s">
        <v>286</v>
      </c>
      <c r="E601" s="65" t="s">
        <v>506</v>
      </c>
      <c r="F601" s="65" t="s">
        <v>166</v>
      </c>
      <c r="G601" s="63" t="s">
        <v>164</v>
      </c>
      <c r="H601" s="63">
        <v>58</v>
      </c>
      <c r="I601" s="65" t="s">
        <v>165</v>
      </c>
      <c r="J601" s="63">
        <v>2496</v>
      </c>
      <c r="K601" s="64">
        <v>535.64</v>
      </c>
      <c r="L601" s="63" t="s">
        <v>2497</v>
      </c>
      <c r="M601" s="65" t="str">
        <f t="shared" si="9"/>
        <v>GRANORTEUA SAO LUISPÓ DE BRITA</v>
      </c>
      <c r="N601" s="85" t="s">
        <v>224</v>
      </c>
    </row>
    <row r="602" spans="2:14" hidden="1" x14ac:dyDescent="0.25">
      <c r="B602" s="91">
        <v>46105</v>
      </c>
      <c r="C602" s="63">
        <v>1</v>
      </c>
      <c r="D602" s="63" t="s">
        <v>286</v>
      </c>
      <c r="E602" s="65" t="s">
        <v>506</v>
      </c>
      <c r="F602" s="65" t="s">
        <v>166</v>
      </c>
      <c r="G602" s="63" t="s">
        <v>164</v>
      </c>
      <c r="H602" s="63">
        <v>58</v>
      </c>
      <c r="I602" s="65" t="s">
        <v>165</v>
      </c>
      <c r="J602" s="63">
        <v>2688</v>
      </c>
      <c r="K602" s="64">
        <v>576.84</v>
      </c>
      <c r="L602" s="63" t="s">
        <v>2498</v>
      </c>
      <c r="M602" s="65" t="str">
        <f t="shared" si="9"/>
        <v>GRANORTEUA SAO LUISPÓ DE BRITA</v>
      </c>
      <c r="N602" s="85" t="s">
        <v>224</v>
      </c>
    </row>
    <row r="603" spans="2:14" hidden="1" x14ac:dyDescent="0.25">
      <c r="B603" s="91">
        <v>46105</v>
      </c>
      <c r="C603" s="63">
        <v>1</v>
      </c>
      <c r="D603" s="63" t="s">
        <v>275</v>
      </c>
      <c r="E603" s="65" t="s">
        <v>217</v>
      </c>
      <c r="F603" s="65" t="s">
        <v>166</v>
      </c>
      <c r="G603" s="63" t="s">
        <v>191</v>
      </c>
      <c r="H603" s="63">
        <v>243</v>
      </c>
      <c r="I603" s="65" t="s">
        <v>165</v>
      </c>
      <c r="J603" s="63">
        <v>4602</v>
      </c>
      <c r="K603" s="64">
        <v>4137.66</v>
      </c>
      <c r="L603" s="63" t="s">
        <v>2499</v>
      </c>
      <c r="M603" s="65" t="str">
        <f t="shared" si="9"/>
        <v>GRANORTEOLINDA NOVA - MAPÓ DE BRITA</v>
      </c>
      <c r="N603" s="85" t="s">
        <v>191</v>
      </c>
    </row>
    <row r="604" spans="2:14" hidden="1" x14ac:dyDescent="0.25">
      <c r="B604" s="91">
        <v>46105</v>
      </c>
      <c r="C604" s="63">
        <v>1</v>
      </c>
      <c r="D604" s="63" t="s">
        <v>275</v>
      </c>
      <c r="E604" s="65" t="s">
        <v>217</v>
      </c>
      <c r="F604" s="65" t="s">
        <v>166</v>
      </c>
      <c r="G604" s="63" t="s">
        <v>164</v>
      </c>
      <c r="H604" s="63">
        <v>58</v>
      </c>
      <c r="I604" s="65" t="s">
        <v>165</v>
      </c>
      <c r="J604" s="63">
        <v>4562</v>
      </c>
      <c r="K604" s="64">
        <v>979.01</v>
      </c>
      <c r="L604" s="63" t="s">
        <v>2500</v>
      </c>
      <c r="M604" s="65" t="str">
        <f t="shared" si="9"/>
        <v>GRANORTEUA SAO LUISPÓ DE BRITA</v>
      </c>
      <c r="N604" s="85" t="s">
        <v>224</v>
      </c>
    </row>
    <row r="605" spans="2:14" x14ac:dyDescent="0.25">
      <c r="B605" s="91">
        <v>46105</v>
      </c>
      <c r="C605" s="63">
        <v>1</v>
      </c>
      <c r="D605" s="63" t="s">
        <v>286</v>
      </c>
      <c r="E605" s="65" t="s">
        <v>343</v>
      </c>
      <c r="F605" s="65" t="s">
        <v>166</v>
      </c>
      <c r="G605" s="63" t="s">
        <v>2123</v>
      </c>
      <c r="H605" s="63">
        <v>60</v>
      </c>
      <c r="I605" s="65" t="s">
        <v>172</v>
      </c>
      <c r="J605" s="63">
        <v>4882</v>
      </c>
      <c r="K605" s="64">
        <v>1083.8</v>
      </c>
      <c r="L605" s="63" t="s">
        <v>2501</v>
      </c>
      <c r="M605" s="65" t="str">
        <f t="shared" si="9"/>
        <v>GRANORTEVIADUTO DO CAFEBICA CORRIDA</v>
      </c>
      <c r="N605" s="85" t="s">
        <v>2854</v>
      </c>
    </row>
    <row r="606" spans="2:14" hidden="1" x14ac:dyDescent="0.25">
      <c r="B606" s="91">
        <v>46105</v>
      </c>
      <c r="C606" s="63">
        <v>1</v>
      </c>
      <c r="D606" s="63" t="s">
        <v>286</v>
      </c>
      <c r="E606" s="65" t="s">
        <v>343</v>
      </c>
      <c r="F606" s="65" t="s">
        <v>166</v>
      </c>
      <c r="G606" s="63" t="s">
        <v>164</v>
      </c>
      <c r="H606" s="63">
        <v>58</v>
      </c>
      <c r="I606" s="65" t="s">
        <v>185</v>
      </c>
      <c r="J606" s="63">
        <v>4808</v>
      </c>
      <c r="K606" s="64">
        <v>1031.8</v>
      </c>
      <c r="L606" s="63" t="s">
        <v>2502</v>
      </c>
      <c r="M606" s="65" t="str">
        <f t="shared" si="9"/>
        <v>GRANORTEUA SAO LUISRACHÃOZINHO</v>
      </c>
      <c r="N606" s="85" t="s">
        <v>224</v>
      </c>
    </row>
    <row r="607" spans="2:14" hidden="1" x14ac:dyDescent="0.25">
      <c r="B607" s="91">
        <v>46105</v>
      </c>
      <c r="C607" s="63">
        <v>1</v>
      </c>
      <c r="D607" s="63" t="s">
        <v>286</v>
      </c>
      <c r="E607" s="65" t="s">
        <v>343</v>
      </c>
      <c r="F607" s="65" t="s">
        <v>166</v>
      </c>
      <c r="G607" s="63" t="s">
        <v>164</v>
      </c>
      <c r="H607" s="63">
        <v>58</v>
      </c>
      <c r="I607" s="65" t="s">
        <v>169</v>
      </c>
      <c r="J607" s="63">
        <v>4936</v>
      </c>
      <c r="K607" s="64">
        <v>1059.27</v>
      </c>
      <c r="L607" s="63" t="s">
        <v>2503</v>
      </c>
      <c r="M607" s="65" t="str">
        <f t="shared" si="9"/>
        <v>GRANORTEUA SAO LUISPULMÃOZINHO</v>
      </c>
      <c r="N607" s="85" t="s">
        <v>224</v>
      </c>
    </row>
    <row r="608" spans="2:14" hidden="1" x14ac:dyDescent="0.25">
      <c r="B608" s="91">
        <v>46105</v>
      </c>
      <c r="C608" s="63">
        <v>1</v>
      </c>
      <c r="D608" s="63" t="s">
        <v>192</v>
      </c>
      <c r="E608" s="65" t="s">
        <v>287</v>
      </c>
      <c r="F608" s="65" t="s">
        <v>163</v>
      </c>
      <c r="G608" s="63" t="s">
        <v>164</v>
      </c>
      <c r="H608" s="63">
        <v>52</v>
      </c>
      <c r="I608" s="65" t="s">
        <v>165</v>
      </c>
      <c r="J608" s="63">
        <v>4896</v>
      </c>
      <c r="K608" s="64">
        <v>941.99</v>
      </c>
      <c r="L608" s="63" t="s">
        <v>2504</v>
      </c>
      <c r="M608" s="65" t="str">
        <f t="shared" si="9"/>
        <v>BRASIL MINERACAOUA SAO LUISPÓ DE BRITA</v>
      </c>
      <c r="N608" s="85" t="s">
        <v>224</v>
      </c>
    </row>
    <row r="609" spans="2:14" x14ac:dyDescent="0.25">
      <c r="B609" s="91">
        <v>46105</v>
      </c>
      <c r="C609" s="63">
        <v>1</v>
      </c>
      <c r="D609" s="63" t="s">
        <v>193</v>
      </c>
      <c r="E609" s="65" t="s">
        <v>285</v>
      </c>
      <c r="F609" s="65" t="s">
        <v>166</v>
      </c>
      <c r="G609" s="63" t="s">
        <v>2123</v>
      </c>
      <c r="H609" s="63">
        <v>60</v>
      </c>
      <c r="I609" s="65" t="s">
        <v>172</v>
      </c>
      <c r="J609" s="63">
        <v>2764</v>
      </c>
      <c r="K609" s="64">
        <v>613.61</v>
      </c>
      <c r="L609" s="63" t="s">
        <v>2505</v>
      </c>
      <c r="M609" s="65" t="str">
        <f t="shared" si="9"/>
        <v>GRANORTEVIADUTO DO CAFEBICA CORRIDA</v>
      </c>
      <c r="N609" s="85" t="s">
        <v>2854</v>
      </c>
    </row>
    <row r="610" spans="2:14" hidden="1" x14ac:dyDescent="0.25">
      <c r="B610" s="91">
        <v>46106</v>
      </c>
      <c r="C610" s="63">
        <v>1</v>
      </c>
      <c r="D610" s="63" t="s">
        <v>219</v>
      </c>
      <c r="E610" s="65" t="s">
        <v>220</v>
      </c>
      <c r="F610" s="65" t="s">
        <v>163</v>
      </c>
      <c r="G610" s="63" t="s">
        <v>164</v>
      </c>
      <c r="H610" s="63">
        <v>52</v>
      </c>
      <c r="I610" s="65" t="s">
        <v>175</v>
      </c>
      <c r="J610" s="63">
        <v>901</v>
      </c>
      <c r="K610" s="64">
        <v>1733.52</v>
      </c>
      <c r="L610" s="63" t="s">
        <v>2506</v>
      </c>
      <c r="M610" s="65" t="str">
        <f t="shared" si="9"/>
        <v>BRASIL MINERACAOUA SAO LUISBRITA 0</v>
      </c>
      <c r="N610" s="85" t="s">
        <v>224</v>
      </c>
    </row>
    <row r="611" spans="2:14" hidden="1" x14ac:dyDescent="0.25">
      <c r="B611" s="91">
        <v>46106</v>
      </c>
      <c r="C611" s="63">
        <v>1</v>
      </c>
      <c r="D611" s="63" t="s">
        <v>219</v>
      </c>
      <c r="E611" s="65" t="s">
        <v>220</v>
      </c>
      <c r="F611" s="65" t="s">
        <v>166</v>
      </c>
      <c r="G611" s="63" t="s">
        <v>164</v>
      </c>
      <c r="H611" s="63">
        <v>58</v>
      </c>
      <c r="I611" s="65" t="s">
        <v>175</v>
      </c>
      <c r="J611" s="63">
        <v>407</v>
      </c>
      <c r="K611" s="64">
        <v>873.42</v>
      </c>
      <c r="L611" s="63" t="s">
        <v>2507</v>
      </c>
      <c r="M611" s="65" t="str">
        <f t="shared" si="9"/>
        <v>GRANORTEUA SAO LUISBRITA 0</v>
      </c>
      <c r="N611" s="85" t="s">
        <v>224</v>
      </c>
    </row>
    <row r="612" spans="2:14" x14ac:dyDescent="0.25">
      <c r="B612" s="91">
        <v>46106</v>
      </c>
      <c r="C612" s="63">
        <v>1</v>
      </c>
      <c r="D612" s="63" t="s">
        <v>162</v>
      </c>
      <c r="E612" s="65" t="s">
        <v>281</v>
      </c>
      <c r="F612" s="65" t="s">
        <v>166</v>
      </c>
      <c r="G612" s="63" t="s">
        <v>2123</v>
      </c>
      <c r="H612" s="63">
        <v>60</v>
      </c>
      <c r="I612" s="65" t="s">
        <v>172</v>
      </c>
      <c r="J612" s="63">
        <v>2496</v>
      </c>
      <c r="K612" s="64">
        <v>554.11</v>
      </c>
      <c r="L612" s="63" t="s">
        <v>2508</v>
      </c>
      <c r="M612" s="65" t="str">
        <f t="shared" si="9"/>
        <v>GRANORTEVIADUTO DO CAFEBICA CORRIDA</v>
      </c>
      <c r="N612" s="85" t="s">
        <v>2854</v>
      </c>
    </row>
    <row r="613" spans="2:14" hidden="1" x14ac:dyDescent="0.25">
      <c r="B613" s="91">
        <v>46106</v>
      </c>
      <c r="C613" s="63">
        <v>1</v>
      </c>
      <c r="D613" s="63" t="s">
        <v>188</v>
      </c>
      <c r="E613" s="65" t="s">
        <v>189</v>
      </c>
      <c r="F613" s="65" t="s">
        <v>166</v>
      </c>
      <c r="G613" s="63" t="s">
        <v>164</v>
      </c>
      <c r="H613" s="63">
        <v>58</v>
      </c>
      <c r="I613" s="65" t="s">
        <v>175</v>
      </c>
      <c r="J613" s="63">
        <v>7945</v>
      </c>
      <c r="K613" s="64">
        <v>1705</v>
      </c>
      <c r="L613" s="63" t="s">
        <v>2509</v>
      </c>
      <c r="M613" s="65" t="str">
        <f t="shared" si="9"/>
        <v>GRANORTEUA SAO LUISBRITA 0</v>
      </c>
      <c r="N613" s="85" t="s">
        <v>224</v>
      </c>
    </row>
    <row r="614" spans="2:14" hidden="1" x14ac:dyDescent="0.25">
      <c r="B614" s="91">
        <v>46106</v>
      </c>
      <c r="C614" s="63">
        <v>1</v>
      </c>
      <c r="D614" s="63" t="s">
        <v>196</v>
      </c>
      <c r="E614" s="65" t="s">
        <v>197</v>
      </c>
      <c r="F614" s="65" t="s">
        <v>163</v>
      </c>
      <c r="G614" s="63" t="s">
        <v>164</v>
      </c>
      <c r="H614" s="63">
        <v>52</v>
      </c>
      <c r="I614" s="65" t="s">
        <v>175</v>
      </c>
      <c r="J614" s="63">
        <v>687</v>
      </c>
      <c r="K614" s="64">
        <v>1321.79</v>
      </c>
      <c r="L614" s="63" t="s">
        <v>2510</v>
      </c>
      <c r="M614" s="65" t="str">
        <f t="shared" si="9"/>
        <v>BRASIL MINERACAOUA SAO LUISBRITA 0</v>
      </c>
      <c r="N614" s="85" t="s">
        <v>224</v>
      </c>
    </row>
    <row r="615" spans="2:14" hidden="1" x14ac:dyDescent="0.25">
      <c r="B615" s="91">
        <v>46106</v>
      </c>
      <c r="C615" s="63">
        <v>1</v>
      </c>
      <c r="D615" s="63" t="s">
        <v>208</v>
      </c>
      <c r="E615" s="65" t="s">
        <v>209</v>
      </c>
      <c r="F615" s="65" t="s">
        <v>163</v>
      </c>
      <c r="G615" s="63" t="s">
        <v>164</v>
      </c>
      <c r="H615" s="63">
        <v>52</v>
      </c>
      <c r="I615" s="65" t="s">
        <v>165</v>
      </c>
      <c r="J615" s="63">
        <v>600</v>
      </c>
      <c r="K615" s="64">
        <v>1154.4000000000001</v>
      </c>
      <c r="L615" s="63" t="s">
        <v>2511</v>
      </c>
      <c r="M615" s="65" t="str">
        <f t="shared" si="9"/>
        <v>BRASIL MINERACAOUA SAO LUISPÓ DE BRITA</v>
      </c>
      <c r="N615" s="85" t="s">
        <v>224</v>
      </c>
    </row>
    <row r="616" spans="2:14" x14ac:dyDescent="0.25">
      <c r="B616" s="91">
        <v>46106</v>
      </c>
      <c r="C616" s="63">
        <v>1</v>
      </c>
      <c r="D616" s="63" t="s">
        <v>162</v>
      </c>
      <c r="E616" s="65" t="s">
        <v>281</v>
      </c>
      <c r="F616" s="65" t="s">
        <v>166</v>
      </c>
      <c r="G616" s="63" t="s">
        <v>2123</v>
      </c>
      <c r="H616" s="63">
        <v>60</v>
      </c>
      <c r="I616" s="65" t="s">
        <v>172</v>
      </c>
      <c r="J616" s="63">
        <v>2564</v>
      </c>
      <c r="K616" s="64">
        <v>569.21</v>
      </c>
      <c r="L616" s="63" t="s">
        <v>2512</v>
      </c>
      <c r="M616" s="65" t="str">
        <f t="shared" si="9"/>
        <v>GRANORTEVIADUTO DO CAFEBICA CORRIDA</v>
      </c>
      <c r="N616" s="85" t="s">
        <v>2854</v>
      </c>
    </row>
    <row r="617" spans="2:14" x14ac:dyDescent="0.25">
      <c r="B617" s="91">
        <v>46106</v>
      </c>
      <c r="C617" s="63">
        <v>1</v>
      </c>
      <c r="D617" s="63" t="s">
        <v>170</v>
      </c>
      <c r="E617" s="65" t="s">
        <v>171</v>
      </c>
      <c r="F617" s="65" t="s">
        <v>166</v>
      </c>
      <c r="G617" s="63" t="s">
        <v>2123</v>
      </c>
      <c r="H617" s="63">
        <v>60</v>
      </c>
      <c r="I617" s="65" t="s">
        <v>172</v>
      </c>
      <c r="J617" s="63">
        <v>2566</v>
      </c>
      <c r="K617" s="64">
        <v>569.65</v>
      </c>
      <c r="L617" s="63" t="s">
        <v>2513</v>
      </c>
      <c r="M617" s="65" t="str">
        <f t="shared" si="9"/>
        <v>GRANORTEVIADUTO DO CAFEBICA CORRIDA</v>
      </c>
      <c r="N617" s="85" t="s">
        <v>2854</v>
      </c>
    </row>
    <row r="618" spans="2:14" hidden="1" x14ac:dyDescent="0.25">
      <c r="B618" s="91">
        <v>46106</v>
      </c>
      <c r="C618" s="63">
        <v>1</v>
      </c>
      <c r="D618" s="63" t="s">
        <v>188</v>
      </c>
      <c r="E618" s="65" t="s">
        <v>189</v>
      </c>
      <c r="F618" s="65" t="s">
        <v>166</v>
      </c>
      <c r="G618" s="63" t="s">
        <v>164</v>
      </c>
      <c r="H618" s="63">
        <v>58</v>
      </c>
      <c r="I618" s="65" t="s">
        <v>175</v>
      </c>
      <c r="J618" s="63">
        <v>4848</v>
      </c>
      <c r="K618" s="64">
        <v>1040.3800000000001</v>
      </c>
      <c r="L618" s="63" t="s">
        <v>2514</v>
      </c>
      <c r="M618" s="65" t="str">
        <f t="shared" si="9"/>
        <v>GRANORTEUA SAO LUISBRITA 0</v>
      </c>
      <c r="N618" s="85" t="s">
        <v>224</v>
      </c>
    </row>
    <row r="619" spans="2:14" hidden="1" x14ac:dyDescent="0.25">
      <c r="B619" s="91">
        <v>46106</v>
      </c>
      <c r="C619" s="63">
        <v>1</v>
      </c>
      <c r="D619" s="63" t="s">
        <v>203</v>
      </c>
      <c r="E619" s="65" t="s">
        <v>204</v>
      </c>
      <c r="F619" s="65" t="s">
        <v>166</v>
      </c>
      <c r="G619" s="63" t="s">
        <v>164</v>
      </c>
      <c r="H619" s="63">
        <v>58</v>
      </c>
      <c r="I619" s="65" t="s">
        <v>165</v>
      </c>
      <c r="J619" s="63">
        <v>4572</v>
      </c>
      <c r="K619" s="64">
        <v>981.15</v>
      </c>
      <c r="L619" s="63" t="s">
        <v>2515</v>
      </c>
      <c r="M619" s="65" t="str">
        <f t="shared" si="9"/>
        <v>GRANORTEUA SAO LUISPÓ DE BRITA</v>
      </c>
      <c r="N619" s="85" t="s">
        <v>224</v>
      </c>
    </row>
    <row r="620" spans="2:14" hidden="1" x14ac:dyDescent="0.25">
      <c r="B620" s="91">
        <v>46106</v>
      </c>
      <c r="C620" s="63">
        <v>1</v>
      </c>
      <c r="D620" s="63" t="s">
        <v>199</v>
      </c>
      <c r="E620" s="65" t="s">
        <v>180</v>
      </c>
      <c r="F620" s="65" t="s">
        <v>166</v>
      </c>
      <c r="G620" s="63" t="s">
        <v>111</v>
      </c>
      <c r="H620" s="63">
        <v>79</v>
      </c>
      <c r="I620" s="65" t="s">
        <v>169</v>
      </c>
      <c r="J620" s="63">
        <v>2692</v>
      </c>
      <c r="K620" s="64">
        <v>786.87</v>
      </c>
      <c r="L620" s="63" t="s">
        <v>2516</v>
      </c>
      <c r="M620" s="65" t="str">
        <f t="shared" si="9"/>
        <v>GRANORTEBEIRA RIOPULMÃOZINHO</v>
      </c>
      <c r="N620" s="85" t="s">
        <v>111</v>
      </c>
    </row>
    <row r="621" spans="2:14" x14ac:dyDescent="0.25">
      <c r="B621" s="91">
        <v>46106</v>
      </c>
      <c r="C621" s="63">
        <v>1</v>
      </c>
      <c r="D621" s="63" t="s">
        <v>167</v>
      </c>
      <c r="E621" s="65" t="s">
        <v>168</v>
      </c>
      <c r="F621" s="65" t="s">
        <v>166</v>
      </c>
      <c r="G621" s="63" t="s">
        <v>2123</v>
      </c>
      <c r="H621" s="63">
        <v>60</v>
      </c>
      <c r="I621" s="65" t="s">
        <v>169</v>
      </c>
      <c r="J621" s="63">
        <v>3084</v>
      </c>
      <c r="K621" s="64">
        <v>684.65</v>
      </c>
      <c r="L621" s="63" t="s">
        <v>2517</v>
      </c>
      <c r="M621" s="65" t="str">
        <f t="shared" si="9"/>
        <v>GRANORTEVIADUTO DO CAFEPULMÃOZINHO</v>
      </c>
      <c r="N621" s="85" t="s">
        <v>2854</v>
      </c>
    </row>
    <row r="622" spans="2:14" x14ac:dyDescent="0.25">
      <c r="B622" s="91">
        <v>46106</v>
      </c>
      <c r="C622" s="63">
        <v>1</v>
      </c>
      <c r="D622" s="63" t="s">
        <v>167</v>
      </c>
      <c r="E622" s="65" t="s">
        <v>168</v>
      </c>
      <c r="F622" s="65" t="s">
        <v>166</v>
      </c>
      <c r="G622" s="63" t="s">
        <v>2123</v>
      </c>
      <c r="H622" s="63">
        <v>60</v>
      </c>
      <c r="I622" s="65" t="s">
        <v>169</v>
      </c>
      <c r="J622" s="63">
        <v>2716</v>
      </c>
      <c r="K622" s="64">
        <v>602.95000000000005</v>
      </c>
      <c r="L622" s="63" t="s">
        <v>2518</v>
      </c>
      <c r="M622" s="65" t="str">
        <f t="shared" si="9"/>
        <v>GRANORTEVIADUTO DO CAFEPULMÃOZINHO</v>
      </c>
      <c r="N622" s="85" t="s">
        <v>2854</v>
      </c>
    </row>
    <row r="623" spans="2:14" x14ac:dyDescent="0.25">
      <c r="B623" s="91">
        <v>46106</v>
      </c>
      <c r="C623" s="63">
        <v>1</v>
      </c>
      <c r="D623" s="63" t="s">
        <v>167</v>
      </c>
      <c r="E623" s="65" t="s">
        <v>168</v>
      </c>
      <c r="F623" s="65" t="s">
        <v>166</v>
      </c>
      <c r="G623" s="63" t="s">
        <v>2123</v>
      </c>
      <c r="H623" s="63">
        <v>60</v>
      </c>
      <c r="I623" s="65" t="s">
        <v>169</v>
      </c>
      <c r="J623" s="63">
        <v>2692</v>
      </c>
      <c r="K623" s="64">
        <v>597.62</v>
      </c>
      <c r="L623" s="63" t="s">
        <v>2519</v>
      </c>
      <c r="M623" s="65" t="str">
        <f t="shared" si="9"/>
        <v>GRANORTEVIADUTO DO CAFEPULMÃOZINHO</v>
      </c>
      <c r="N623" s="85" t="s">
        <v>2854</v>
      </c>
    </row>
    <row r="624" spans="2:14" hidden="1" x14ac:dyDescent="0.25">
      <c r="B624" s="91">
        <v>46106</v>
      </c>
      <c r="C624" s="63">
        <v>1</v>
      </c>
      <c r="D624" s="63" t="s">
        <v>1948</v>
      </c>
      <c r="E624" s="65" t="s">
        <v>1949</v>
      </c>
      <c r="F624" s="65" t="s">
        <v>163</v>
      </c>
      <c r="G624" s="63" t="s">
        <v>164</v>
      </c>
      <c r="H624" s="63">
        <v>52</v>
      </c>
      <c r="I624" s="65" t="s">
        <v>175</v>
      </c>
      <c r="J624" s="63">
        <v>471</v>
      </c>
      <c r="K624" s="64">
        <v>906.2</v>
      </c>
      <c r="L624" s="63" t="s">
        <v>2520</v>
      </c>
      <c r="M624" s="65" t="str">
        <f t="shared" si="9"/>
        <v>BRASIL MINERACAOUA SAO LUISBRITA 0</v>
      </c>
      <c r="N624" s="85" t="s">
        <v>224</v>
      </c>
    </row>
    <row r="625" spans="2:14" hidden="1" x14ac:dyDescent="0.25">
      <c r="B625" s="91">
        <v>46106</v>
      </c>
      <c r="C625" s="63">
        <v>1</v>
      </c>
      <c r="D625" s="63" t="s">
        <v>202</v>
      </c>
      <c r="E625" s="65" t="s">
        <v>214</v>
      </c>
      <c r="F625" s="65" t="s">
        <v>166</v>
      </c>
      <c r="G625" s="63" t="s">
        <v>164</v>
      </c>
      <c r="H625" s="63">
        <v>58</v>
      </c>
      <c r="I625" s="65" t="s">
        <v>165</v>
      </c>
      <c r="J625" s="63">
        <v>5016</v>
      </c>
      <c r="K625" s="64">
        <v>1076.43</v>
      </c>
      <c r="L625" s="63" t="s">
        <v>2521</v>
      </c>
      <c r="M625" s="65" t="str">
        <f t="shared" si="9"/>
        <v>GRANORTEUA SAO LUISPÓ DE BRITA</v>
      </c>
      <c r="N625" s="85" t="s">
        <v>224</v>
      </c>
    </row>
    <row r="626" spans="2:14" hidden="1" x14ac:dyDescent="0.25">
      <c r="B626" s="91">
        <v>46106</v>
      </c>
      <c r="C626" s="63">
        <v>1</v>
      </c>
      <c r="D626" s="63" t="s">
        <v>213</v>
      </c>
      <c r="E626" s="65" t="s">
        <v>178</v>
      </c>
      <c r="F626" s="65" t="s">
        <v>166</v>
      </c>
      <c r="G626" s="63" t="s">
        <v>164</v>
      </c>
      <c r="H626" s="63">
        <v>58</v>
      </c>
      <c r="I626" s="65" t="s">
        <v>165</v>
      </c>
      <c r="J626" s="63">
        <v>4662</v>
      </c>
      <c r="K626" s="64">
        <v>1000.47</v>
      </c>
      <c r="L626" s="63" t="s">
        <v>2522</v>
      </c>
      <c r="M626" s="65" t="str">
        <f t="shared" si="9"/>
        <v>GRANORTEUA SAO LUISPÓ DE BRITA</v>
      </c>
      <c r="N626" s="85" t="s">
        <v>224</v>
      </c>
    </row>
    <row r="627" spans="2:14" hidden="1" x14ac:dyDescent="0.25">
      <c r="B627" s="91">
        <v>46106</v>
      </c>
      <c r="C627" s="63">
        <v>1</v>
      </c>
      <c r="D627" s="63" t="s">
        <v>170</v>
      </c>
      <c r="E627" s="65" t="s">
        <v>171</v>
      </c>
      <c r="F627" s="65" t="s">
        <v>166</v>
      </c>
      <c r="G627" s="63" t="s">
        <v>824</v>
      </c>
      <c r="H627" s="63">
        <v>78</v>
      </c>
      <c r="I627" s="65" t="s">
        <v>169</v>
      </c>
      <c r="J627" s="63">
        <v>258</v>
      </c>
      <c r="K627" s="64">
        <v>744.59</v>
      </c>
      <c r="L627" s="63" t="s">
        <v>2523</v>
      </c>
      <c r="M627" s="65" t="str">
        <f t="shared" si="9"/>
        <v>GRANORTECRUZAMENTO MA 201/202 (METROPOLITANA)PULMÃOZINHO</v>
      </c>
      <c r="N627" s="85" t="s">
        <v>108</v>
      </c>
    </row>
    <row r="628" spans="2:14" hidden="1" x14ac:dyDescent="0.25">
      <c r="B628" s="91">
        <v>46106</v>
      </c>
      <c r="C628" s="63">
        <v>1</v>
      </c>
      <c r="D628" s="63" t="s">
        <v>188</v>
      </c>
      <c r="E628" s="65" t="s">
        <v>189</v>
      </c>
      <c r="F628" s="65" t="s">
        <v>166</v>
      </c>
      <c r="G628" s="63" t="s">
        <v>164</v>
      </c>
      <c r="H628" s="63">
        <v>58</v>
      </c>
      <c r="I628" s="65" t="s">
        <v>175</v>
      </c>
      <c r="J628" s="63">
        <v>4738</v>
      </c>
      <c r="K628" s="64">
        <v>1016.77</v>
      </c>
      <c r="L628" s="63" t="s">
        <v>2524</v>
      </c>
      <c r="M628" s="65" t="str">
        <f t="shared" si="9"/>
        <v>GRANORTEUA SAO LUISBRITA 0</v>
      </c>
      <c r="N628" s="85" t="s">
        <v>224</v>
      </c>
    </row>
    <row r="629" spans="2:14" hidden="1" x14ac:dyDescent="0.25">
      <c r="B629" s="91">
        <v>46106</v>
      </c>
      <c r="C629" s="63">
        <v>1</v>
      </c>
      <c r="D629" s="63" t="s">
        <v>208</v>
      </c>
      <c r="E629" s="65" t="s">
        <v>209</v>
      </c>
      <c r="F629" s="65" t="s">
        <v>166</v>
      </c>
      <c r="G629" s="63" t="s">
        <v>164</v>
      </c>
      <c r="H629" s="63">
        <v>58</v>
      </c>
      <c r="I629" s="65" t="s">
        <v>165</v>
      </c>
      <c r="J629" s="63">
        <v>470</v>
      </c>
      <c r="K629" s="64">
        <v>1008.62</v>
      </c>
      <c r="L629" s="63" t="s">
        <v>2525</v>
      </c>
      <c r="M629" s="65" t="str">
        <f t="shared" si="9"/>
        <v>GRANORTEUA SAO LUISPÓ DE BRITA</v>
      </c>
      <c r="N629" s="85" t="s">
        <v>224</v>
      </c>
    </row>
    <row r="630" spans="2:14" hidden="1" x14ac:dyDescent="0.25">
      <c r="B630" s="91">
        <v>46106</v>
      </c>
      <c r="C630" s="63">
        <v>1</v>
      </c>
      <c r="D630" s="63" t="s">
        <v>199</v>
      </c>
      <c r="E630" s="65" t="s">
        <v>180</v>
      </c>
      <c r="F630" s="65" t="s">
        <v>166</v>
      </c>
      <c r="G630" s="63" t="s">
        <v>111</v>
      </c>
      <c r="H630" s="63">
        <v>79</v>
      </c>
      <c r="I630" s="65" t="s">
        <v>169</v>
      </c>
      <c r="J630" s="63">
        <v>2668</v>
      </c>
      <c r="K630" s="64">
        <v>779.86</v>
      </c>
      <c r="L630" s="63" t="s">
        <v>2526</v>
      </c>
      <c r="M630" s="65" t="str">
        <f t="shared" si="9"/>
        <v>GRANORTEBEIRA RIOPULMÃOZINHO</v>
      </c>
      <c r="N630" s="85" t="s">
        <v>111</v>
      </c>
    </row>
    <row r="631" spans="2:14" hidden="1" x14ac:dyDescent="0.25">
      <c r="B631" s="91">
        <v>46106</v>
      </c>
      <c r="C631" s="63">
        <v>1</v>
      </c>
      <c r="D631" s="63" t="s">
        <v>162</v>
      </c>
      <c r="E631" s="65" t="s">
        <v>281</v>
      </c>
      <c r="F631" s="65" t="s">
        <v>166</v>
      </c>
      <c r="G631" s="63" t="s">
        <v>111</v>
      </c>
      <c r="H631" s="63">
        <v>79</v>
      </c>
      <c r="I631" s="65" t="s">
        <v>169</v>
      </c>
      <c r="J631" s="63">
        <v>2584</v>
      </c>
      <c r="K631" s="64">
        <v>755.3</v>
      </c>
      <c r="L631" s="63" t="s">
        <v>2527</v>
      </c>
      <c r="M631" s="65" t="str">
        <f t="shared" si="9"/>
        <v>GRANORTEBEIRA RIOPULMÃOZINHO</v>
      </c>
      <c r="N631" s="85" t="s">
        <v>111</v>
      </c>
    </row>
    <row r="632" spans="2:14" hidden="1" x14ac:dyDescent="0.25">
      <c r="B632" s="91">
        <v>46106</v>
      </c>
      <c r="C632" s="63">
        <v>1</v>
      </c>
      <c r="D632" s="63" t="s">
        <v>196</v>
      </c>
      <c r="E632" s="65" t="s">
        <v>197</v>
      </c>
      <c r="F632" s="65" t="s">
        <v>163</v>
      </c>
      <c r="G632" s="63" t="s">
        <v>164</v>
      </c>
      <c r="H632" s="63">
        <v>52</v>
      </c>
      <c r="I632" s="65" t="s">
        <v>175</v>
      </c>
      <c r="J632" s="63">
        <v>6924</v>
      </c>
      <c r="K632" s="64">
        <v>1332.18</v>
      </c>
      <c r="L632" s="63" t="s">
        <v>2528</v>
      </c>
      <c r="M632" s="65" t="str">
        <f t="shared" si="9"/>
        <v>BRASIL MINERACAOUA SAO LUISBRITA 0</v>
      </c>
      <c r="N632" s="85" t="s">
        <v>224</v>
      </c>
    </row>
    <row r="633" spans="2:14" hidden="1" x14ac:dyDescent="0.25">
      <c r="B633" s="91">
        <v>46106</v>
      </c>
      <c r="C633" s="63">
        <v>1</v>
      </c>
      <c r="D633" s="63" t="s">
        <v>181</v>
      </c>
      <c r="E633" s="65" t="s">
        <v>182</v>
      </c>
      <c r="F633" s="65" t="s">
        <v>166</v>
      </c>
      <c r="G633" s="63" t="s">
        <v>824</v>
      </c>
      <c r="H633" s="63">
        <v>78</v>
      </c>
      <c r="I633" s="65" t="s">
        <v>185</v>
      </c>
      <c r="J633" s="63">
        <v>2536</v>
      </c>
      <c r="K633" s="64">
        <v>731.89</v>
      </c>
      <c r="L633" s="63" t="s">
        <v>2529</v>
      </c>
      <c r="M633" s="65" t="str">
        <f t="shared" si="9"/>
        <v>GRANORTECRUZAMENTO MA 201/202 (METROPOLITANA)RACHÃOZINHO</v>
      </c>
      <c r="N633" s="85" t="s">
        <v>108</v>
      </c>
    </row>
    <row r="634" spans="2:14" hidden="1" x14ac:dyDescent="0.25">
      <c r="B634" s="91">
        <v>46106</v>
      </c>
      <c r="C634" s="63">
        <v>1</v>
      </c>
      <c r="D634" s="63" t="s">
        <v>181</v>
      </c>
      <c r="E634" s="65" t="s">
        <v>182</v>
      </c>
      <c r="F634" s="65" t="s">
        <v>166</v>
      </c>
      <c r="G634" s="63" t="s">
        <v>824</v>
      </c>
      <c r="H634" s="63">
        <v>78</v>
      </c>
      <c r="I634" s="65" t="s">
        <v>169</v>
      </c>
      <c r="J634" s="63">
        <v>2586</v>
      </c>
      <c r="K634" s="64">
        <v>746.32</v>
      </c>
      <c r="L634" s="63" t="s">
        <v>2530</v>
      </c>
      <c r="M634" s="65" t="str">
        <f t="shared" si="9"/>
        <v>GRANORTECRUZAMENTO MA 201/202 (METROPOLITANA)PULMÃOZINHO</v>
      </c>
      <c r="N634" s="85" t="s">
        <v>108</v>
      </c>
    </row>
    <row r="635" spans="2:14" x14ac:dyDescent="0.25">
      <c r="B635" s="91">
        <v>46106</v>
      </c>
      <c r="C635" s="63">
        <v>1</v>
      </c>
      <c r="D635" s="63" t="s">
        <v>283</v>
      </c>
      <c r="E635" s="65" t="s">
        <v>215</v>
      </c>
      <c r="F635" s="65" t="s">
        <v>166</v>
      </c>
      <c r="G635" s="63" t="s">
        <v>2123</v>
      </c>
      <c r="H635" s="63">
        <v>60</v>
      </c>
      <c r="I635" s="65" t="s">
        <v>172</v>
      </c>
      <c r="J635" s="63">
        <v>2624</v>
      </c>
      <c r="K635" s="64">
        <v>582.53</v>
      </c>
      <c r="L635" s="63" t="s">
        <v>2531</v>
      </c>
      <c r="M635" s="65" t="str">
        <f t="shared" si="9"/>
        <v>GRANORTEVIADUTO DO CAFEBICA CORRIDA</v>
      </c>
      <c r="N635" s="85" t="s">
        <v>2854</v>
      </c>
    </row>
    <row r="636" spans="2:14" hidden="1" x14ac:dyDescent="0.25">
      <c r="B636" s="91">
        <v>46106</v>
      </c>
      <c r="C636" s="63">
        <v>1</v>
      </c>
      <c r="D636" s="63" t="s">
        <v>188</v>
      </c>
      <c r="E636" s="65" t="s">
        <v>189</v>
      </c>
      <c r="F636" s="65" t="s">
        <v>166</v>
      </c>
      <c r="G636" s="63" t="s">
        <v>164</v>
      </c>
      <c r="H636" s="63">
        <v>58</v>
      </c>
      <c r="I636" s="65" t="s">
        <v>175</v>
      </c>
      <c r="J636" s="63">
        <v>4776</v>
      </c>
      <c r="K636" s="64">
        <v>1024.93</v>
      </c>
      <c r="L636" s="63" t="s">
        <v>2532</v>
      </c>
      <c r="M636" s="65" t="str">
        <f t="shared" si="9"/>
        <v>GRANORTEUA SAO LUISBRITA 0</v>
      </c>
      <c r="N636" s="85" t="s">
        <v>224</v>
      </c>
    </row>
    <row r="637" spans="2:14" hidden="1" x14ac:dyDescent="0.25">
      <c r="B637" s="91">
        <v>46106</v>
      </c>
      <c r="C637" s="63">
        <v>1</v>
      </c>
      <c r="D637" s="63" t="s">
        <v>283</v>
      </c>
      <c r="E637" s="65" t="s">
        <v>215</v>
      </c>
      <c r="F637" s="65" t="s">
        <v>166</v>
      </c>
      <c r="G637" s="63" t="s">
        <v>111</v>
      </c>
      <c r="H637" s="63">
        <v>79</v>
      </c>
      <c r="I637" s="65" t="s">
        <v>169</v>
      </c>
      <c r="J637" s="63">
        <v>2726</v>
      </c>
      <c r="K637" s="64">
        <v>796.81</v>
      </c>
      <c r="L637" s="63" t="s">
        <v>2533</v>
      </c>
      <c r="M637" s="65" t="str">
        <f t="shared" si="9"/>
        <v>GRANORTEBEIRA RIOPULMÃOZINHO</v>
      </c>
      <c r="N637" s="85" t="s">
        <v>111</v>
      </c>
    </row>
    <row r="638" spans="2:14" hidden="1" x14ac:dyDescent="0.25">
      <c r="B638" s="91">
        <v>46106</v>
      </c>
      <c r="C638" s="63">
        <v>1</v>
      </c>
      <c r="D638" s="63" t="s">
        <v>186</v>
      </c>
      <c r="E638" s="65" t="s">
        <v>187</v>
      </c>
      <c r="F638" s="65" t="s">
        <v>166</v>
      </c>
      <c r="G638" s="63" t="s">
        <v>164</v>
      </c>
      <c r="H638" s="63">
        <v>58</v>
      </c>
      <c r="I638" s="65" t="s">
        <v>175</v>
      </c>
      <c r="J638" s="63">
        <v>5114</v>
      </c>
      <c r="K638" s="64">
        <v>1097.46</v>
      </c>
      <c r="L638" s="63" t="s">
        <v>2534</v>
      </c>
      <c r="M638" s="65" t="str">
        <f t="shared" si="9"/>
        <v>GRANORTEUA SAO LUISBRITA 0</v>
      </c>
      <c r="N638" s="85" t="s">
        <v>224</v>
      </c>
    </row>
    <row r="639" spans="2:14" hidden="1" x14ac:dyDescent="0.25">
      <c r="B639" s="91">
        <v>46106</v>
      </c>
      <c r="C639" s="63">
        <v>1</v>
      </c>
      <c r="D639" s="63" t="s">
        <v>186</v>
      </c>
      <c r="E639" s="65" t="s">
        <v>187</v>
      </c>
      <c r="F639" s="65" t="s">
        <v>166</v>
      </c>
      <c r="G639" s="63" t="s">
        <v>164</v>
      </c>
      <c r="H639" s="63">
        <v>58</v>
      </c>
      <c r="I639" s="65" t="s">
        <v>165</v>
      </c>
      <c r="J639" s="63">
        <v>5012</v>
      </c>
      <c r="K639" s="64">
        <v>1075.58</v>
      </c>
      <c r="L639" s="63" t="s">
        <v>2535</v>
      </c>
      <c r="M639" s="65" t="str">
        <f t="shared" si="9"/>
        <v>GRANORTEUA SAO LUISPÓ DE BRITA</v>
      </c>
      <c r="N639" s="85" t="s">
        <v>224</v>
      </c>
    </row>
    <row r="640" spans="2:14" hidden="1" x14ac:dyDescent="0.25">
      <c r="B640" s="91">
        <v>46106</v>
      </c>
      <c r="C640" s="63">
        <v>1</v>
      </c>
      <c r="D640" s="63" t="s">
        <v>210</v>
      </c>
      <c r="E640" s="65" t="s">
        <v>211</v>
      </c>
      <c r="F640" s="65" t="s">
        <v>166</v>
      </c>
      <c r="G640" s="63" t="s">
        <v>164</v>
      </c>
      <c r="H640" s="63">
        <v>58</v>
      </c>
      <c r="I640" s="65" t="s">
        <v>165</v>
      </c>
      <c r="J640" s="63">
        <v>4798</v>
      </c>
      <c r="K640" s="64">
        <v>1029.6500000000001</v>
      </c>
      <c r="L640" s="63" t="s">
        <v>2536</v>
      </c>
      <c r="M640" s="65" t="str">
        <f t="shared" si="9"/>
        <v>GRANORTEUA SAO LUISPÓ DE BRITA</v>
      </c>
      <c r="N640" s="85" t="s">
        <v>224</v>
      </c>
    </row>
    <row r="641" spans="2:14" hidden="1" x14ac:dyDescent="0.25">
      <c r="B641" s="91">
        <v>46106</v>
      </c>
      <c r="C641" s="63">
        <v>1</v>
      </c>
      <c r="D641" s="63" t="s">
        <v>210</v>
      </c>
      <c r="E641" s="65" t="s">
        <v>211</v>
      </c>
      <c r="F641" s="65" t="s">
        <v>163</v>
      </c>
      <c r="G641" s="63" t="s">
        <v>164</v>
      </c>
      <c r="H641" s="63">
        <v>52</v>
      </c>
      <c r="I641" s="65" t="s">
        <v>165</v>
      </c>
      <c r="J641" s="63">
        <v>4642</v>
      </c>
      <c r="K641" s="64">
        <v>893.12</v>
      </c>
      <c r="L641" s="63" t="s">
        <v>2537</v>
      </c>
      <c r="M641" s="65" t="str">
        <f t="shared" si="9"/>
        <v>BRASIL MINERACAOUA SAO LUISPÓ DE BRITA</v>
      </c>
      <c r="N641" s="85" t="s">
        <v>224</v>
      </c>
    </row>
    <row r="642" spans="2:14" hidden="1" x14ac:dyDescent="0.25">
      <c r="B642" s="91">
        <v>46106</v>
      </c>
      <c r="C642" s="63">
        <v>1</v>
      </c>
      <c r="D642" s="63" t="s">
        <v>202</v>
      </c>
      <c r="E642" s="65" t="s">
        <v>214</v>
      </c>
      <c r="F642" s="65" t="s">
        <v>166</v>
      </c>
      <c r="G642" s="63" t="s">
        <v>164</v>
      </c>
      <c r="H642" s="63">
        <v>58</v>
      </c>
      <c r="I642" s="65" t="s">
        <v>165</v>
      </c>
      <c r="J642" s="63">
        <v>4972</v>
      </c>
      <c r="K642" s="64">
        <v>1066.99</v>
      </c>
      <c r="L642" s="63" t="s">
        <v>2538</v>
      </c>
      <c r="M642" s="65" t="str">
        <f t="shared" si="9"/>
        <v>GRANORTEUA SAO LUISPÓ DE BRITA</v>
      </c>
      <c r="N642" s="85" t="s">
        <v>224</v>
      </c>
    </row>
    <row r="643" spans="2:14" hidden="1" x14ac:dyDescent="0.25">
      <c r="B643" s="91">
        <v>46106</v>
      </c>
      <c r="C643" s="63">
        <v>1</v>
      </c>
      <c r="D643" s="63" t="s">
        <v>219</v>
      </c>
      <c r="E643" s="65" t="s">
        <v>220</v>
      </c>
      <c r="F643" s="65" t="s">
        <v>166</v>
      </c>
      <c r="G643" s="63" t="s">
        <v>164</v>
      </c>
      <c r="H643" s="63">
        <v>58</v>
      </c>
      <c r="I643" s="65" t="s">
        <v>195</v>
      </c>
      <c r="J643" s="63">
        <v>421</v>
      </c>
      <c r="K643" s="64">
        <v>903.47</v>
      </c>
      <c r="L643" s="63" t="s">
        <v>2539</v>
      </c>
      <c r="M643" s="65" t="str">
        <f t="shared" si="9"/>
        <v>GRANORTEUA SAO LUISBRITA 1</v>
      </c>
      <c r="N643" s="85" t="s">
        <v>224</v>
      </c>
    </row>
    <row r="644" spans="2:14" hidden="1" x14ac:dyDescent="0.25">
      <c r="B644" s="91">
        <v>46106</v>
      </c>
      <c r="C644" s="63">
        <v>1</v>
      </c>
      <c r="D644" s="63" t="s">
        <v>219</v>
      </c>
      <c r="E644" s="65" t="s">
        <v>220</v>
      </c>
      <c r="F644" s="65" t="s">
        <v>163</v>
      </c>
      <c r="G644" s="63" t="s">
        <v>164</v>
      </c>
      <c r="H644" s="63">
        <v>52</v>
      </c>
      <c r="I644" s="65" t="s">
        <v>175</v>
      </c>
      <c r="J644" s="63">
        <v>523</v>
      </c>
      <c r="K644" s="64">
        <v>1006.25</v>
      </c>
      <c r="L644" s="63" t="s">
        <v>2540</v>
      </c>
      <c r="M644" s="65" t="str">
        <f t="shared" si="9"/>
        <v>BRASIL MINERACAOUA SAO LUISBRITA 0</v>
      </c>
      <c r="N644" s="85" t="s">
        <v>224</v>
      </c>
    </row>
    <row r="645" spans="2:14" hidden="1" x14ac:dyDescent="0.25">
      <c r="B645" s="91">
        <v>46106</v>
      </c>
      <c r="C645" s="63">
        <v>1</v>
      </c>
      <c r="D645" s="63" t="s">
        <v>275</v>
      </c>
      <c r="E645" s="65" t="s">
        <v>217</v>
      </c>
      <c r="F645" s="65" t="s">
        <v>166</v>
      </c>
      <c r="G645" s="63" t="s">
        <v>164</v>
      </c>
      <c r="H645" s="63">
        <v>58</v>
      </c>
      <c r="I645" s="65" t="s">
        <v>165</v>
      </c>
      <c r="J645" s="63">
        <v>5638</v>
      </c>
      <c r="K645" s="64">
        <v>1209.9100000000001</v>
      </c>
      <c r="L645" s="63" t="s">
        <v>2541</v>
      </c>
      <c r="M645" s="65" t="str">
        <f t="shared" ref="M645:M708" si="10">_xlfn.CONCAT(F645&amp;G645&amp;I645)</f>
        <v>GRANORTEUA SAO LUISPÓ DE BRITA</v>
      </c>
      <c r="N645" s="85" t="s">
        <v>224</v>
      </c>
    </row>
    <row r="646" spans="2:14" hidden="1" x14ac:dyDescent="0.25">
      <c r="B646" s="91">
        <v>46106</v>
      </c>
      <c r="C646" s="63">
        <v>1</v>
      </c>
      <c r="D646" s="63" t="s">
        <v>275</v>
      </c>
      <c r="E646" s="65" t="s">
        <v>217</v>
      </c>
      <c r="F646" s="65" t="s">
        <v>166</v>
      </c>
      <c r="G646" s="63" t="s">
        <v>164</v>
      </c>
      <c r="H646" s="63">
        <v>58</v>
      </c>
      <c r="I646" s="65" t="s">
        <v>165</v>
      </c>
      <c r="J646" s="63">
        <v>4816</v>
      </c>
      <c r="K646" s="64">
        <v>1033.51</v>
      </c>
      <c r="L646" s="63" t="s">
        <v>2542</v>
      </c>
      <c r="M646" s="65" t="str">
        <f t="shared" si="10"/>
        <v>GRANORTEUA SAO LUISPÓ DE BRITA</v>
      </c>
      <c r="N646" s="85" t="s">
        <v>224</v>
      </c>
    </row>
    <row r="647" spans="2:14" hidden="1" x14ac:dyDescent="0.25">
      <c r="B647" s="91">
        <v>46106</v>
      </c>
      <c r="C647" s="63">
        <v>1</v>
      </c>
      <c r="D647" s="63" t="s">
        <v>213</v>
      </c>
      <c r="E647" s="65" t="s">
        <v>178</v>
      </c>
      <c r="F647" s="65" t="s">
        <v>166</v>
      </c>
      <c r="G647" s="63" t="s">
        <v>164</v>
      </c>
      <c r="H647" s="63">
        <v>58</v>
      </c>
      <c r="I647" s="65" t="s">
        <v>165</v>
      </c>
      <c r="J647" s="63">
        <v>482</v>
      </c>
      <c r="K647" s="64">
        <v>1034.3699999999999</v>
      </c>
      <c r="L647" s="63" t="s">
        <v>2543</v>
      </c>
      <c r="M647" s="65" t="str">
        <f t="shared" si="10"/>
        <v>GRANORTEUA SAO LUISPÓ DE BRITA</v>
      </c>
      <c r="N647" s="85" t="s">
        <v>224</v>
      </c>
    </row>
    <row r="648" spans="2:14" hidden="1" x14ac:dyDescent="0.25">
      <c r="B648" s="91">
        <v>46106</v>
      </c>
      <c r="C648" s="63">
        <v>1</v>
      </c>
      <c r="D648" s="63" t="s">
        <v>192</v>
      </c>
      <c r="E648" s="65" t="s">
        <v>287</v>
      </c>
      <c r="F648" s="65" t="s">
        <v>163</v>
      </c>
      <c r="G648" s="63" t="s">
        <v>164</v>
      </c>
      <c r="H648" s="63">
        <v>52</v>
      </c>
      <c r="I648" s="65" t="s">
        <v>165</v>
      </c>
      <c r="J648" s="63">
        <v>4938</v>
      </c>
      <c r="K648" s="64">
        <v>950.07</v>
      </c>
      <c r="L648" s="63" t="s">
        <v>2544</v>
      </c>
      <c r="M648" s="65" t="str">
        <f t="shared" si="10"/>
        <v>BRASIL MINERACAOUA SAO LUISPÓ DE BRITA</v>
      </c>
      <c r="N648" s="85" t="s">
        <v>224</v>
      </c>
    </row>
    <row r="649" spans="2:14" hidden="1" x14ac:dyDescent="0.25">
      <c r="B649" s="91">
        <v>46106</v>
      </c>
      <c r="C649" s="63">
        <v>1</v>
      </c>
      <c r="D649" s="63" t="s">
        <v>193</v>
      </c>
      <c r="E649" s="65" t="s">
        <v>285</v>
      </c>
      <c r="F649" s="65" t="s">
        <v>166</v>
      </c>
      <c r="G649" s="63" t="s">
        <v>111</v>
      </c>
      <c r="H649" s="63">
        <v>79</v>
      </c>
      <c r="I649" s="65" t="s">
        <v>169</v>
      </c>
      <c r="J649" s="63">
        <v>2892</v>
      </c>
      <c r="K649" s="64">
        <v>845.33</v>
      </c>
      <c r="L649" s="63" t="s">
        <v>2545</v>
      </c>
      <c r="M649" s="65" t="str">
        <f t="shared" si="10"/>
        <v>GRANORTEBEIRA RIOPULMÃOZINHO</v>
      </c>
      <c r="N649" s="85" t="s">
        <v>111</v>
      </c>
    </row>
    <row r="650" spans="2:14" hidden="1" x14ac:dyDescent="0.25">
      <c r="B650" s="91">
        <v>46106</v>
      </c>
      <c r="C650" s="63">
        <v>1</v>
      </c>
      <c r="D650" s="63" t="s">
        <v>193</v>
      </c>
      <c r="E650" s="65" t="s">
        <v>285</v>
      </c>
      <c r="F650" s="65" t="s">
        <v>166</v>
      </c>
      <c r="G650" s="63" t="s">
        <v>111</v>
      </c>
      <c r="H650" s="63">
        <v>79</v>
      </c>
      <c r="I650" s="65" t="s">
        <v>169</v>
      </c>
      <c r="J650" s="63">
        <v>2698</v>
      </c>
      <c r="K650" s="64">
        <v>788.63</v>
      </c>
      <c r="L650" s="63" t="s">
        <v>2546</v>
      </c>
      <c r="M650" s="65" t="str">
        <f t="shared" si="10"/>
        <v>GRANORTEBEIRA RIOPULMÃOZINHO</v>
      </c>
      <c r="N650" s="85" t="s">
        <v>111</v>
      </c>
    </row>
    <row r="651" spans="2:14" hidden="1" x14ac:dyDescent="0.25">
      <c r="B651" s="91">
        <v>46107</v>
      </c>
      <c r="C651" s="63">
        <v>1</v>
      </c>
      <c r="D651" s="63" t="s">
        <v>202</v>
      </c>
      <c r="E651" s="65" t="s">
        <v>214</v>
      </c>
      <c r="F651" s="65" t="s">
        <v>163</v>
      </c>
      <c r="G651" s="63" t="s">
        <v>164</v>
      </c>
      <c r="H651" s="63">
        <v>52</v>
      </c>
      <c r="I651" s="65" t="s">
        <v>175</v>
      </c>
      <c r="J651" s="63">
        <v>698</v>
      </c>
      <c r="K651" s="64">
        <v>1342.95</v>
      </c>
      <c r="L651" s="63" t="s">
        <v>2547</v>
      </c>
      <c r="M651" s="65" t="str">
        <f t="shared" si="10"/>
        <v>BRASIL MINERACAOUA SAO LUISBRITA 0</v>
      </c>
      <c r="N651" s="85" t="s">
        <v>224</v>
      </c>
    </row>
    <row r="652" spans="2:14" hidden="1" x14ac:dyDescent="0.25">
      <c r="B652" s="91">
        <v>46107</v>
      </c>
      <c r="C652" s="63">
        <v>1</v>
      </c>
      <c r="D652" s="63" t="s">
        <v>188</v>
      </c>
      <c r="E652" s="65" t="s">
        <v>189</v>
      </c>
      <c r="F652" s="65" t="s">
        <v>166</v>
      </c>
      <c r="G652" s="63" t="s">
        <v>164</v>
      </c>
      <c r="H652" s="63">
        <v>58</v>
      </c>
      <c r="I652" s="65" t="s">
        <v>175</v>
      </c>
      <c r="J652" s="63">
        <v>816</v>
      </c>
      <c r="K652" s="64">
        <v>1751.14</v>
      </c>
      <c r="L652" s="63" t="s">
        <v>2548</v>
      </c>
      <c r="M652" s="65" t="str">
        <f t="shared" si="10"/>
        <v>GRANORTEUA SAO LUISBRITA 0</v>
      </c>
      <c r="N652" s="85" t="s">
        <v>224</v>
      </c>
    </row>
    <row r="653" spans="2:14" hidden="1" x14ac:dyDescent="0.25">
      <c r="B653" s="91">
        <v>46107</v>
      </c>
      <c r="C653" s="63">
        <v>1</v>
      </c>
      <c r="D653" s="63" t="s">
        <v>196</v>
      </c>
      <c r="E653" s="65" t="s">
        <v>197</v>
      </c>
      <c r="F653" s="65" t="s">
        <v>163</v>
      </c>
      <c r="G653" s="63" t="s">
        <v>164</v>
      </c>
      <c r="H653" s="63">
        <v>52</v>
      </c>
      <c r="I653" s="65" t="s">
        <v>175</v>
      </c>
      <c r="J653" s="63">
        <v>6938</v>
      </c>
      <c r="K653" s="64">
        <v>1334.87</v>
      </c>
      <c r="L653" s="63" t="s">
        <v>2549</v>
      </c>
      <c r="M653" s="65" t="str">
        <f t="shared" si="10"/>
        <v>BRASIL MINERACAOUA SAO LUISBRITA 0</v>
      </c>
      <c r="N653" s="85" t="s">
        <v>224</v>
      </c>
    </row>
    <row r="654" spans="2:14" hidden="1" x14ac:dyDescent="0.25">
      <c r="B654" s="91">
        <v>46107</v>
      </c>
      <c r="C654" s="63">
        <v>1</v>
      </c>
      <c r="D654" s="63" t="s">
        <v>289</v>
      </c>
      <c r="E654" s="65" t="s">
        <v>290</v>
      </c>
      <c r="F654" s="65" t="s">
        <v>291</v>
      </c>
      <c r="G654" s="63" t="s">
        <v>989</v>
      </c>
      <c r="H654" s="63">
        <v>405</v>
      </c>
      <c r="I654" s="65" t="s">
        <v>221</v>
      </c>
      <c r="J654" s="63">
        <v>3218</v>
      </c>
      <c r="K654" s="64">
        <v>4822.17</v>
      </c>
      <c r="L654" s="63" t="s">
        <v>2550</v>
      </c>
      <c r="M654" s="65" t="str">
        <f t="shared" si="10"/>
        <v>MINERADORA PORTO FRANCO - MAVF CONSTRUTORA KM156BGS</v>
      </c>
      <c r="N654" s="85" t="s">
        <v>15</v>
      </c>
    </row>
    <row r="655" spans="2:14" x14ac:dyDescent="0.25">
      <c r="B655" s="91">
        <v>46107</v>
      </c>
      <c r="C655" s="63">
        <v>1</v>
      </c>
      <c r="D655" s="63" t="s">
        <v>181</v>
      </c>
      <c r="E655" s="65" t="s">
        <v>182</v>
      </c>
      <c r="F655" s="65" t="s">
        <v>166</v>
      </c>
      <c r="G655" s="63" t="s">
        <v>2123</v>
      </c>
      <c r="H655" s="63">
        <v>60</v>
      </c>
      <c r="I655" s="65" t="s">
        <v>169</v>
      </c>
      <c r="J655" s="63">
        <v>256</v>
      </c>
      <c r="K655" s="64">
        <v>568.32000000000005</v>
      </c>
      <c r="L655" s="63" t="s">
        <v>2551</v>
      </c>
      <c r="M655" s="65" t="str">
        <f t="shared" si="10"/>
        <v>GRANORTEVIADUTO DO CAFEPULMÃOZINHO</v>
      </c>
      <c r="N655" s="85" t="s">
        <v>2854</v>
      </c>
    </row>
    <row r="656" spans="2:14" hidden="1" x14ac:dyDescent="0.25">
      <c r="B656" s="91">
        <v>46107</v>
      </c>
      <c r="C656" s="63">
        <v>1</v>
      </c>
      <c r="D656" s="63" t="s">
        <v>219</v>
      </c>
      <c r="E656" s="65" t="s">
        <v>220</v>
      </c>
      <c r="F656" s="65" t="s">
        <v>166</v>
      </c>
      <c r="G656" s="63" t="s">
        <v>164</v>
      </c>
      <c r="H656" s="63">
        <v>58</v>
      </c>
      <c r="I656" s="65" t="s">
        <v>175</v>
      </c>
      <c r="J656" s="63">
        <v>312</v>
      </c>
      <c r="K656" s="64">
        <v>669.55</v>
      </c>
      <c r="L656" s="63" t="s">
        <v>2552</v>
      </c>
      <c r="M656" s="65" t="str">
        <f t="shared" si="10"/>
        <v>GRANORTEUA SAO LUISBRITA 0</v>
      </c>
      <c r="N656" s="85" t="s">
        <v>224</v>
      </c>
    </row>
    <row r="657" spans="2:14" hidden="1" x14ac:dyDescent="0.25">
      <c r="B657" s="91">
        <v>46107</v>
      </c>
      <c r="C657" s="63">
        <v>1</v>
      </c>
      <c r="D657" s="63" t="s">
        <v>219</v>
      </c>
      <c r="E657" s="65" t="s">
        <v>220</v>
      </c>
      <c r="F657" s="65" t="s">
        <v>163</v>
      </c>
      <c r="G657" s="63" t="s">
        <v>164</v>
      </c>
      <c r="H657" s="63">
        <v>52</v>
      </c>
      <c r="I657" s="65" t="s">
        <v>175</v>
      </c>
      <c r="J657" s="63">
        <v>963</v>
      </c>
      <c r="K657" s="64">
        <v>1852.81</v>
      </c>
      <c r="L657" s="63" t="s">
        <v>2553</v>
      </c>
      <c r="M657" s="65" t="str">
        <f t="shared" si="10"/>
        <v>BRASIL MINERACAOUA SAO LUISBRITA 0</v>
      </c>
      <c r="N657" s="85" t="s">
        <v>224</v>
      </c>
    </row>
    <row r="658" spans="2:14" hidden="1" x14ac:dyDescent="0.25">
      <c r="B658" s="91">
        <v>46107</v>
      </c>
      <c r="C658" s="63">
        <v>1</v>
      </c>
      <c r="D658" s="63" t="s">
        <v>188</v>
      </c>
      <c r="E658" s="65" t="s">
        <v>189</v>
      </c>
      <c r="F658" s="65" t="s">
        <v>166</v>
      </c>
      <c r="G658" s="63" t="s">
        <v>164</v>
      </c>
      <c r="H658" s="63">
        <v>58</v>
      </c>
      <c r="I658" s="65" t="s">
        <v>175</v>
      </c>
      <c r="J658" s="63">
        <v>4826</v>
      </c>
      <c r="K658" s="64">
        <v>1035.6600000000001</v>
      </c>
      <c r="L658" s="63" t="s">
        <v>2554</v>
      </c>
      <c r="M658" s="65" t="str">
        <f t="shared" si="10"/>
        <v>GRANORTEUA SAO LUISBRITA 0</v>
      </c>
      <c r="N658" s="85" t="s">
        <v>224</v>
      </c>
    </row>
    <row r="659" spans="2:14" hidden="1" x14ac:dyDescent="0.25">
      <c r="B659" s="91">
        <v>46107</v>
      </c>
      <c r="C659" s="63">
        <v>1</v>
      </c>
      <c r="D659" s="63" t="s">
        <v>170</v>
      </c>
      <c r="E659" s="65" t="s">
        <v>171</v>
      </c>
      <c r="F659" s="65" t="s">
        <v>166</v>
      </c>
      <c r="G659" s="63" t="s">
        <v>824</v>
      </c>
      <c r="H659" s="63">
        <v>78</v>
      </c>
      <c r="I659" s="65" t="s">
        <v>169</v>
      </c>
      <c r="J659" s="63">
        <v>2542</v>
      </c>
      <c r="K659" s="64">
        <v>733.62</v>
      </c>
      <c r="L659" s="63" t="s">
        <v>2555</v>
      </c>
      <c r="M659" s="65" t="str">
        <f t="shared" si="10"/>
        <v>GRANORTECRUZAMENTO MA 201/202 (METROPOLITANA)PULMÃOZINHO</v>
      </c>
      <c r="N659" s="85" t="s">
        <v>108</v>
      </c>
    </row>
    <row r="660" spans="2:14" hidden="1" x14ac:dyDescent="0.25">
      <c r="B660" s="91">
        <v>46107</v>
      </c>
      <c r="C660" s="63">
        <v>1</v>
      </c>
      <c r="D660" s="63" t="s">
        <v>203</v>
      </c>
      <c r="E660" s="65" t="s">
        <v>204</v>
      </c>
      <c r="F660" s="65" t="s">
        <v>166</v>
      </c>
      <c r="G660" s="63" t="s">
        <v>164</v>
      </c>
      <c r="H660" s="63">
        <v>58</v>
      </c>
      <c r="I660" s="65" t="s">
        <v>165</v>
      </c>
      <c r="J660" s="63">
        <v>4594</v>
      </c>
      <c r="K660" s="64">
        <v>985.87</v>
      </c>
      <c r="L660" s="63" t="s">
        <v>2556</v>
      </c>
      <c r="M660" s="65" t="str">
        <f t="shared" si="10"/>
        <v>GRANORTEUA SAO LUISPÓ DE BRITA</v>
      </c>
      <c r="N660" s="85" t="s">
        <v>224</v>
      </c>
    </row>
    <row r="661" spans="2:14" hidden="1" x14ac:dyDescent="0.25">
      <c r="B661" s="91">
        <v>46107</v>
      </c>
      <c r="C661" s="63">
        <v>1</v>
      </c>
      <c r="D661" s="63" t="s">
        <v>202</v>
      </c>
      <c r="E661" s="65" t="s">
        <v>214</v>
      </c>
      <c r="F661" s="65" t="s">
        <v>163</v>
      </c>
      <c r="G661" s="63" t="s">
        <v>164</v>
      </c>
      <c r="H661" s="63">
        <v>52</v>
      </c>
      <c r="I661" s="65" t="s">
        <v>175</v>
      </c>
      <c r="J661" s="63">
        <v>4984</v>
      </c>
      <c r="K661" s="64">
        <v>958.92</v>
      </c>
      <c r="L661" s="63" t="s">
        <v>2557</v>
      </c>
      <c r="M661" s="65" t="str">
        <f t="shared" si="10"/>
        <v>BRASIL MINERACAOUA SAO LUISBRITA 0</v>
      </c>
      <c r="N661" s="85" t="s">
        <v>224</v>
      </c>
    </row>
    <row r="662" spans="2:14" x14ac:dyDescent="0.25">
      <c r="B662" s="91">
        <v>46107</v>
      </c>
      <c r="C662" s="63">
        <v>1</v>
      </c>
      <c r="D662" s="63" t="s">
        <v>167</v>
      </c>
      <c r="E662" s="65" t="s">
        <v>168</v>
      </c>
      <c r="F662" s="65" t="s">
        <v>166</v>
      </c>
      <c r="G662" s="63" t="s">
        <v>2123</v>
      </c>
      <c r="H662" s="63">
        <v>60</v>
      </c>
      <c r="I662" s="65" t="s">
        <v>172</v>
      </c>
      <c r="J662" s="63">
        <v>266</v>
      </c>
      <c r="K662" s="64">
        <v>590.52</v>
      </c>
      <c r="L662" s="63" t="s">
        <v>2558</v>
      </c>
      <c r="M662" s="65" t="str">
        <f t="shared" si="10"/>
        <v>GRANORTEVIADUTO DO CAFEBICA CORRIDA</v>
      </c>
      <c r="N662" s="85" t="s">
        <v>2854</v>
      </c>
    </row>
    <row r="663" spans="2:14" hidden="1" x14ac:dyDescent="0.25">
      <c r="B663" s="91">
        <v>46107</v>
      </c>
      <c r="C663" s="63">
        <v>1</v>
      </c>
      <c r="D663" s="63" t="s">
        <v>167</v>
      </c>
      <c r="E663" s="65" t="s">
        <v>168</v>
      </c>
      <c r="F663" s="65" t="s">
        <v>166</v>
      </c>
      <c r="G663" s="63" t="s">
        <v>824</v>
      </c>
      <c r="H663" s="63">
        <v>78</v>
      </c>
      <c r="I663" s="65" t="s">
        <v>169</v>
      </c>
      <c r="J663" s="63">
        <v>2566</v>
      </c>
      <c r="K663" s="64">
        <v>740.55</v>
      </c>
      <c r="L663" s="63" t="s">
        <v>2559</v>
      </c>
      <c r="M663" s="65" t="str">
        <f t="shared" si="10"/>
        <v>GRANORTECRUZAMENTO MA 201/202 (METROPOLITANA)PULMÃOZINHO</v>
      </c>
      <c r="N663" s="85" t="s">
        <v>108</v>
      </c>
    </row>
    <row r="664" spans="2:14" x14ac:dyDescent="0.25">
      <c r="B664" s="91">
        <v>46107</v>
      </c>
      <c r="C664" s="63">
        <v>1</v>
      </c>
      <c r="D664" s="63" t="s">
        <v>170</v>
      </c>
      <c r="E664" s="65" t="s">
        <v>171</v>
      </c>
      <c r="F664" s="65" t="s">
        <v>166</v>
      </c>
      <c r="G664" s="63" t="s">
        <v>2123</v>
      </c>
      <c r="H664" s="63">
        <v>60</v>
      </c>
      <c r="I664" s="65" t="s">
        <v>172</v>
      </c>
      <c r="J664" s="63">
        <v>2576</v>
      </c>
      <c r="K664" s="64">
        <v>571.87</v>
      </c>
      <c r="L664" s="63" t="s">
        <v>2560</v>
      </c>
      <c r="M664" s="65" t="str">
        <f t="shared" si="10"/>
        <v>GRANORTEVIADUTO DO CAFEBICA CORRIDA</v>
      </c>
      <c r="N664" s="85" t="s">
        <v>2854</v>
      </c>
    </row>
    <row r="665" spans="2:14" hidden="1" x14ac:dyDescent="0.25">
      <c r="B665" s="91">
        <v>46107</v>
      </c>
      <c r="C665" s="63">
        <v>1</v>
      </c>
      <c r="D665" s="63" t="s">
        <v>188</v>
      </c>
      <c r="E665" s="65" t="s">
        <v>189</v>
      </c>
      <c r="F665" s="65" t="s">
        <v>163</v>
      </c>
      <c r="G665" s="63" t="s">
        <v>164</v>
      </c>
      <c r="H665" s="63">
        <v>52</v>
      </c>
      <c r="I665" s="65" t="s">
        <v>175</v>
      </c>
      <c r="J665" s="63">
        <v>4626</v>
      </c>
      <c r="K665" s="64">
        <v>890.04</v>
      </c>
      <c r="L665" s="63" t="s">
        <v>2561</v>
      </c>
      <c r="M665" s="65" t="str">
        <f t="shared" si="10"/>
        <v>BRASIL MINERACAOUA SAO LUISBRITA 0</v>
      </c>
      <c r="N665" s="85" t="s">
        <v>224</v>
      </c>
    </row>
    <row r="666" spans="2:14" x14ac:dyDescent="0.25">
      <c r="B666" s="91">
        <v>46107</v>
      </c>
      <c r="C666" s="63">
        <v>1</v>
      </c>
      <c r="D666" s="63" t="s">
        <v>162</v>
      </c>
      <c r="E666" s="65" t="s">
        <v>281</v>
      </c>
      <c r="F666" s="65" t="s">
        <v>166</v>
      </c>
      <c r="G666" s="63" t="s">
        <v>2123</v>
      </c>
      <c r="H666" s="63">
        <v>60</v>
      </c>
      <c r="I666" s="65" t="s">
        <v>169</v>
      </c>
      <c r="J666" s="63">
        <v>261</v>
      </c>
      <c r="K666" s="64">
        <v>579.41999999999996</v>
      </c>
      <c r="L666" s="63" t="s">
        <v>2562</v>
      </c>
      <c r="M666" s="65" t="str">
        <f t="shared" si="10"/>
        <v>GRANORTEVIADUTO DO CAFEPULMÃOZINHO</v>
      </c>
      <c r="N666" s="85" t="s">
        <v>2854</v>
      </c>
    </row>
    <row r="667" spans="2:14" hidden="1" x14ac:dyDescent="0.25">
      <c r="B667" s="91">
        <v>46107</v>
      </c>
      <c r="C667" s="63">
        <v>1</v>
      </c>
      <c r="D667" s="63" t="s">
        <v>162</v>
      </c>
      <c r="E667" s="65" t="s">
        <v>281</v>
      </c>
      <c r="F667" s="65" t="s">
        <v>166</v>
      </c>
      <c r="G667" s="63" t="s">
        <v>111</v>
      </c>
      <c r="H667" s="63">
        <v>79</v>
      </c>
      <c r="I667" s="65" t="s">
        <v>169</v>
      </c>
      <c r="J667" s="63">
        <v>2638</v>
      </c>
      <c r="K667" s="64">
        <v>771.09</v>
      </c>
      <c r="L667" s="63" t="s">
        <v>2563</v>
      </c>
      <c r="M667" s="65" t="str">
        <f t="shared" si="10"/>
        <v>GRANORTEBEIRA RIOPULMÃOZINHO</v>
      </c>
      <c r="N667" s="85" t="s">
        <v>111</v>
      </c>
    </row>
    <row r="668" spans="2:14" hidden="1" x14ac:dyDescent="0.25">
      <c r="B668" s="91">
        <v>46107</v>
      </c>
      <c r="C668" s="63">
        <v>1</v>
      </c>
      <c r="D668" s="63" t="s">
        <v>202</v>
      </c>
      <c r="E668" s="65" t="s">
        <v>214</v>
      </c>
      <c r="F668" s="65" t="s">
        <v>163</v>
      </c>
      <c r="G668" s="63" t="s">
        <v>164</v>
      </c>
      <c r="H668" s="63">
        <v>52</v>
      </c>
      <c r="I668" s="65" t="s">
        <v>175</v>
      </c>
      <c r="J668" s="63">
        <v>4958</v>
      </c>
      <c r="K668" s="64">
        <v>953.92</v>
      </c>
      <c r="L668" s="63" t="s">
        <v>2564</v>
      </c>
      <c r="M668" s="65" t="str">
        <f t="shared" si="10"/>
        <v>BRASIL MINERACAOUA SAO LUISBRITA 0</v>
      </c>
      <c r="N668" s="85" t="s">
        <v>224</v>
      </c>
    </row>
    <row r="669" spans="2:14" hidden="1" x14ac:dyDescent="0.25">
      <c r="B669" s="91">
        <v>46107</v>
      </c>
      <c r="C669" s="63">
        <v>1</v>
      </c>
      <c r="D669" s="63" t="s">
        <v>203</v>
      </c>
      <c r="E669" s="65" t="s">
        <v>204</v>
      </c>
      <c r="F669" s="65" t="s">
        <v>163</v>
      </c>
      <c r="G669" s="63" t="s">
        <v>164</v>
      </c>
      <c r="H669" s="63">
        <v>52</v>
      </c>
      <c r="I669" s="65" t="s">
        <v>175</v>
      </c>
      <c r="J669" s="63">
        <v>4532</v>
      </c>
      <c r="K669" s="64">
        <v>871.96</v>
      </c>
      <c r="L669" s="63" t="s">
        <v>2565</v>
      </c>
      <c r="M669" s="65" t="str">
        <f t="shared" si="10"/>
        <v>BRASIL MINERACAOUA SAO LUISBRITA 0</v>
      </c>
      <c r="N669" s="85" t="s">
        <v>224</v>
      </c>
    </row>
    <row r="670" spans="2:14" hidden="1" x14ac:dyDescent="0.25">
      <c r="B670" s="91">
        <v>46107</v>
      </c>
      <c r="C670" s="63">
        <v>1</v>
      </c>
      <c r="D670" s="63" t="s">
        <v>205</v>
      </c>
      <c r="E670" s="65" t="s">
        <v>206</v>
      </c>
      <c r="F670" s="65" t="s">
        <v>291</v>
      </c>
      <c r="G670" s="63" t="s">
        <v>2418</v>
      </c>
      <c r="H670" s="63">
        <v>331</v>
      </c>
      <c r="I670" s="65" t="s">
        <v>7</v>
      </c>
      <c r="J670" s="63">
        <v>563</v>
      </c>
      <c r="K670" s="64">
        <v>6895.06</v>
      </c>
      <c r="L670" s="63" t="s">
        <v>2566</v>
      </c>
      <c r="M670" s="65" t="str">
        <f t="shared" si="10"/>
        <v>MINERADORA PORTO FRANCO - MAPOVOADO NOVA VIDAMATERIAL</v>
      </c>
      <c r="N670" s="85" t="s">
        <v>15</v>
      </c>
    </row>
    <row r="671" spans="2:14" hidden="1" x14ac:dyDescent="0.25">
      <c r="B671" s="91">
        <v>46107</v>
      </c>
      <c r="C671" s="63">
        <v>1</v>
      </c>
      <c r="D671" s="63" t="s">
        <v>283</v>
      </c>
      <c r="E671" s="65" t="s">
        <v>215</v>
      </c>
      <c r="F671" s="65" t="s">
        <v>166</v>
      </c>
      <c r="G671" s="63" t="s">
        <v>824</v>
      </c>
      <c r="H671" s="63">
        <v>78</v>
      </c>
      <c r="I671" s="65" t="s">
        <v>169</v>
      </c>
      <c r="J671" s="63">
        <v>2716</v>
      </c>
      <c r="K671" s="64">
        <v>783.84</v>
      </c>
      <c r="L671" s="63" t="s">
        <v>2567</v>
      </c>
      <c r="M671" s="65" t="str">
        <f t="shared" si="10"/>
        <v>GRANORTECRUZAMENTO MA 201/202 (METROPOLITANA)PULMÃOZINHO</v>
      </c>
      <c r="N671" s="85" t="s">
        <v>108</v>
      </c>
    </row>
    <row r="672" spans="2:14" x14ac:dyDescent="0.25">
      <c r="B672" s="91">
        <v>46107</v>
      </c>
      <c r="C672" s="63">
        <v>1</v>
      </c>
      <c r="D672" s="63" t="s">
        <v>283</v>
      </c>
      <c r="E672" s="65" t="s">
        <v>215</v>
      </c>
      <c r="F672" s="65" t="s">
        <v>166</v>
      </c>
      <c r="G672" s="63" t="s">
        <v>2123</v>
      </c>
      <c r="H672" s="63">
        <v>60</v>
      </c>
      <c r="I672" s="65" t="s">
        <v>169</v>
      </c>
      <c r="J672" s="63">
        <v>2672</v>
      </c>
      <c r="K672" s="64">
        <v>593.17999999999995</v>
      </c>
      <c r="L672" s="63" t="s">
        <v>2568</v>
      </c>
      <c r="M672" s="65" t="str">
        <f t="shared" si="10"/>
        <v>GRANORTEVIADUTO DO CAFEPULMÃOZINHO</v>
      </c>
      <c r="N672" s="85" t="s">
        <v>2854</v>
      </c>
    </row>
    <row r="673" spans="2:14" hidden="1" x14ac:dyDescent="0.25">
      <c r="B673" s="91">
        <v>46107</v>
      </c>
      <c r="C673" s="63">
        <v>1</v>
      </c>
      <c r="D673" s="63" t="s">
        <v>183</v>
      </c>
      <c r="E673" s="65" t="s">
        <v>184</v>
      </c>
      <c r="F673" s="65" t="s">
        <v>166</v>
      </c>
      <c r="G673" s="63" t="s">
        <v>111</v>
      </c>
      <c r="H673" s="63">
        <v>79</v>
      </c>
      <c r="I673" s="65" t="s">
        <v>169</v>
      </c>
      <c r="J673" s="63">
        <v>2596</v>
      </c>
      <c r="K673" s="64">
        <v>758.81</v>
      </c>
      <c r="L673" s="63" t="s">
        <v>2569</v>
      </c>
      <c r="M673" s="65" t="str">
        <f t="shared" si="10"/>
        <v>GRANORTEBEIRA RIOPULMÃOZINHO</v>
      </c>
      <c r="N673" s="85" t="s">
        <v>111</v>
      </c>
    </row>
    <row r="674" spans="2:14" hidden="1" x14ac:dyDescent="0.25">
      <c r="B674" s="91">
        <v>46107</v>
      </c>
      <c r="C674" s="63">
        <v>1</v>
      </c>
      <c r="D674" s="63" t="s">
        <v>183</v>
      </c>
      <c r="E674" s="65" t="s">
        <v>184</v>
      </c>
      <c r="F674" s="65" t="s">
        <v>166</v>
      </c>
      <c r="G674" s="63" t="s">
        <v>111</v>
      </c>
      <c r="H674" s="63">
        <v>79</v>
      </c>
      <c r="I674" s="65" t="s">
        <v>169</v>
      </c>
      <c r="J674" s="63">
        <v>263</v>
      </c>
      <c r="K674" s="64">
        <v>768.75</v>
      </c>
      <c r="L674" s="63" t="s">
        <v>2570</v>
      </c>
      <c r="M674" s="65" t="str">
        <f t="shared" si="10"/>
        <v>GRANORTEBEIRA RIOPULMÃOZINHO</v>
      </c>
      <c r="N674" s="85" t="s">
        <v>111</v>
      </c>
    </row>
    <row r="675" spans="2:14" hidden="1" x14ac:dyDescent="0.25">
      <c r="B675" s="91">
        <v>46107</v>
      </c>
      <c r="C675" s="63">
        <v>1</v>
      </c>
      <c r="D675" s="63" t="s">
        <v>210</v>
      </c>
      <c r="E675" s="65" t="s">
        <v>211</v>
      </c>
      <c r="F675" s="65" t="s">
        <v>163</v>
      </c>
      <c r="G675" s="63" t="s">
        <v>164</v>
      </c>
      <c r="H675" s="63">
        <v>52</v>
      </c>
      <c r="I675" s="65" t="s">
        <v>165</v>
      </c>
      <c r="J675" s="63">
        <v>4906</v>
      </c>
      <c r="K675" s="64">
        <v>943.91</v>
      </c>
      <c r="L675" s="63" t="s">
        <v>2571</v>
      </c>
      <c r="M675" s="65" t="str">
        <f t="shared" si="10"/>
        <v>BRASIL MINERACAOUA SAO LUISPÓ DE BRITA</v>
      </c>
      <c r="N675" s="85" t="s">
        <v>224</v>
      </c>
    </row>
    <row r="676" spans="2:14" hidden="1" x14ac:dyDescent="0.25">
      <c r="B676" s="91">
        <v>46107</v>
      </c>
      <c r="C676" s="63">
        <v>1</v>
      </c>
      <c r="D676" s="63" t="s">
        <v>210</v>
      </c>
      <c r="E676" s="65" t="s">
        <v>211</v>
      </c>
      <c r="F676" s="65" t="s">
        <v>163</v>
      </c>
      <c r="G676" s="63" t="s">
        <v>164</v>
      </c>
      <c r="H676" s="63">
        <v>52</v>
      </c>
      <c r="I676" s="65" t="s">
        <v>165</v>
      </c>
      <c r="J676" s="63">
        <v>4932</v>
      </c>
      <c r="K676" s="64">
        <v>948.92</v>
      </c>
      <c r="L676" s="63" t="s">
        <v>2572</v>
      </c>
      <c r="M676" s="65" t="str">
        <f t="shared" si="10"/>
        <v>BRASIL MINERACAOUA SAO LUISPÓ DE BRITA</v>
      </c>
      <c r="N676" s="85" t="s">
        <v>224</v>
      </c>
    </row>
    <row r="677" spans="2:14" hidden="1" x14ac:dyDescent="0.25">
      <c r="B677" s="91">
        <v>46107</v>
      </c>
      <c r="C677" s="63">
        <v>1</v>
      </c>
      <c r="D677" s="63" t="s">
        <v>210</v>
      </c>
      <c r="E677" s="65" t="s">
        <v>211</v>
      </c>
      <c r="F677" s="65" t="s">
        <v>163</v>
      </c>
      <c r="G677" s="63" t="s">
        <v>164</v>
      </c>
      <c r="H677" s="63">
        <v>52</v>
      </c>
      <c r="I677" s="65" t="s">
        <v>165</v>
      </c>
      <c r="J677" s="63">
        <v>4812</v>
      </c>
      <c r="K677" s="64">
        <v>925.83</v>
      </c>
      <c r="L677" s="63" t="s">
        <v>2573</v>
      </c>
      <c r="M677" s="65" t="str">
        <f t="shared" si="10"/>
        <v>BRASIL MINERACAOUA SAO LUISPÓ DE BRITA</v>
      </c>
      <c r="N677" s="85" t="s">
        <v>224</v>
      </c>
    </row>
    <row r="678" spans="2:14" hidden="1" x14ac:dyDescent="0.25">
      <c r="B678" s="91">
        <v>46107</v>
      </c>
      <c r="C678" s="63">
        <v>1</v>
      </c>
      <c r="D678" s="63" t="s">
        <v>181</v>
      </c>
      <c r="E678" s="65" t="s">
        <v>182</v>
      </c>
      <c r="F678" s="65" t="s">
        <v>166</v>
      </c>
      <c r="G678" s="63" t="s">
        <v>824</v>
      </c>
      <c r="H678" s="63">
        <v>78</v>
      </c>
      <c r="I678" s="65" t="s">
        <v>169</v>
      </c>
      <c r="J678" s="63">
        <v>2532</v>
      </c>
      <c r="K678" s="64">
        <v>730.74</v>
      </c>
      <c r="L678" s="63" t="s">
        <v>2574</v>
      </c>
      <c r="M678" s="65" t="str">
        <f t="shared" si="10"/>
        <v>GRANORTECRUZAMENTO MA 201/202 (METROPOLITANA)PULMÃOZINHO</v>
      </c>
      <c r="N678" s="85" t="s">
        <v>108</v>
      </c>
    </row>
    <row r="679" spans="2:14" hidden="1" x14ac:dyDescent="0.25">
      <c r="B679" s="91">
        <v>46107</v>
      </c>
      <c r="C679" s="63">
        <v>1</v>
      </c>
      <c r="D679" s="63" t="s">
        <v>181</v>
      </c>
      <c r="E679" s="65" t="s">
        <v>182</v>
      </c>
      <c r="F679" s="65" t="s">
        <v>166</v>
      </c>
      <c r="G679" s="63" t="s">
        <v>824</v>
      </c>
      <c r="H679" s="63">
        <v>78</v>
      </c>
      <c r="I679" s="65" t="s">
        <v>169</v>
      </c>
      <c r="J679" s="63">
        <v>2646</v>
      </c>
      <c r="K679" s="64">
        <v>763.64</v>
      </c>
      <c r="L679" s="63" t="s">
        <v>2575</v>
      </c>
      <c r="M679" s="65" t="str">
        <f t="shared" si="10"/>
        <v>GRANORTECRUZAMENTO MA 201/202 (METROPOLITANA)PULMÃOZINHO</v>
      </c>
      <c r="N679" s="85" t="s">
        <v>108</v>
      </c>
    </row>
    <row r="680" spans="2:14" hidden="1" x14ac:dyDescent="0.25">
      <c r="B680" s="91">
        <v>46107</v>
      </c>
      <c r="C680" s="63">
        <v>1</v>
      </c>
      <c r="D680" s="63" t="s">
        <v>186</v>
      </c>
      <c r="E680" s="65" t="s">
        <v>187</v>
      </c>
      <c r="F680" s="65" t="s">
        <v>166</v>
      </c>
      <c r="G680" s="63" t="s">
        <v>164</v>
      </c>
      <c r="H680" s="63">
        <v>58</v>
      </c>
      <c r="I680" s="65" t="s">
        <v>165</v>
      </c>
      <c r="J680" s="63">
        <v>5162</v>
      </c>
      <c r="K680" s="64">
        <v>1107.77</v>
      </c>
      <c r="L680" s="63" t="s">
        <v>2576</v>
      </c>
      <c r="M680" s="65" t="str">
        <f t="shared" si="10"/>
        <v>GRANORTEUA SAO LUISPÓ DE BRITA</v>
      </c>
      <c r="N680" s="85" t="s">
        <v>224</v>
      </c>
    </row>
    <row r="681" spans="2:14" hidden="1" x14ac:dyDescent="0.25">
      <c r="B681" s="91">
        <v>46107</v>
      </c>
      <c r="C681" s="63">
        <v>1</v>
      </c>
      <c r="D681" s="63" t="s">
        <v>186</v>
      </c>
      <c r="E681" s="65" t="s">
        <v>187</v>
      </c>
      <c r="F681" s="65" t="s">
        <v>166</v>
      </c>
      <c r="G681" s="63" t="s">
        <v>164</v>
      </c>
      <c r="H681" s="63">
        <v>58</v>
      </c>
      <c r="I681" s="65" t="s">
        <v>175</v>
      </c>
      <c r="J681" s="63">
        <v>5108</v>
      </c>
      <c r="K681" s="64">
        <v>1096.18</v>
      </c>
      <c r="L681" s="63" t="s">
        <v>2577</v>
      </c>
      <c r="M681" s="65" t="str">
        <f t="shared" si="10"/>
        <v>GRANORTEUA SAO LUISBRITA 0</v>
      </c>
      <c r="N681" s="85" t="s">
        <v>224</v>
      </c>
    </row>
    <row r="682" spans="2:14" hidden="1" x14ac:dyDescent="0.25">
      <c r="B682" s="91">
        <v>46107</v>
      </c>
      <c r="C682" s="63">
        <v>1</v>
      </c>
      <c r="D682" s="63" t="s">
        <v>275</v>
      </c>
      <c r="E682" s="65" t="s">
        <v>217</v>
      </c>
      <c r="F682" s="65" t="s">
        <v>166</v>
      </c>
      <c r="G682" s="63" t="s">
        <v>164</v>
      </c>
      <c r="H682" s="63">
        <v>58</v>
      </c>
      <c r="I682" s="65" t="s">
        <v>165</v>
      </c>
      <c r="J682" s="63">
        <v>4786</v>
      </c>
      <c r="K682" s="64">
        <v>1027.08</v>
      </c>
      <c r="L682" s="63" t="s">
        <v>2578</v>
      </c>
      <c r="M682" s="65" t="str">
        <f t="shared" si="10"/>
        <v>GRANORTEUA SAO LUISPÓ DE BRITA</v>
      </c>
      <c r="N682" s="85" t="s">
        <v>224</v>
      </c>
    </row>
    <row r="683" spans="2:14" hidden="1" x14ac:dyDescent="0.25">
      <c r="B683" s="91">
        <v>46107</v>
      </c>
      <c r="C683" s="63">
        <v>1</v>
      </c>
      <c r="D683" s="63" t="s">
        <v>275</v>
      </c>
      <c r="E683" s="65" t="s">
        <v>217</v>
      </c>
      <c r="F683" s="65" t="s">
        <v>166</v>
      </c>
      <c r="G683" s="63" t="s">
        <v>164</v>
      </c>
      <c r="H683" s="63">
        <v>58</v>
      </c>
      <c r="I683" s="65" t="s">
        <v>165</v>
      </c>
      <c r="J683" s="63">
        <v>4786</v>
      </c>
      <c r="K683" s="64">
        <v>1027.08</v>
      </c>
      <c r="L683" s="63" t="s">
        <v>2579</v>
      </c>
      <c r="M683" s="65" t="str">
        <f t="shared" si="10"/>
        <v>GRANORTEUA SAO LUISPÓ DE BRITA</v>
      </c>
      <c r="N683" s="85" t="s">
        <v>224</v>
      </c>
    </row>
    <row r="684" spans="2:14" hidden="1" x14ac:dyDescent="0.25">
      <c r="B684" s="91">
        <v>46107</v>
      </c>
      <c r="C684" s="63">
        <v>1</v>
      </c>
      <c r="D684" s="63" t="s">
        <v>275</v>
      </c>
      <c r="E684" s="65" t="s">
        <v>217</v>
      </c>
      <c r="F684" s="65" t="s">
        <v>166</v>
      </c>
      <c r="G684" s="63" t="s">
        <v>164</v>
      </c>
      <c r="H684" s="63">
        <v>58</v>
      </c>
      <c r="I684" s="65" t="s">
        <v>165</v>
      </c>
      <c r="J684" s="63">
        <v>462</v>
      </c>
      <c r="K684" s="64">
        <v>991.45</v>
      </c>
      <c r="L684" s="63" t="s">
        <v>2580</v>
      </c>
      <c r="M684" s="65" t="str">
        <f t="shared" si="10"/>
        <v>GRANORTEUA SAO LUISPÓ DE BRITA</v>
      </c>
      <c r="N684" s="85" t="s">
        <v>224</v>
      </c>
    </row>
    <row r="685" spans="2:14" hidden="1" x14ac:dyDescent="0.25">
      <c r="B685" s="91">
        <v>46107</v>
      </c>
      <c r="C685" s="63">
        <v>1</v>
      </c>
      <c r="D685" s="63" t="s">
        <v>286</v>
      </c>
      <c r="E685" s="65" t="s">
        <v>343</v>
      </c>
      <c r="F685" s="65" t="s">
        <v>166</v>
      </c>
      <c r="G685" s="63" t="s">
        <v>164</v>
      </c>
      <c r="H685" s="63">
        <v>58</v>
      </c>
      <c r="I685" s="65" t="s">
        <v>169</v>
      </c>
      <c r="J685" s="63">
        <v>4828</v>
      </c>
      <c r="K685" s="64">
        <v>1036.0899999999999</v>
      </c>
      <c r="L685" s="63" t="s">
        <v>2581</v>
      </c>
      <c r="M685" s="65" t="str">
        <f t="shared" si="10"/>
        <v>GRANORTEUA SAO LUISPULMÃOZINHO</v>
      </c>
      <c r="N685" s="85" t="s">
        <v>224</v>
      </c>
    </row>
    <row r="686" spans="2:14" hidden="1" x14ac:dyDescent="0.25">
      <c r="B686" s="91">
        <v>46107</v>
      </c>
      <c r="C686" s="63">
        <v>1</v>
      </c>
      <c r="D686" s="63" t="s">
        <v>286</v>
      </c>
      <c r="E686" s="65" t="s">
        <v>343</v>
      </c>
      <c r="F686" s="65" t="s">
        <v>166</v>
      </c>
      <c r="G686" s="63" t="s">
        <v>164</v>
      </c>
      <c r="H686" s="63">
        <v>58</v>
      </c>
      <c r="I686" s="65" t="s">
        <v>169</v>
      </c>
      <c r="J686" s="63">
        <v>4688</v>
      </c>
      <c r="K686" s="64">
        <v>1006.04</v>
      </c>
      <c r="L686" s="63" t="s">
        <v>2582</v>
      </c>
      <c r="M686" s="65" t="str">
        <f t="shared" si="10"/>
        <v>GRANORTEUA SAO LUISPULMÃOZINHO</v>
      </c>
      <c r="N686" s="85" t="s">
        <v>224</v>
      </c>
    </row>
    <row r="687" spans="2:14" hidden="1" x14ac:dyDescent="0.25">
      <c r="B687" s="91">
        <v>46107</v>
      </c>
      <c r="C687" s="63">
        <v>1</v>
      </c>
      <c r="D687" s="63" t="s">
        <v>286</v>
      </c>
      <c r="E687" s="65" t="s">
        <v>343</v>
      </c>
      <c r="F687" s="65" t="s">
        <v>166</v>
      </c>
      <c r="G687" s="63" t="s">
        <v>164</v>
      </c>
      <c r="H687" s="63">
        <v>58</v>
      </c>
      <c r="I687" s="65" t="s">
        <v>169</v>
      </c>
      <c r="J687" s="63">
        <v>467</v>
      </c>
      <c r="K687" s="64">
        <v>1002.18</v>
      </c>
      <c r="L687" s="63" t="s">
        <v>2583</v>
      </c>
      <c r="M687" s="65" t="str">
        <f t="shared" si="10"/>
        <v>GRANORTEUA SAO LUISPULMÃOZINHO</v>
      </c>
      <c r="N687" s="85" t="s">
        <v>224</v>
      </c>
    </row>
    <row r="688" spans="2:14" hidden="1" x14ac:dyDescent="0.25">
      <c r="B688" s="91">
        <v>46107</v>
      </c>
      <c r="C688" s="63">
        <v>1</v>
      </c>
      <c r="D688" s="63" t="s">
        <v>213</v>
      </c>
      <c r="E688" s="65" t="s">
        <v>178</v>
      </c>
      <c r="F688" s="65" t="s">
        <v>166</v>
      </c>
      <c r="G688" s="63" t="s">
        <v>164</v>
      </c>
      <c r="H688" s="63">
        <v>58</v>
      </c>
      <c r="I688" s="65" t="s">
        <v>165</v>
      </c>
      <c r="J688" s="63">
        <v>5066</v>
      </c>
      <c r="K688" s="64">
        <v>1087.1600000000001</v>
      </c>
      <c r="L688" s="63" t="s">
        <v>2584</v>
      </c>
      <c r="M688" s="65" t="str">
        <f t="shared" si="10"/>
        <v>GRANORTEUA SAO LUISPÓ DE BRITA</v>
      </c>
      <c r="N688" s="85" t="s">
        <v>224</v>
      </c>
    </row>
    <row r="689" spans="2:14" hidden="1" x14ac:dyDescent="0.25">
      <c r="B689" s="91">
        <v>46107</v>
      </c>
      <c r="C689" s="63">
        <v>1</v>
      </c>
      <c r="D689" s="63" t="s">
        <v>213</v>
      </c>
      <c r="E689" s="65" t="s">
        <v>178</v>
      </c>
      <c r="F689" s="65" t="s">
        <v>166</v>
      </c>
      <c r="G689" s="63" t="s">
        <v>164</v>
      </c>
      <c r="H689" s="63">
        <v>58</v>
      </c>
      <c r="I689" s="65" t="s">
        <v>165</v>
      </c>
      <c r="J689" s="63">
        <v>5038</v>
      </c>
      <c r="K689" s="64">
        <v>1081.1500000000001</v>
      </c>
      <c r="L689" s="63" t="s">
        <v>2585</v>
      </c>
      <c r="M689" s="65" t="str">
        <f t="shared" si="10"/>
        <v>GRANORTEUA SAO LUISPÓ DE BRITA</v>
      </c>
      <c r="N689" s="85" t="s">
        <v>224</v>
      </c>
    </row>
    <row r="690" spans="2:14" hidden="1" x14ac:dyDescent="0.25">
      <c r="B690" s="91">
        <v>46107</v>
      </c>
      <c r="C690" s="63">
        <v>1</v>
      </c>
      <c r="D690" s="63" t="s">
        <v>1948</v>
      </c>
      <c r="E690" s="65" t="s">
        <v>1949</v>
      </c>
      <c r="F690" s="65" t="s">
        <v>166</v>
      </c>
      <c r="G690" s="63" t="s">
        <v>164</v>
      </c>
      <c r="H690" s="63">
        <v>58</v>
      </c>
      <c r="I690" s="65" t="s">
        <v>165</v>
      </c>
      <c r="J690" s="63">
        <v>491</v>
      </c>
      <c r="K690" s="64">
        <v>1053.69</v>
      </c>
      <c r="L690" s="63" t="s">
        <v>2586</v>
      </c>
      <c r="M690" s="65" t="str">
        <f t="shared" si="10"/>
        <v>GRANORTEUA SAO LUISPÓ DE BRITA</v>
      </c>
      <c r="N690" s="85" t="s">
        <v>224</v>
      </c>
    </row>
    <row r="691" spans="2:14" hidden="1" x14ac:dyDescent="0.25">
      <c r="B691" s="91">
        <v>46107</v>
      </c>
      <c r="C691" s="63">
        <v>1</v>
      </c>
      <c r="D691" s="63" t="s">
        <v>1948</v>
      </c>
      <c r="E691" s="65" t="s">
        <v>1949</v>
      </c>
      <c r="F691" s="65" t="s">
        <v>163</v>
      </c>
      <c r="G691" s="63" t="s">
        <v>164</v>
      </c>
      <c r="H691" s="63">
        <v>52</v>
      </c>
      <c r="I691" s="65" t="s">
        <v>165</v>
      </c>
      <c r="J691" s="63">
        <v>475</v>
      </c>
      <c r="K691" s="64">
        <v>913.9</v>
      </c>
      <c r="L691" s="63" t="s">
        <v>2587</v>
      </c>
      <c r="M691" s="65" t="str">
        <f t="shared" si="10"/>
        <v>BRASIL MINERACAOUA SAO LUISPÓ DE BRITA</v>
      </c>
      <c r="N691" s="85" t="s">
        <v>224</v>
      </c>
    </row>
    <row r="692" spans="2:14" hidden="1" x14ac:dyDescent="0.25">
      <c r="B692" s="91">
        <v>46107</v>
      </c>
      <c r="C692" s="63">
        <v>1</v>
      </c>
      <c r="D692" s="63" t="s">
        <v>1948</v>
      </c>
      <c r="E692" s="65" t="s">
        <v>1949</v>
      </c>
      <c r="F692" s="65" t="s">
        <v>163</v>
      </c>
      <c r="G692" s="63" t="s">
        <v>164</v>
      </c>
      <c r="H692" s="63">
        <v>52</v>
      </c>
      <c r="I692" s="65" t="s">
        <v>175</v>
      </c>
      <c r="J692" s="63">
        <v>472</v>
      </c>
      <c r="K692" s="64">
        <v>908.13</v>
      </c>
      <c r="L692" s="63" t="s">
        <v>2588</v>
      </c>
      <c r="M692" s="65" t="str">
        <f t="shared" si="10"/>
        <v>BRASIL MINERACAOUA SAO LUISBRITA 0</v>
      </c>
      <c r="N692" s="85" t="s">
        <v>224</v>
      </c>
    </row>
    <row r="693" spans="2:14" hidden="1" x14ac:dyDescent="0.25">
      <c r="B693" s="91">
        <v>46107</v>
      </c>
      <c r="C693" s="63">
        <v>1</v>
      </c>
      <c r="D693" s="63" t="s">
        <v>192</v>
      </c>
      <c r="E693" s="65" t="s">
        <v>287</v>
      </c>
      <c r="F693" s="65" t="s">
        <v>166</v>
      </c>
      <c r="G693" s="63" t="s">
        <v>164</v>
      </c>
      <c r="H693" s="63">
        <v>58</v>
      </c>
      <c r="I693" s="65" t="s">
        <v>165</v>
      </c>
      <c r="J693" s="63">
        <v>465</v>
      </c>
      <c r="K693" s="64">
        <v>997.89</v>
      </c>
      <c r="L693" s="63" t="s">
        <v>2589</v>
      </c>
      <c r="M693" s="65" t="str">
        <f t="shared" si="10"/>
        <v>GRANORTEUA SAO LUISPÓ DE BRITA</v>
      </c>
      <c r="N693" s="85" t="s">
        <v>224</v>
      </c>
    </row>
    <row r="694" spans="2:14" hidden="1" x14ac:dyDescent="0.25">
      <c r="B694" s="91">
        <v>46107</v>
      </c>
      <c r="C694" s="63">
        <v>1</v>
      </c>
      <c r="D694" s="63" t="s">
        <v>192</v>
      </c>
      <c r="E694" s="65" t="s">
        <v>287</v>
      </c>
      <c r="F694" s="65" t="s">
        <v>163</v>
      </c>
      <c r="G694" s="63" t="s">
        <v>164</v>
      </c>
      <c r="H694" s="63">
        <v>52</v>
      </c>
      <c r="I694" s="65" t="s">
        <v>175</v>
      </c>
      <c r="J694" s="63">
        <v>4562</v>
      </c>
      <c r="K694" s="64">
        <v>877.73</v>
      </c>
      <c r="L694" s="63" t="s">
        <v>2590</v>
      </c>
      <c r="M694" s="65" t="str">
        <f t="shared" si="10"/>
        <v>BRASIL MINERACAOUA SAO LUISBRITA 0</v>
      </c>
      <c r="N694" s="85" t="s">
        <v>224</v>
      </c>
    </row>
    <row r="695" spans="2:14" hidden="1" x14ac:dyDescent="0.25">
      <c r="B695" s="91">
        <v>46108</v>
      </c>
      <c r="C695" s="63">
        <v>1</v>
      </c>
      <c r="D695" s="63" t="s">
        <v>188</v>
      </c>
      <c r="E695" s="65" t="s">
        <v>189</v>
      </c>
      <c r="F695" s="65" t="s">
        <v>166</v>
      </c>
      <c r="G695" s="63" t="s">
        <v>164</v>
      </c>
      <c r="H695" s="63">
        <v>58</v>
      </c>
      <c r="I695" s="65" t="s">
        <v>175</v>
      </c>
      <c r="J695" s="63">
        <v>7878</v>
      </c>
      <c r="K695" s="64">
        <v>1690.62</v>
      </c>
      <c r="L695" s="63" t="s">
        <v>2591</v>
      </c>
      <c r="M695" s="65" t="str">
        <f t="shared" si="10"/>
        <v>GRANORTEUA SAO LUISBRITA 0</v>
      </c>
      <c r="N695" s="85" t="s">
        <v>224</v>
      </c>
    </row>
    <row r="696" spans="2:14" hidden="1" x14ac:dyDescent="0.25">
      <c r="B696" s="91">
        <v>46108</v>
      </c>
      <c r="C696" s="63">
        <v>1</v>
      </c>
      <c r="D696" s="63" t="s">
        <v>170</v>
      </c>
      <c r="E696" s="65" t="s">
        <v>171</v>
      </c>
      <c r="F696" s="65" t="s">
        <v>166</v>
      </c>
      <c r="G696" s="63" t="s">
        <v>824</v>
      </c>
      <c r="H696" s="63">
        <v>78</v>
      </c>
      <c r="I696" s="65" t="s">
        <v>169</v>
      </c>
      <c r="J696" s="63">
        <v>2514</v>
      </c>
      <c r="K696" s="64">
        <v>725.54</v>
      </c>
      <c r="L696" s="63" t="s">
        <v>2592</v>
      </c>
      <c r="M696" s="65" t="str">
        <f t="shared" si="10"/>
        <v>GRANORTECRUZAMENTO MA 201/202 (METROPOLITANA)PULMÃOZINHO</v>
      </c>
      <c r="N696" s="85" t="s">
        <v>108</v>
      </c>
    </row>
    <row r="697" spans="2:14" hidden="1" x14ac:dyDescent="0.25">
      <c r="B697" s="91">
        <v>46108</v>
      </c>
      <c r="C697" s="63">
        <v>1</v>
      </c>
      <c r="D697" s="63" t="s">
        <v>181</v>
      </c>
      <c r="E697" s="65" t="s">
        <v>182</v>
      </c>
      <c r="F697" s="65" t="s">
        <v>166</v>
      </c>
      <c r="G697" s="63" t="s">
        <v>824</v>
      </c>
      <c r="H697" s="63">
        <v>78</v>
      </c>
      <c r="I697" s="65" t="s">
        <v>169</v>
      </c>
      <c r="J697" s="63">
        <v>2554</v>
      </c>
      <c r="K697" s="64">
        <v>737.08</v>
      </c>
      <c r="L697" s="63" t="s">
        <v>2593</v>
      </c>
      <c r="M697" s="65" t="str">
        <f t="shared" si="10"/>
        <v>GRANORTECRUZAMENTO MA 201/202 (METROPOLITANA)PULMÃOZINHO</v>
      </c>
      <c r="N697" s="85" t="s">
        <v>108</v>
      </c>
    </row>
    <row r="698" spans="2:14" hidden="1" x14ac:dyDescent="0.25">
      <c r="B698" s="91">
        <v>46108</v>
      </c>
      <c r="C698" s="63">
        <v>1</v>
      </c>
      <c r="D698" s="63" t="s">
        <v>196</v>
      </c>
      <c r="E698" s="65" t="s">
        <v>197</v>
      </c>
      <c r="F698" s="65" t="s">
        <v>163</v>
      </c>
      <c r="G698" s="63" t="s">
        <v>164</v>
      </c>
      <c r="H698" s="63">
        <v>52</v>
      </c>
      <c r="I698" s="65" t="s">
        <v>175</v>
      </c>
      <c r="J698" s="63">
        <v>6904</v>
      </c>
      <c r="K698" s="64">
        <v>1328.33</v>
      </c>
      <c r="L698" s="63" t="s">
        <v>2594</v>
      </c>
      <c r="M698" s="65" t="str">
        <f t="shared" si="10"/>
        <v>BRASIL MINERACAOUA SAO LUISBRITA 0</v>
      </c>
      <c r="N698" s="85" t="s">
        <v>224</v>
      </c>
    </row>
    <row r="699" spans="2:14" hidden="1" x14ac:dyDescent="0.25">
      <c r="B699" s="91">
        <v>46108</v>
      </c>
      <c r="C699" s="63">
        <v>1</v>
      </c>
      <c r="D699" s="63" t="s">
        <v>289</v>
      </c>
      <c r="E699" s="65" t="s">
        <v>290</v>
      </c>
      <c r="F699" s="65" t="s">
        <v>291</v>
      </c>
      <c r="G699" s="63" t="s">
        <v>2595</v>
      </c>
      <c r="H699" s="63">
        <v>203</v>
      </c>
      <c r="I699" s="65" t="s">
        <v>172</v>
      </c>
      <c r="J699" s="63">
        <v>4032</v>
      </c>
      <c r="K699" s="64">
        <v>3028.44</v>
      </c>
      <c r="L699" s="63" t="s">
        <v>2596</v>
      </c>
      <c r="M699" s="65" t="str">
        <f t="shared" si="10"/>
        <v>MINERADORA PORTO FRANCO - MAVALE - PONTE DO 40 ACAILANDIABICA CORRIDA</v>
      </c>
      <c r="N699" s="85" t="s">
        <v>15</v>
      </c>
    </row>
    <row r="700" spans="2:14" hidden="1" x14ac:dyDescent="0.25">
      <c r="B700" s="91">
        <v>46108</v>
      </c>
      <c r="C700" s="63">
        <v>1</v>
      </c>
      <c r="D700" s="63" t="s">
        <v>202</v>
      </c>
      <c r="E700" s="65" t="s">
        <v>214</v>
      </c>
      <c r="F700" s="65" t="s">
        <v>163</v>
      </c>
      <c r="G700" s="63" t="s">
        <v>164</v>
      </c>
      <c r="H700" s="63">
        <v>52</v>
      </c>
      <c r="I700" s="65" t="s">
        <v>175</v>
      </c>
      <c r="J700" s="63">
        <v>6952</v>
      </c>
      <c r="K700" s="64">
        <v>1337.56</v>
      </c>
      <c r="L700" s="63" t="s">
        <v>2597</v>
      </c>
      <c r="M700" s="65" t="str">
        <f t="shared" si="10"/>
        <v>BRASIL MINERACAOUA SAO LUISBRITA 0</v>
      </c>
      <c r="N700" s="85" t="s">
        <v>224</v>
      </c>
    </row>
    <row r="701" spans="2:14" hidden="1" x14ac:dyDescent="0.25">
      <c r="B701" s="91">
        <v>46108</v>
      </c>
      <c r="C701" s="63">
        <v>1</v>
      </c>
      <c r="D701" s="63" t="s">
        <v>188</v>
      </c>
      <c r="E701" s="65" t="s">
        <v>189</v>
      </c>
      <c r="F701" s="65" t="s">
        <v>166</v>
      </c>
      <c r="G701" s="63" t="s">
        <v>164</v>
      </c>
      <c r="H701" s="63">
        <v>58</v>
      </c>
      <c r="I701" s="65" t="s">
        <v>175</v>
      </c>
      <c r="J701" s="63">
        <v>475</v>
      </c>
      <c r="K701" s="64">
        <v>1019.35</v>
      </c>
      <c r="L701" s="63" t="s">
        <v>2598</v>
      </c>
      <c r="M701" s="65" t="str">
        <f t="shared" si="10"/>
        <v>GRANORTEUA SAO LUISBRITA 0</v>
      </c>
      <c r="N701" s="85" t="s">
        <v>224</v>
      </c>
    </row>
    <row r="702" spans="2:14" hidden="1" x14ac:dyDescent="0.25">
      <c r="B702" s="91">
        <v>46108</v>
      </c>
      <c r="C702" s="63">
        <v>1</v>
      </c>
      <c r="D702" s="63" t="s">
        <v>205</v>
      </c>
      <c r="E702" s="65" t="s">
        <v>206</v>
      </c>
      <c r="F702" s="65" t="s">
        <v>276</v>
      </c>
      <c r="G702" s="63" t="s">
        <v>2033</v>
      </c>
      <c r="H702" s="63">
        <v>323</v>
      </c>
      <c r="I702" s="65" t="s">
        <v>7</v>
      </c>
      <c r="J702" s="63">
        <v>538</v>
      </c>
      <c r="K702" s="64">
        <v>5560.77</v>
      </c>
      <c r="L702" s="63" t="s">
        <v>2599</v>
      </c>
      <c r="M702" s="65" t="str">
        <f t="shared" si="10"/>
        <v>MINERADORA PORTO FRANCOVALE KM 386MATERIAL</v>
      </c>
      <c r="N702" s="85" t="s">
        <v>15</v>
      </c>
    </row>
    <row r="703" spans="2:14" hidden="1" x14ac:dyDescent="0.25">
      <c r="B703" s="91">
        <v>46108</v>
      </c>
      <c r="C703" s="63">
        <v>1</v>
      </c>
      <c r="D703" s="63" t="s">
        <v>186</v>
      </c>
      <c r="E703" s="65" t="s">
        <v>187</v>
      </c>
      <c r="F703" s="65" t="s">
        <v>163</v>
      </c>
      <c r="G703" s="63" t="s">
        <v>164</v>
      </c>
      <c r="H703" s="63">
        <v>52</v>
      </c>
      <c r="I703" s="65" t="s">
        <v>165</v>
      </c>
      <c r="J703" s="63">
        <v>493</v>
      </c>
      <c r="K703" s="64">
        <v>948.53</v>
      </c>
      <c r="L703" s="63" t="s">
        <v>2600</v>
      </c>
      <c r="M703" s="65" t="str">
        <f t="shared" si="10"/>
        <v>BRASIL MINERACAOUA SAO LUISPÓ DE BRITA</v>
      </c>
      <c r="N703" s="85" t="s">
        <v>224</v>
      </c>
    </row>
    <row r="704" spans="2:14" hidden="1" x14ac:dyDescent="0.25">
      <c r="B704" s="91">
        <v>46108</v>
      </c>
      <c r="C704" s="63">
        <v>1</v>
      </c>
      <c r="D704" s="63" t="s">
        <v>186</v>
      </c>
      <c r="E704" s="65" t="s">
        <v>187</v>
      </c>
      <c r="F704" s="65" t="s">
        <v>163</v>
      </c>
      <c r="G704" s="63" t="s">
        <v>164</v>
      </c>
      <c r="H704" s="63">
        <v>52</v>
      </c>
      <c r="I704" s="65" t="s">
        <v>175</v>
      </c>
      <c r="J704" s="63">
        <v>6874</v>
      </c>
      <c r="K704" s="64">
        <v>1322.56</v>
      </c>
      <c r="L704" s="63" t="s">
        <v>2601</v>
      </c>
      <c r="M704" s="65" t="str">
        <f t="shared" si="10"/>
        <v>BRASIL MINERACAOUA SAO LUISBRITA 0</v>
      </c>
      <c r="N704" s="85" t="s">
        <v>224</v>
      </c>
    </row>
    <row r="705" spans="2:14" hidden="1" x14ac:dyDescent="0.25">
      <c r="B705" s="91">
        <v>46108</v>
      </c>
      <c r="C705" s="63">
        <v>1</v>
      </c>
      <c r="D705" s="63" t="s">
        <v>181</v>
      </c>
      <c r="E705" s="65" t="s">
        <v>182</v>
      </c>
      <c r="F705" s="65" t="s">
        <v>166</v>
      </c>
      <c r="G705" s="63" t="s">
        <v>824</v>
      </c>
      <c r="H705" s="63">
        <v>78</v>
      </c>
      <c r="I705" s="65" t="s">
        <v>169</v>
      </c>
      <c r="J705" s="63">
        <v>2526</v>
      </c>
      <c r="K705" s="64">
        <v>729</v>
      </c>
      <c r="L705" s="63" t="s">
        <v>2602</v>
      </c>
      <c r="M705" s="65" t="str">
        <f t="shared" si="10"/>
        <v>GRANORTECRUZAMENTO MA 201/202 (METROPOLITANA)PULMÃOZINHO</v>
      </c>
      <c r="N705" s="85" t="s">
        <v>108</v>
      </c>
    </row>
    <row r="706" spans="2:14" hidden="1" x14ac:dyDescent="0.25">
      <c r="B706" s="91">
        <v>46108</v>
      </c>
      <c r="C706" s="63">
        <v>1</v>
      </c>
      <c r="D706" s="63" t="s">
        <v>203</v>
      </c>
      <c r="E706" s="65" t="s">
        <v>204</v>
      </c>
      <c r="F706" s="65" t="s">
        <v>163</v>
      </c>
      <c r="G706" s="63" t="s">
        <v>164</v>
      </c>
      <c r="H706" s="63">
        <v>52</v>
      </c>
      <c r="I706" s="65" t="s">
        <v>165</v>
      </c>
      <c r="J706" s="63">
        <v>459</v>
      </c>
      <c r="K706" s="64">
        <v>883.12</v>
      </c>
      <c r="L706" s="63" t="s">
        <v>2603</v>
      </c>
      <c r="M706" s="65" t="str">
        <f t="shared" si="10"/>
        <v>BRASIL MINERACAOUA SAO LUISPÓ DE BRITA</v>
      </c>
      <c r="N706" s="85" t="s">
        <v>224</v>
      </c>
    </row>
    <row r="707" spans="2:14" hidden="1" x14ac:dyDescent="0.25">
      <c r="B707" s="91">
        <v>46108</v>
      </c>
      <c r="C707" s="63">
        <v>1</v>
      </c>
      <c r="D707" s="63" t="s">
        <v>208</v>
      </c>
      <c r="E707" s="65" t="s">
        <v>209</v>
      </c>
      <c r="F707" s="65" t="s">
        <v>163</v>
      </c>
      <c r="G707" s="63" t="s">
        <v>164</v>
      </c>
      <c r="H707" s="63">
        <v>52</v>
      </c>
      <c r="I707" s="65" t="s">
        <v>165</v>
      </c>
      <c r="J707" s="63">
        <v>450</v>
      </c>
      <c r="K707" s="64">
        <v>865.8</v>
      </c>
      <c r="L707" s="63" t="s">
        <v>2604</v>
      </c>
      <c r="M707" s="65" t="str">
        <f t="shared" si="10"/>
        <v>BRASIL MINERACAOUA SAO LUISPÓ DE BRITA</v>
      </c>
      <c r="N707" s="85" t="s">
        <v>224</v>
      </c>
    </row>
    <row r="708" spans="2:14" hidden="1" x14ac:dyDescent="0.25">
      <c r="B708" s="91">
        <v>46108</v>
      </c>
      <c r="C708" s="63">
        <v>1</v>
      </c>
      <c r="D708" s="63" t="s">
        <v>188</v>
      </c>
      <c r="E708" s="65" t="s">
        <v>189</v>
      </c>
      <c r="F708" s="65" t="s">
        <v>163</v>
      </c>
      <c r="G708" s="63" t="s">
        <v>164</v>
      </c>
      <c r="H708" s="63">
        <v>52</v>
      </c>
      <c r="I708" s="65" t="s">
        <v>175</v>
      </c>
      <c r="J708" s="63">
        <v>4644</v>
      </c>
      <c r="K708" s="64">
        <v>893.51</v>
      </c>
      <c r="L708" s="63" t="s">
        <v>2605</v>
      </c>
      <c r="M708" s="65" t="str">
        <f t="shared" si="10"/>
        <v>BRASIL MINERACAOUA SAO LUISBRITA 0</v>
      </c>
      <c r="N708" s="85" t="s">
        <v>224</v>
      </c>
    </row>
    <row r="709" spans="2:14" hidden="1" x14ac:dyDescent="0.25">
      <c r="B709" s="91">
        <v>46108</v>
      </c>
      <c r="C709" s="63">
        <v>1</v>
      </c>
      <c r="D709" s="63" t="s">
        <v>210</v>
      </c>
      <c r="E709" s="65" t="s">
        <v>211</v>
      </c>
      <c r="F709" s="65" t="s">
        <v>163</v>
      </c>
      <c r="G709" s="63" t="s">
        <v>164</v>
      </c>
      <c r="H709" s="63">
        <v>52</v>
      </c>
      <c r="I709" s="65" t="s">
        <v>165</v>
      </c>
      <c r="J709" s="63">
        <v>450</v>
      </c>
      <c r="K709" s="64">
        <v>865.8</v>
      </c>
      <c r="L709" s="63" t="s">
        <v>2606</v>
      </c>
      <c r="M709" s="65" t="str">
        <f t="shared" ref="M709:M772" si="11">_xlfn.CONCAT(F709&amp;G709&amp;I709)</f>
        <v>BRASIL MINERACAOUA SAO LUISPÓ DE BRITA</v>
      </c>
      <c r="N709" s="85" t="s">
        <v>224</v>
      </c>
    </row>
    <row r="710" spans="2:14" hidden="1" x14ac:dyDescent="0.25">
      <c r="B710" s="91">
        <v>46108</v>
      </c>
      <c r="C710" s="63">
        <v>1</v>
      </c>
      <c r="D710" s="63" t="s">
        <v>275</v>
      </c>
      <c r="E710" s="65" t="s">
        <v>217</v>
      </c>
      <c r="F710" s="65" t="s">
        <v>166</v>
      </c>
      <c r="G710" s="63" t="s">
        <v>164</v>
      </c>
      <c r="H710" s="63">
        <v>58</v>
      </c>
      <c r="I710" s="65" t="s">
        <v>165</v>
      </c>
      <c r="J710" s="63">
        <v>581</v>
      </c>
      <c r="K710" s="64">
        <v>1246.83</v>
      </c>
      <c r="L710" s="63" t="s">
        <v>2607</v>
      </c>
      <c r="M710" s="65" t="str">
        <f t="shared" si="11"/>
        <v>GRANORTEUA SAO LUISPÓ DE BRITA</v>
      </c>
      <c r="N710" s="85" t="s">
        <v>224</v>
      </c>
    </row>
    <row r="711" spans="2:14" hidden="1" x14ac:dyDescent="0.25">
      <c r="B711" s="91">
        <v>46108</v>
      </c>
      <c r="C711" s="63">
        <v>1</v>
      </c>
      <c r="D711" s="63" t="s">
        <v>275</v>
      </c>
      <c r="E711" s="65" t="s">
        <v>217</v>
      </c>
      <c r="F711" s="65" t="s">
        <v>163</v>
      </c>
      <c r="G711" s="63" t="s">
        <v>164</v>
      </c>
      <c r="H711" s="63">
        <v>52</v>
      </c>
      <c r="I711" s="65" t="s">
        <v>175</v>
      </c>
      <c r="J711" s="63">
        <v>4602</v>
      </c>
      <c r="K711" s="64">
        <v>885.42</v>
      </c>
      <c r="L711" s="63" t="s">
        <v>2608</v>
      </c>
      <c r="M711" s="65" t="str">
        <f t="shared" si="11"/>
        <v>BRASIL MINERACAOUA SAO LUISBRITA 0</v>
      </c>
      <c r="N711" s="85" t="s">
        <v>224</v>
      </c>
    </row>
    <row r="712" spans="2:14" hidden="1" x14ac:dyDescent="0.25">
      <c r="B712" s="91">
        <v>46108</v>
      </c>
      <c r="C712" s="63">
        <v>1</v>
      </c>
      <c r="D712" s="63" t="s">
        <v>202</v>
      </c>
      <c r="E712" s="65" t="s">
        <v>214</v>
      </c>
      <c r="F712" s="65" t="s">
        <v>163</v>
      </c>
      <c r="G712" s="63" t="s">
        <v>164</v>
      </c>
      <c r="H712" s="63">
        <v>52</v>
      </c>
      <c r="I712" s="65" t="s">
        <v>165</v>
      </c>
      <c r="J712" s="63">
        <v>4632</v>
      </c>
      <c r="K712" s="64">
        <v>891.2</v>
      </c>
      <c r="L712" s="63" t="s">
        <v>2609</v>
      </c>
      <c r="M712" s="65" t="str">
        <f t="shared" si="11"/>
        <v>BRASIL MINERACAOUA SAO LUISPÓ DE BRITA</v>
      </c>
      <c r="N712" s="85" t="s">
        <v>224</v>
      </c>
    </row>
    <row r="713" spans="2:14" hidden="1" x14ac:dyDescent="0.25">
      <c r="B713" s="91">
        <v>46108</v>
      </c>
      <c r="C713" s="63">
        <v>1</v>
      </c>
      <c r="D713" s="63" t="s">
        <v>286</v>
      </c>
      <c r="E713" s="65" t="s">
        <v>343</v>
      </c>
      <c r="F713" s="65" t="s">
        <v>166</v>
      </c>
      <c r="G713" s="63" t="s">
        <v>164</v>
      </c>
      <c r="H713" s="63">
        <v>58</v>
      </c>
      <c r="I713" s="65" t="s">
        <v>169</v>
      </c>
      <c r="J713" s="63">
        <v>485</v>
      </c>
      <c r="K713" s="64">
        <v>1040.81</v>
      </c>
      <c r="L713" s="63" t="s">
        <v>2610</v>
      </c>
      <c r="M713" s="65" t="str">
        <f t="shared" si="11"/>
        <v>GRANORTEUA SAO LUISPULMÃOZINHO</v>
      </c>
      <c r="N713" s="85" t="s">
        <v>224</v>
      </c>
    </row>
    <row r="714" spans="2:14" hidden="1" x14ac:dyDescent="0.25">
      <c r="B714" s="91">
        <v>46108</v>
      </c>
      <c r="C714" s="63">
        <v>1</v>
      </c>
      <c r="D714" s="63" t="s">
        <v>183</v>
      </c>
      <c r="E714" s="65" t="s">
        <v>184</v>
      </c>
      <c r="F714" s="65" t="s">
        <v>166</v>
      </c>
      <c r="G714" s="63" t="s">
        <v>111</v>
      </c>
      <c r="H714" s="63">
        <v>79</v>
      </c>
      <c r="I714" s="65" t="s">
        <v>169</v>
      </c>
      <c r="J714" s="63">
        <v>2566</v>
      </c>
      <c r="K714" s="64">
        <v>750.04</v>
      </c>
      <c r="L714" s="63" t="s">
        <v>2611</v>
      </c>
      <c r="M714" s="65" t="str">
        <f t="shared" si="11"/>
        <v>GRANORTEBEIRA RIOPULMÃOZINHO</v>
      </c>
      <c r="N714" s="85" t="s">
        <v>111</v>
      </c>
    </row>
    <row r="715" spans="2:14" hidden="1" x14ac:dyDescent="0.25">
      <c r="B715" s="91">
        <v>46108</v>
      </c>
      <c r="C715" s="63">
        <v>1</v>
      </c>
      <c r="D715" s="63" t="s">
        <v>183</v>
      </c>
      <c r="E715" s="65" t="s">
        <v>184</v>
      </c>
      <c r="F715" s="65" t="s">
        <v>166</v>
      </c>
      <c r="G715" s="63" t="s">
        <v>111</v>
      </c>
      <c r="H715" s="63">
        <v>79</v>
      </c>
      <c r="I715" s="65" t="s">
        <v>169</v>
      </c>
      <c r="J715" s="63">
        <v>2554</v>
      </c>
      <c r="K715" s="64">
        <v>746.53</v>
      </c>
      <c r="L715" s="63" t="s">
        <v>2612</v>
      </c>
      <c r="M715" s="65" t="str">
        <f t="shared" si="11"/>
        <v>GRANORTEBEIRA RIOPULMÃOZINHO</v>
      </c>
      <c r="N715" s="85" t="s">
        <v>111</v>
      </c>
    </row>
    <row r="716" spans="2:14" hidden="1" x14ac:dyDescent="0.25">
      <c r="B716" s="91">
        <v>46108</v>
      </c>
      <c r="C716" s="63">
        <v>1</v>
      </c>
      <c r="D716" s="63" t="s">
        <v>183</v>
      </c>
      <c r="E716" s="65" t="s">
        <v>184</v>
      </c>
      <c r="F716" s="65" t="s">
        <v>163</v>
      </c>
      <c r="G716" s="63" t="s">
        <v>164</v>
      </c>
      <c r="H716" s="63">
        <v>52</v>
      </c>
      <c r="I716" s="65" t="s">
        <v>175</v>
      </c>
      <c r="J716" s="63">
        <v>3158</v>
      </c>
      <c r="K716" s="64">
        <v>607.6</v>
      </c>
      <c r="L716" s="63" t="s">
        <v>2613</v>
      </c>
      <c r="M716" s="65" t="str">
        <f t="shared" si="11"/>
        <v>BRASIL MINERACAOUA SAO LUISBRITA 0</v>
      </c>
      <c r="N716" s="85" t="s">
        <v>224</v>
      </c>
    </row>
    <row r="717" spans="2:14" hidden="1" x14ac:dyDescent="0.25">
      <c r="B717" s="91">
        <v>46108</v>
      </c>
      <c r="C717" s="63">
        <v>1</v>
      </c>
      <c r="D717" s="63" t="s">
        <v>289</v>
      </c>
      <c r="E717" s="65" t="s">
        <v>290</v>
      </c>
      <c r="F717" s="65" t="s">
        <v>2614</v>
      </c>
      <c r="G717" s="63" t="s">
        <v>2615</v>
      </c>
      <c r="H717" s="63">
        <v>49</v>
      </c>
      <c r="I717" s="65" t="s">
        <v>207</v>
      </c>
      <c r="J717" s="63">
        <v>419</v>
      </c>
      <c r="K717" s="64">
        <v>759.65</v>
      </c>
      <c r="L717" s="63" t="s">
        <v>2616</v>
      </c>
      <c r="M717" s="65" t="str">
        <f t="shared" si="11"/>
        <v>MINERADORA PORTO FRANCO LTDAPATIO VLI AGUIARNOPOLISRACHÃO</v>
      </c>
      <c r="N717" s="85" t="s">
        <v>15</v>
      </c>
    </row>
    <row r="718" spans="2:14" hidden="1" x14ac:dyDescent="0.25">
      <c r="B718" s="91">
        <v>46108</v>
      </c>
      <c r="C718" s="63">
        <v>1</v>
      </c>
      <c r="D718" s="63" t="s">
        <v>167</v>
      </c>
      <c r="E718" s="65" t="s">
        <v>168</v>
      </c>
      <c r="F718" s="65" t="s">
        <v>166</v>
      </c>
      <c r="G718" s="63" t="s">
        <v>824</v>
      </c>
      <c r="H718" s="63">
        <v>78</v>
      </c>
      <c r="I718" s="65" t="s">
        <v>169</v>
      </c>
      <c r="J718" s="63">
        <v>2692</v>
      </c>
      <c r="K718" s="64">
        <v>776.91</v>
      </c>
      <c r="L718" s="63" t="s">
        <v>2617</v>
      </c>
      <c r="M718" s="65" t="str">
        <f t="shared" si="11"/>
        <v>GRANORTECRUZAMENTO MA 201/202 (METROPOLITANA)PULMÃOZINHO</v>
      </c>
      <c r="N718" s="85" t="s">
        <v>108</v>
      </c>
    </row>
    <row r="719" spans="2:14" hidden="1" x14ac:dyDescent="0.25">
      <c r="B719" s="91">
        <v>46108</v>
      </c>
      <c r="C719" s="63">
        <v>1</v>
      </c>
      <c r="D719" s="63" t="s">
        <v>167</v>
      </c>
      <c r="E719" s="65" t="s">
        <v>168</v>
      </c>
      <c r="F719" s="65" t="s">
        <v>166</v>
      </c>
      <c r="G719" s="63" t="s">
        <v>824</v>
      </c>
      <c r="H719" s="63">
        <v>78</v>
      </c>
      <c r="I719" s="65" t="s">
        <v>169</v>
      </c>
      <c r="J719" s="63">
        <v>2564</v>
      </c>
      <c r="K719" s="64">
        <v>739.97</v>
      </c>
      <c r="L719" s="63" t="s">
        <v>2618</v>
      </c>
      <c r="M719" s="65" t="str">
        <f t="shared" si="11"/>
        <v>GRANORTECRUZAMENTO MA 201/202 (METROPOLITANA)PULMÃOZINHO</v>
      </c>
      <c r="N719" s="85" t="s">
        <v>108</v>
      </c>
    </row>
    <row r="720" spans="2:14" hidden="1" x14ac:dyDescent="0.25">
      <c r="B720" s="91">
        <v>46108</v>
      </c>
      <c r="C720" s="63">
        <v>1</v>
      </c>
      <c r="D720" s="63" t="s">
        <v>213</v>
      </c>
      <c r="E720" s="65" t="s">
        <v>178</v>
      </c>
      <c r="F720" s="65" t="s">
        <v>163</v>
      </c>
      <c r="G720" s="63" t="s">
        <v>164</v>
      </c>
      <c r="H720" s="63">
        <v>52</v>
      </c>
      <c r="I720" s="65" t="s">
        <v>165</v>
      </c>
      <c r="J720" s="63">
        <v>4778</v>
      </c>
      <c r="K720" s="64">
        <v>919.29</v>
      </c>
      <c r="L720" s="63" t="s">
        <v>2619</v>
      </c>
      <c r="M720" s="65" t="str">
        <f t="shared" si="11"/>
        <v>BRASIL MINERACAOUA SAO LUISPÓ DE BRITA</v>
      </c>
      <c r="N720" s="85" t="s">
        <v>224</v>
      </c>
    </row>
    <row r="721" spans="2:14" hidden="1" x14ac:dyDescent="0.25">
      <c r="B721" s="91">
        <v>46108</v>
      </c>
      <c r="C721" s="63">
        <v>1</v>
      </c>
      <c r="D721" s="63" t="s">
        <v>200</v>
      </c>
      <c r="E721" s="65" t="s">
        <v>201</v>
      </c>
      <c r="F721" s="65" t="s">
        <v>163</v>
      </c>
      <c r="G721" s="63" t="s">
        <v>164</v>
      </c>
      <c r="H721" s="63">
        <v>52</v>
      </c>
      <c r="I721" s="65" t="s">
        <v>175</v>
      </c>
      <c r="J721" s="63">
        <v>4496</v>
      </c>
      <c r="K721" s="64">
        <v>865.03</v>
      </c>
      <c r="L721" s="63" t="s">
        <v>2620</v>
      </c>
      <c r="M721" s="65" t="str">
        <f t="shared" si="11"/>
        <v>BRASIL MINERACAOUA SAO LUISBRITA 0</v>
      </c>
      <c r="N721" s="85" t="s">
        <v>224</v>
      </c>
    </row>
    <row r="722" spans="2:14" hidden="1" x14ac:dyDescent="0.25">
      <c r="B722" s="91">
        <v>46108</v>
      </c>
      <c r="C722" s="63">
        <v>1</v>
      </c>
      <c r="D722" s="63" t="s">
        <v>200</v>
      </c>
      <c r="E722" s="65" t="s">
        <v>201</v>
      </c>
      <c r="F722" s="65" t="s">
        <v>163</v>
      </c>
      <c r="G722" s="63" t="s">
        <v>164</v>
      </c>
      <c r="H722" s="63">
        <v>52</v>
      </c>
      <c r="I722" s="65" t="s">
        <v>175</v>
      </c>
      <c r="J722" s="63">
        <v>4998</v>
      </c>
      <c r="K722" s="64">
        <v>961.62</v>
      </c>
      <c r="L722" s="63" t="s">
        <v>2621</v>
      </c>
      <c r="M722" s="65" t="str">
        <f t="shared" si="11"/>
        <v>BRASIL MINERACAOUA SAO LUISBRITA 0</v>
      </c>
      <c r="N722" s="85" t="s">
        <v>224</v>
      </c>
    </row>
    <row r="723" spans="2:14" hidden="1" x14ac:dyDescent="0.25">
      <c r="B723" s="91">
        <v>46108</v>
      </c>
      <c r="C723" s="63">
        <v>1</v>
      </c>
      <c r="D723" s="63" t="s">
        <v>186</v>
      </c>
      <c r="E723" s="65" t="s">
        <v>187</v>
      </c>
      <c r="F723" s="65" t="s">
        <v>163</v>
      </c>
      <c r="G723" s="63" t="s">
        <v>164</v>
      </c>
      <c r="H723" s="63">
        <v>52</v>
      </c>
      <c r="I723" s="65" t="s">
        <v>165</v>
      </c>
      <c r="J723" s="63">
        <v>4794</v>
      </c>
      <c r="K723" s="64">
        <v>922.37</v>
      </c>
      <c r="L723" s="63" t="s">
        <v>2622</v>
      </c>
      <c r="M723" s="65" t="str">
        <f t="shared" si="11"/>
        <v>BRASIL MINERACAOUA SAO LUISPÓ DE BRITA</v>
      </c>
      <c r="N723" s="85" t="s">
        <v>224</v>
      </c>
    </row>
    <row r="724" spans="2:14" hidden="1" x14ac:dyDescent="0.25">
      <c r="B724" s="91">
        <v>46108</v>
      </c>
      <c r="C724" s="63">
        <v>1</v>
      </c>
      <c r="D724" s="63" t="s">
        <v>283</v>
      </c>
      <c r="E724" s="65" t="s">
        <v>215</v>
      </c>
      <c r="F724" s="65" t="s">
        <v>166</v>
      </c>
      <c r="G724" s="63" t="s">
        <v>824</v>
      </c>
      <c r="H724" s="63">
        <v>78</v>
      </c>
      <c r="I724" s="65" t="s">
        <v>169</v>
      </c>
      <c r="J724" s="63">
        <v>2756</v>
      </c>
      <c r="K724" s="64">
        <v>795.38</v>
      </c>
      <c r="L724" s="63" t="s">
        <v>2623</v>
      </c>
      <c r="M724" s="65" t="str">
        <f t="shared" si="11"/>
        <v>GRANORTECRUZAMENTO MA 201/202 (METROPOLITANA)PULMÃOZINHO</v>
      </c>
      <c r="N724" s="85" t="s">
        <v>108</v>
      </c>
    </row>
    <row r="725" spans="2:14" hidden="1" x14ac:dyDescent="0.25">
      <c r="B725" s="91">
        <v>46108</v>
      </c>
      <c r="C725" s="63">
        <v>1</v>
      </c>
      <c r="D725" s="63" t="s">
        <v>283</v>
      </c>
      <c r="E725" s="65" t="s">
        <v>215</v>
      </c>
      <c r="F725" s="65" t="s">
        <v>163</v>
      </c>
      <c r="G725" s="63" t="s">
        <v>164</v>
      </c>
      <c r="H725" s="63">
        <v>52</v>
      </c>
      <c r="I725" s="65" t="s">
        <v>165</v>
      </c>
      <c r="J725" s="63">
        <v>2582</v>
      </c>
      <c r="K725" s="64">
        <v>496.78</v>
      </c>
      <c r="L725" s="63" t="s">
        <v>2624</v>
      </c>
      <c r="M725" s="65" t="str">
        <f t="shared" si="11"/>
        <v>BRASIL MINERACAOUA SAO LUISPÓ DE BRITA</v>
      </c>
      <c r="N725" s="85" t="s">
        <v>224</v>
      </c>
    </row>
    <row r="726" spans="2:14" hidden="1" x14ac:dyDescent="0.25">
      <c r="B726" s="91">
        <v>46108</v>
      </c>
      <c r="C726" s="63">
        <v>1</v>
      </c>
      <c r="D726" s="63" t="s">
        <v>283</v>
      </c>
      <c r="E726" s="65" t="s">
        <v>215</v>
      </c>
      <c r="F726" s="65" t="s">
        <v>163</v>
      </c>
      <c r="G726" s="63" t="s">
        <v>164</v>
      </c>
      <c r="H726" s="63">
        <v>52</v>
      </c>
      <c r="I726" s="65" t="s">
        <v>165</v>
      </c>
      <c r="J726" s="63">
        <v>2632</v>
      </c>
      <c r="K726" s="64">
        <v>506.4</v>
      </c>
      <c r="L726" s="63" t="s">
        <v>2625</v>
      </c>
      <c r="M726" s="65" t="str">
        <f t="shared" si="11"/>
        <v>BRASIL MINERACAOUA SAO LUISPÓ DE BRITA</v>
      </c>
      <c r="N726" s="85" t="s">
        <v>224</v>
      </c>
    </row>
    <row r="727" spans="2:14" hidden="1" x14ac:dyDescent="0.25">
      <c r="B727" s="91">
        <v>46108</v>
      </c>
      <c r="C727" s="63">
        <v>1</v>
      </c>
      <c r="D727" s="63" t="s">
        <v>283</v>
      </c>
      <c r="E727" s="65" t="s">
        <v>215</v>
      </c>
      <c r="F727" s="65" t="s">
        <v>163</v>
      </c>
      <c r="G727" s="63" t="s">
        <v>164</v>
      </c>
      <c r="H727" s="63">
        <v>52</v>
      </c>
      <c r="I727" s="65" t="s">
        <v>165</v>
      </c>
      <c r="J727" s="63">
        <v>2554</v>
      </c>
      <c r="K727" s="64">
        <v>491.39</v>
      </c>
      <c r="L727" s="63" t="s">
        <v>2626</v>
      </c>
      <c r="M727" s="65" t="str">
        <f t="shared" si="11"/>
        <v>BRASIL MINERACAOUA SAO LUISPÓ DE BRITA</v>
      </c>
      <c r="N727" s="85" t="s">
        <v>224</v>
      </c>
    </row>
    <row r="728" spans="2:14" hidden="1" x14ac:dyDescent="0.25">
      <c r="B728" s="91">
        <v>46108</v>
      </c>
      <c r="C728" s="63">
        <v>1</v>
      </c>
      <c r="D728" s="63" t="s">
        <v>1948</v>
      </c>
      <c r="E728" s="65" t="s">
        <v>1949</v>
      </c>
      <c r="F728" s="65" t="s">
        <v>163</v>
      </c>
      <c r="G728" s="63" t="s">
        <v>164</v>
      </c>
      <c r="H728" s="63">
        <v>52</v>
      </c>
      <c r="I728" s="65" t="s">
        <v>175</v>
      </c>
      <c r="J728" s="63">
        <v>475</v>
      </c>
      <c r="K728" s="64">
        <v>913.9</v>
      </c>
      <c r="L728" s="63" t="s">
        <v>2627</v>
      </c>
      <c r="M728" s="65" t="str">
        <f t="shared" si="11"/>
        <v>BRASIL MINERACAOUA SAO LUISBRITA 0</v>
      </c>
      <c r="N728" s="85" t="s">
        <v>224</v>
      </c>
    </row>
    <row r="729" spans="2:14" hidden="1" x14ac:dyDescent="0.25">
      <c r="B729" s="91">
        <v>46108</v>
      </c>
      <c r="C729" s="63">
        <v>1</v>
      </c>
      <c r="D729" s="63" t="s">
        <v>1948</v>
      </c>
      <c r="E729" s="65" t="s">
        <v>1949</v>
      </c>
      <c r="F729" s="65" t="s">
        <v>163</v>
      </c>
      <c r="G729" s="63" t="s">
        <v>164</v>
      </c>
      <c r="H729" s="63">
        <v>52</v>
      </c>
      <c r="I729" s="65" t="s">
        <v>175</v>
      </c>
      <c r="J729" s="63">
        <v>472</v>
      </c>
      <c r="K729" s="64">
        <v>908.13</v>
      </c>
      <c r="L729" s="63" t="s">
        <v>2628</v>
      </c>
      <c r="M729" s="65" t="str">
        <f t="shared" si="11"/>
        <v>BRASIL MINERACAOUA SAO LUISBRITA 0</v>
      </c>
      <c r="N729" s="85" t="s">
        <v>224</v>
      </c>
    </row>
    <row r="730" spans="2:14" hidden="1" x14ac:dyDescent="0.25">
      <c r="B730" s="91">
        <v>46108</v>
      </c>
      <c r="C730" s="63">
        <v>1</v>
      </c>
      <c r="D730" s="63" t="s">
        <v>192</v>
      </c>
      <c r="E730" s="65" t="s">
        <v>287</v>
      </c>
      <c r="F730" s="65" t="s">
        <v>163</v>
      </c>
      <c r="G730" s="63" t="s">
        <v>164</v>
      </c>
      <c r="H730" s="63">
        <v>52</v>
      </c>
      <c r="I730" s="65" t="s">
        <v>175</v>
      </c>
      <c r="J730" s="63">
        <v>5056</v>
      </c>
      <c r="K730" s="64">
        <v>972.77</v>
      </c>
      <c r="L730" s="63" t="s">
        <v>2629</v>
      </c>
      <c r="M730" s="65" t="str">
        <f t="shared" si="11"/>
        <v>BRASIL MINERACAOUA SAO LUISBRITA 0</v>
      </c>
      <c r="N730" s="85" t="s">
        <v>224</v>
      </c>
    </row>
    <row r="731" spans="2:14" hidden="1" x14ac:dyDescent="0.25">
      <c r="B731" s="91">
        <v>46108</v>
      </c>
      <c r="C731" s="63">
        <v>1</v>
      </c>
      <c r="D731" s="63" t="s">
        <v>192</v>
      </c>
      <c r="E731" s="65" t="s">
        <v>287</v>
      </c>
      <c r="F731" s="65" t="s">
        <v>163</v>
      </c>
      <c r="G731" s="63" t="s">
        <v>164</v>
      </c>
      <c r="H731" s="63">
        <v>52</v>
      </c>
      <c r="I731" s="65" t="s">
        <v>165</v>
      </c>
      <c r="J731" s="63">
        <v>4526</v>
      </c>
      <c r="K731" s="64">
        <v>870.8</v>
      </c>
      <c r="L731" s="63" t="s">
        <v>2630</v>
      </c>
      <c r="M731" s="65" t="str">
        <f t="shared" si="11"/>
        <v>BRASIL MINERACAOUA SAO LUISPÓ DE BRITA</v>
      </c>
      <c r="N731" s="85" t="s">
        <v>224</v>
      </c>
    </row>
    <row r="732" spans="2:14" hidden="1" x14ac:dyDescent="0.25">
      <c r="B732" s="91">
        <v>46108</v>
      </c>
      <c r="C732" s="63">
        <v>1</v>
      </c>
      <c r="D732" s="63" t="s">
        <v>192</v>
      </c>
      <c r="E732" s="65" t="s">
        <v>287</v>
      </c>
      <c r="F732" s="65" t="s">
        <v>163</v>
      </c>
      <c r="G732" s="63" t="s">
        <v>164</v>
      </c>
      <c r="H732" s="63">
        <v>52</v>
      </c>
      <c r="I732" s="65" t="s">
        <v>165</v>
      </c>
      <c r="J732" s="63">
        <v>5444</v>
      </c>
      <c r="K732" s="64">
        <v>1047.43</v>
      </c>
      <c r="L732" s="63" t="s">
        <v>2631</v>
      </c>
      <c r="M732" s="65" t="str">
        <f t="shared" si="11"/>
        <v>BRASIL MINERACAOUA SAO LUISPÓ DE BRITA</v>
      </c>
      <c r="N732" s="85" t="s">
        <v>224</v>
      </c>
    </row>
    <row r="733" spans="2:14" hidden="1" x14ac:dyDescent="0.25">
      <c r="B733" s="91">
        <v>46108</v>
      </c>
      <c r="C733" s="63">
        <v>1</v>
      </c>
      <c r="D733" s="63" t="s">
        <v>193</v>
      </c>
      <c r="E733" s="65" t="s">
        <v>285</v>
      </c>
      <c r="F733" s="65" t="s">
        <v>166</v>
      </c>
      <c r="G733" s="63" t="s">
        <v>111</v>
      </c>
      <c r="H733" s="63">
        <v>79</v>
      </c>
      <c r="I733" s="65" t="s">
        <v>169</v>
      </c>
      <c r="J733" s="63">
        <v>2524</v>
      </c>
      <c r="K733" s="64">
        <v>737.77</v>
      </c>
      <c r="L733" s="63" t="s">
        <v>2632</v>
      </c>
      <c r="M733" s="65" t="str">
        <f t="shared" si="11"/>
        <v>GRANORTEBEIRA RIOPULMÃOZINHO</v>
      </c>
      <c r="N733" s="85" t="s">
        <v>111</v>
      </c>
    </row>
    <row r="734" spans="2:14" hidden="1" x14ac:dyDescent="0.25">
      <c r="B734" s="91">
        <v>46108</v>
      </c>
      <c r="C734" s="63">
        <v>1</v>
      </c>
      <c r="D734" s="63" t="s">
        <v>193</v>
      </c>
      <c r="E734" s="65" t="s">
        <v>285</v>
      </c>
      <c r="F734" s="65" t="s">
        <v>166</v>
      </c>
      <c r="G734" s="63" t="s">
        <v>111</v>
      </c>
      <c r="H734" s="63">
        <v>79</v>
      </c>
      <c r="I734" s="65" t="s">
        <v>169</v>
      </c>
      <c r="J734" s="63">
        <v>2524</v>
      </c>
      <c r="K734" s="64">
        <v>737.77</v>
      </c>
      <c r="L734" s="63" t="s">
        <v>2633</v>
      </c>
      <c r="M734" s="65" t="str">
        <f t="shared" si="11"/>
        <v>GRANORTEBEIRA RIOPULMÃOZINHO</v>
      </c>
      <c r="N734" s="85" t="s">
        <v>111</v>
      </c>
    </row>
    <row r="735" spans="2:14" hidden="1" x14ac:dyDescent="0.25">
      <c r="B735" s="91">
        <v>46108</v>
      </c>
      <c r="C735" s="63">
        <v>1</v>
      </c>
      <c r="D735" s="63" t="s">
        <v>275</v>
      </c>
      <c r="E735" s="65" t="s">
        <v>217</v>
      </c>
      <c r="F735" s="65" t="s">
        <v>163</v>
      </c>
      <c r="G735" s="63" t="s">
        <v>164</v>
      </c>
      <c r="H735" s="63">
        <v>52</v>
      </c>
      <c r="I735" s="65" t="s">
        <v>165</v>
      </c>
      <c r="J735" s="63">
        <v>454</v>
      </c>
      <c r="K735" s="64">
        <v>873.5</v>
      </c>
      <c r="L735" s="63" t="s">
        <v>2634</v>
      </c>
      <c r="M735" s="65" t="str">
        <f t="shared" si="11"/>
        <v>BRASIL MINERACAOUA SAO LUISPÓ DE BRITA</v>
      </c>
      <c r="N735" s="85" t="s">
        <v>224</v>
      </c>
    </row>
    <row r="736" spans="2:14" hidden="1" x14ac:dyDescent="0.25">
      <c r="B736" s="91">
        <v>46109</v>
      </c>
      <c r="C736" s="63">
        <v>1</v>
      </c>
      <c r="D736" s="63" t="s">
        <v>202</v>
      </c>
      <c r="E736" s="65" t="s">
        <v>214</v>
      </c>
      <c r="F736" s="65" t="s">
        <v>163</v>
      </c>
      <c r="G736" s="63" t="s">
        <v>164</v>
      </c>
      <c r="H736" s="63">
        <v>52</v>
      </c>
      <c r="I736" s="65" t="s">
        <v>165</v>
      </c>
      <c r="J736" s="63">
        <v>683</v>
      </c>
      <c r="K736" s="64">
        <v>1314.09</v>
      </c>
      <c r="L736" s="63" t="s">
        <v>2635</v>
      </c>
      <c r="M736" s="65" t="str">
        <f t="shared" si="11"/>
        <v>BRASIL MINERACAOUA SAO LUISPÓ DE BRITA</v>
      </c>
      <c r="N736" s="85" t="s">
        <v>224</v>
      </c>
    </row>
    <row r="737" spans="2:14" hidden="1" x14ac:dyDescent="0.25">
      <c r="B737" s="91">
        <v>46109</v>
      </c>
      <c r="C737" s="63">
        <v>1</v>
      </c>
      <c r="D737" s="63" t="s">
        <v>289</v>
      </c>
      <c r="E737" s="65" t="s">
        <v>290</v>
      </c>
      <c r="F737" s="65" t="s">
        <v>2614</v>
      </c>
      <c r="G737" s="63" t="s">
        <v>2615</v>
      </c>
      <c r="H737" s="63">
        <v>49</v>
      </c>
      <c r="I737" s="65" t="s">
        <v>207</v>
      </c>
      <c r="J737" s="63">
        <v>404</v>
      </c>
      <c r="K737" s="64">
        <v>732.45</v>
      </c>
      <c r="L737" s="63" t="s">
        <v>2636</v>
      </c>
      <c r="M737" s="65" t="str">
        <f t="shared" si="11"/>
        <v>MINERADORA PORTO FRANCO LTDAPATIO VLI AGUIARNOPOLISRACHÃO</v>
      </c>
      <c r="N737" s="85" t="s">
        <v>15</v>
      </c>
    </row>
    <row r="738" spans="2:14" hidden="1" x14ac:dyDescent="0.25">
      <c r="B738" s="91">
        <v>46109</v>
      </c>
      <c r="C738" s="63">
        <v>1</v>
      </c>
      <c r="D738" s="63" t="s">
        <v>208</v>
      </c>
      <c r="E738" s="65" t="s">
        <v>209</v>
      </c>
      <c r="F738" s="65" t="s">
        <v>163</v>
      </c>
      <c r="G738" s="63" t="s">
        <v>164</v>
      </c>
      <c r="H738" s="63">
        <v>52</v>
      </c>
      <c r="I738" s="65" t="s">
        <v>165</v>
      </c>
      <c r="J738" s="63">
        <v>500</v>
      </c>
      <c r="K738" s="64">
        <v>962</v>
      </c>
      <c r="L738" s="63" t="s">
        <v>2637</v>
      </c>
      <c r="M738" s="65" t="str">
        <f t="shared" si="11"/>
        <v>BRASIL MINERACAOUA SAO LUISPÓ DE BRITA</v>
      </c>
      <c r="N738" s="85" t="s">
        <v>224</v>
      </c>
    </row>
    <row r="739" spans="2:14" hidden="1" x14ac:dyDescent="0.25">
      <c r="B739" s="91">
        <v>46109</v>
      </c>
      <c r="C739" s="63">
        <v>1</v>
      </c>
      <c r="D739" s="63" t="s">
        <v>170</v>
      </c>
      <c r="E739" s="65" t="s">
        <v>171</v>
      </c>
      <c r="F739" s="65" t="s">
        <v>166</v>
      </c>
      <c r="G739" s="63" t="s">
        <v>824</v>
      </c>
      <c r="H739" s="63">
        <v>78</v>
      </c>
      <c r="I739" s="65" t="s">
        <v>169</v>
      </c>
      <c r="J739" s="63">
        <v>2676</v>
      </c>
      <c r="K739" s="64">
        <v>772.29</v>
      </c>
      <c r="L739" s="63" t="s">
        <v>2638</v>
      </c>
      <c r="M739" s="65" t="str">
        <f t="shared" si="11"/>
        <v>GRANORTECRUZAMENTO MA 201/202 (METROPOLITANA)PULMÃOZINHO</v>
      </c>
      <c r="N739" s="85" t="s">
        <v>108</v>
      </c>
    </row>
    <row r="740" spans="2:14" hidden="1" x14ac:dyDescent="0.25">
      <c r="B740" s="91">
        <v>46109</v>
      </c>
      <c r="C740" s="63">
        <v>1</v>
      </c>
      <c r="D740" s="63" t="s">
        <v>167</v>
      </c>
      <c r="E740" s="65" t="s">
        <v>168</v>
      </c>
      <c r="F740" s="65" t="s">
        <v>166</v>
      </c>
      <c r="G740" s="63" t="s">
        <v>824</v>
      </c>
      <c r="H740" s="63">
        <v>78</v>
      </c>
      <c r="I740" s="65" t="s">
        <v>169</v>
      </c>
      <c r="J740" s="63">
        <v>2578</v>
      </c>
      <c r="K740" s="64">
        <v>744.01</v>
      </c>
      <c r="L740" s="63" t="s">
        <v>2639</v>
      </c>
      <c r="M740" s="65" t="str">
        <f t="shared" si="11"/>
        <v>GRANORTECRUZAMENTO MA 201/202 (METROPOLITANA)PULMÃOZINHO</v>
      </c>
      <c r="N740" s="85" t="s">
        <v>108</v>
      </c>
    </row>
    <row r="741" spans="2:14" hidden="1" x14ac:dyDescent="0.25">
      <c r="B741" s="91">
        <v>46109</v>
      </c>
      <c r="C741" s="63">
        <v>1</v>
      </c>
      <c r="D741" s="63" t="s">
        <v>167</v>
      </c>
      <c r="E741" s="65" t="s">
        <v>168</v>
      </c>
      <c r="F741" s="65" t="s">
        <v>166</v>
      </c>
      <c r="G741" s="63" t="s">
        <v>824</v>
      </c>
      <c r="H741" s="63">
        <v>78</v>
      </c>
      <c r="I741" s="65" t="s">
        <v>169</v>
      </c>
      <c r="J741" s="63">
        <v>2636</v>
      </c>
      <c r="K741" s="64">
        <v>760.75</v>
      </c>
      <c r="L741" s="63" t="s">
        <v>2640</v>
      </c>
      <c r="M741" s="65" t="str">
        <f t="shared" si="11"/>
        <v>GRANORTECRUZAMENTO MA 201/202 (METROPOLITANA)PULMÃOZINHO</v>
      </c>
      <c r="N741" s="85" t="s">
        <v>108</v>
      </c>
    </row>
    <row r="742" spans="2:14" hidden="1" x14ac:dyDescent="0.25">
      <c r="B742" s="91">
        <v>46109</v>
      </c>
      <c r="C742" s="63">
        <v>1</v>
      </c>
      <c r="D742" s="63" t="s">
        <v>213</v>
      </c>
      <c r="E742" s="65" t="s">
        <v>178</v>
      </c>
      <c r="F742" s="65" t="s">
        <v>163</v>
      </c>
      <c r="G742" s="63" t="s">
        <v>164</v>
      </c>
      <c r="H742" s="63">
        <v>52</v>
      </c>
      <c r="I742" s="65" t="s">
        <v>165</v>
      </c>
      <c r="J742" s="63">
        <v>4868</v>
      </c>
      <c r="K742" s="64">
        <v>936.6</v>
      </c>
      <c r="L742" s="63" t="s">
        <v>2641</v>
      </c>
      <c r="M742" s="65" t="str">
        <f t="shared" si="11"/>
        <v>BRASIL MINERACAOUA SAO LUISPÓ DE BRITA</v>
      </c>
      <c r="N742" s="85" t="s">
        <v>224</v>
      </c>
    </row>
    <row r="743" spans="2:14" hidden="1" x14ac:dyDescent="0.25">
      <c r="B743" s="91">
        <v>46109</v>
      </c>
      <c r="C743" s="63">
        <v>1</v>
      </c>
      <c r="D743" s="63" t="s">
        <v>200</v>
      </c>
      <c r="E743" s="65" t="s">
        <v>201</v>
      </c>
      <c r="F743" s="65" t="s">
        <v>163</v>
      </c>
      <c r="G743" s="63" t="s">
        <v>164</v>
      </c>
      <c r="H743" s="63">
        <v>52</v>
      </c>
      <c r="I743" s="65" t="s">
        <v>175</v>
      </c>
      <c r="J743" s="63">
        <v>480</v>
      </c>
      <c r="K743" s="64">
        <v>923.52</v>
      </c>
      <c r="L743" s="63" t="s">
        <v>2642</v>
      </c>
      <c r="M743" s="65" t="str">
        <f t="shared" si="11"/>
        <v>BRASIL MINERACAOUA SAO LUISBRITA 0</v>
      </c>
      <c r="N743" s="85" t="s">
        <v>224</v>
      </c>
    </row>
    <row r="744" spans="2:14" hidden="1" x14ac:dyDescent="0.25">
      <c r="B744" s="91">
        <v>46109</v>
      </c>
      <c r="C744" s="63">
        <v>1</v>
      </c>
      <c r="D744" s="63" t="s">
        <v>210</v>
      </c>
      <c r="E744" s="65" t="s">
        <v>211</v>
      </c>
      <c r="F744" s="65" t="s">
        <v>163</v>
      </c>
      <c r="G744" s="63" t="s">
        <v>164</v>
      </c>
      <c r="H744" s="63">
        <v>52</v>
      </c>
      <c r="I744" s="65" t="s">
        <v>175</v>
      </c>
      <c r="J744" s="63">
        <v>4558</v>
      </c>
      <c r="K744" s="64">
        <v>876.96</v>
      </c>
      <c r="L744" s="63" t="s">
        <v>2643</v>
      </c>
      <c r="M744" s="65" t="str">
        <f t="shared" si="11"/>
        <v>BRASIL MINERACAOUA SAO LUISBRITA 0</v>
      </c>
      <c r="N744" s="85" t="s">
        <v>224</v>
      </c>
    </row>
    <row r="745" spans="2:14" hidden="1" x14ac:dyDescent="0.25">
      <c r="B745" s="91">
        <v>46109</v>
      </c>
      <c r="C745" s="63">
        <v>1</v>
      </c>
      <c r="D745" s="63" t="s">
        <v>186</v>
      </c>
      <c r="E745" s="65" t="s">
        <v>187</v>
      </c>
      <c r="F745" s="65" t="s">
        <v>166</v>
      </c>
      <c r="G745" s="63" t="s">
        <v>164</v>
      </c>
      <c r="H745" s="63">
        <v>58</v>
      </c>
      <c r="I745" s="65" t="s">
        <v>165</v>
      </c>
      <c r="J745" s="63">
        <v>5264</v>
      </c>
      <c r="K745" s="64">
        <v>1129.6500000000001</v>
      </c>
      <c r="L745" s="63" t="s">
        <v>2644</v>
      </c>
      <c r="M745" s="65" t="str">
        <f t="shared" si="11"/>
        <v>GRANORTEUA SAO LUISPÓ DE BRITA</v>
      </c>
      <c r="N745" s="85" t="s">
        <v>224</v>
      </c>
    </row>
    <row r="746" spans="2:14" hidden="1" x14ac:dyDescent="0.25">
      <c r="B746" s="91">
        <v>46109</v>
      </c>
      <c r="C746" s="63">
        <v>1</v>
      </c>
      <c r="D746" s="63" t="s">
        <v>186</v>
      </c>
      <c r="E746" s="65" t="s">
        <v>187</v>
      </c>
      <c r="F746" s="65" t="s">
        <v>166</v>
      </c>
      <c r="G746" s="63" t="s">
        <v>164</v>
      </c>
      <c r="H746" s="63">
        <v>58</v>
      </c>
      <c r="I746" s="65" t="s">
        <v>175</v>
      </c>
      <c r="J746" s="63">
        <v>5026</v>
      </c>
      <c r="K746" s="64">
        <v>1078.58</v>
      </c>
      <c r="L746" s="63" t="s">
        <v>2645</v>
      </c>
      <c r="M746" s="65" t="str">
        <f t="shared" si="11"/>
        <v>GRANORTEUA SAO LUISBRITA 0</v>
      </c>
      <c r="N746" s="85" t="s">
        <v>224</v>
      </c>
    </row>
    <row r="747" spans="2:14" hidden="1" x14ac:dyDescent="0.25">
      <c r="B747" s="91">
        <v>46109</v>
      </c>
      <c r="C747" s="63">
        <v>1</v>
      </c>
      <c r="D747" s="63" t="s">
        <v>283</v>
      </c>
      <c r="E747" s="65" t="s">
        <v>215</v>
      </c>
      <c r="F747" s="65" t="s">
        <v>163</v>
      </c>
      <c r="G747" s="63" t="s">
        <v>164</v>
      </c>
      <c r="H747" s="63">
        <v>52</v>
      </c>
      <c r="I747" s="65" t="s">
        <v>165</v>
      </c>
      <c r="J747" s="63">
        <v>2712</v>
      </c>
      <c r="K747" s="64">
        <v>521.79</v>
      </c>
      <c r="L747" s="63" t="s">
        <v>2646</v>
      </c>
      <c r="M747" s="65" t="str">
        <f t="shared" si="11"/>
        <v>BRASIL MINERACAOUA SAO LUISPÓ DE BRITA</v>
      </c>
      <c r="N747" s="85" t="s">
        <v>224</v>
      </c>
    </row>
    <row r="748" spans="2:14" hidden="1" x14ac:dyDescent="0.25">
      <c r="B748" s="91">
        <v>46109</v>
      </c>
      <c r="C748" s="63">
        <v>1</v>
      </c>
      <c r="D748" s="63" t="s">
        <v>1948</v>
      </c>
      <c r="E748" s="65" t="s">
        <v>1949</v>
      </c>
      <c r="F748" s="65" t="s">
        <v>163</v>
      </c>
      <c r="G748" s="63" t="s">
        <v>164</v>
      </c>
      <c r="H748" s="63">
        <v>52</v>
      </c>
      <c r="I748" s="65" t="s">
        <v>175</v>
      </c>
      <c r="J748" s="63">
        <v>472</v>
      </c>
      <c r="K748" s="64">
        <v>908.13</v>
      </c>
      <c r="L748" s="63" t="s">
        <v>2647</v>
      </c>
      <c r="M748" s="65" t="str">
        <f t="shared" si="11"/>
        <v>BRASIL MINERACAOUA SAO LUISBRITA 0</v>
      </c>
      <c r="N748" s="85" t="s">
        <v>224</v>
      </c>
    </row>
    <row r="749" spans="2:14" hidden="1" x14ac:dyDescent="0.25">
      <c r="B749" s="91">
        <v>46109</v>
      </c>
      <c r="C749" s="63">
        <v>1</v>
      </c>
      <c r="D749" s="63" t="s">
        <v>286</v>
      </c>
      <c r="E749" s="65" t="s">
        <v>343</v>
      </c>
      <c r="F749" s="65" t="s">
        <v>166</v>
      </c>
      <c r="G749" s="63" t="s">
        <v>164</v>
      </c>
      <c r="H749" s="63">
        <v>58</v>
      </c>
      <c r="I749" s="65" t="s">
        <v>169</v>
      </c>
      <c r="J749" s="63">
        <v>479</v>
      </c>
      <c r="K749" s="64">
        <v>1027.93</v>
      </c>
      <c r="L749" s="63" t="s">
        <v>2648</v>
      </c>
      <c r="M749" s="65" t="str">
        <f t="shared" si="11"/>
        <v>GRANORTEUA SAO LUISPULMÃOZINHO</v>
      </c>
      <c r="N749" s="85" t="s">
        <v>224</v>
      </c>
    </row>
    <row r="750" spans="2:14" hidden="1" x14ac:dyDescent="0.25">
      <c r="B750" s="91">
        <v>46109</v>
      </c>
      <c r="C750" s="63">
        <v>1</v>
      </c>
      <c r="D750" s="63" t="s">
        <v>286</v>
      </c>
      <c r="E750" s="65" t="s">
        <v>343</v>
      </c>
      <c r="F750" s="65" t="s">
        <v>166</v>
      </c>
      <c r="G750" s="63" t="s">
        <v>164</v>
      </c>
      <c r="H750" s="63">
        <v>58</v>
      </c>
      <c r="I750" s="65" t="s">
        <v>169</v>
      </c>
      <c r="J750" s="63">
        <v>4952</v>
      </c>
      <c r="K750" s="64">
        <v>1062.7</v>
      </c>
      <c r="L750" s="63" t="s">
        <v>2649</v>
      </c>
      <c r="M750" s="65" t="str">
        <f t="shared" si="11"/>
        <v>GRANORTEUA SAO LUISPULMÃOZINHO</v>
      </c>
      <c r="N750" s="85" t="s">
        <v>224</v>
      </c>
    </row>
    <row r="751" spans="2:14" hidden="1" x14ac:dyDescent="0.25">
      <c r="B751" s="91">
        <v>46109</v>
      </c>
      <c r="C751" s="63">
        <v>1</v>
      </c>
      <c r="D751" s="63" t="s">
        <v>183</v>
      </c>
      <c r="E751" s="65" t="s">
        <v>184</v>
      </c>
      <c r="F751" s="65" t="s">
        <v>166</v>
      </c>
      <c r="G751" s="63" t="s">
        <v>111</v>
      </c>
      <c r="H751" s="63">
        <v>79</v>
      </c>
      <c r="I751" s="65" t="s">
        <v>169</v>
      </c>
      <c r="J751" s="63">
        <v>230</v>
      </c>
      <c r="K751" s="64">
        <v>672.29</v>
      </c>
      <c r="L751" s="63" t="s">
        <v>2650</v>
      </c>
      <c r="M751" s="65" t="str">
        <f t="shared" si="11"/>
        <v>GRANORTEBEIRA RIOPULMÃOZINHO</v>
      </c>
      <c r="N751" s="85" t="s">
        <v>111</v>
      </c>
    </row>
    <row r="752" spans="2:14" hidden="1" x14ac:dyDescent="0.25">
      <c r="B752" s="91">
        <v>46109</v>
      </c>
      <c r="C752" s="63">
        <v>1</v>
      </c>
      <c r="D752" s="63" t="s">
        <v>183</v>
      </c>
      <c r="E752" s="65" t="s">
        <v>184</v>
      </c>
      <c r="F752" s="65" t="s">
        <v>163</v>
      </c>
      <c r="G752" s="63" t="s">
        <v>164</v>
      </c>
      <c r="H752" s="63">
        <v>52</v>
      </c>
      <c r="I752" s="65" t="s">
        <v>175</v>
      </c>
      <c r="J752" s="63">
        <v>3302</v>
      </c>
      <c r="K752" s="64">
        <v>635.29999999999995</v>
      </c>
      <c r="L752" s="63" t="s">
        <v>2651</v>
      </c>
      <c r="M752" s="65" t="str">
        <f t="shared" si="11"/>
        <v>BRASIL MINERACAOUA SAO LUISBRITA 0</v>
      </c>
      <c r="N752" s="85" t="s">
        <v>224</v>
      </c>
    </row>
    <row r="753" spans="2:14" hidden="1" x14ac:dyDescent="0.25">
      <c r="B753" s="91">
        <v>46109</v>
      </c>
      <c r="C753" s="63">
        <v>1</v>
      </c>
      <c r="D753" s="63" t="s">
        <v>192</v>
      </c>
      <c r="E753" s="65" t="s">
        <v>287</v>
      </c>
      <c r="F753" s="65" t="s">
        <v>163</v>
      </c>
      <c r="G753" s="63" t="s">
        <v>164</v>
      </c>
      <c r="H753" s="63">
        <v>52</v>
      </c>
      <c r="I753" s="65" t="s">
        <v>175</v>
      </c>
      <c r="J753" s="63">
        <v>5064</v>
      </c>
      <c r="K753" s="64">
        <v>974.31</v>
      </c>
      <c r="L753" s="63" t="s">
        <v>2652</v>
      </c>
      <c r="M753" s="65" t="str">
        <f t="shared" si="11"/>
        <v>BRASIL MINERACAOUA SAO LUISBRITA 0</v>
      </c>
      <c r="N753" s="85" t="s">
        <v>224</v>
      </c>
    </row>
    <row r="754" spans="2:14" hidden="1" x14ac:dyDescent="0.25">
      <c r="B754" s="91">
        <v>46109</v>
      </c>
      <c r="C754" s="63">
        <v>1</v>
      </c>
      <c r="D754" s="63" t="s">
        <v>275</v>
      </c>
      <c r="E754" s="65" t="s">
        <v>217</v>
      </c>
      <c r="F754" s="65" t="s">
        <v>163</v>
      </c>
      <c r="G754" s="63" t="s">
        <v>164</v>
      </c>
      <c r="H754" s="63">
        <v>52</v>
      </c>
      <c r="I754" s="65" t="s">
        <v>165</v>
      </c>
      <c r="J754" s="63">
        <v>4734</v>
      </c>
      <c r="K754" s="64">
        <v>910.82</v>
      </c>
      <c r="L754" s="63" t="s">
        <v>2653</v>
      </c>
      <c r="M754" s="65" t="str">
        <f t="shared" si="11"/>
        <v>BRASIL MINERACAOUA SAO LUISPÓ DE BRITA</v>
      </c>
      <c r="N754" s="85" t="s">
        <v>224</v>
      </c>
    </row>
    <row r="755" spans="2:14" hidden="1" x14ac:dyDescent="0.25">
      <c r="B755" s="91">
        <v>46110</v>
      </c>
      <c r="C755" s="63">
        <v>1</v>
      </c>
      <c r="D755" s="63" t="s">
        <v>275</v>
      </c>
      <c r="E755" s="65" t="s">
        <v>217</v>
      </c>
      <c r="F755" s="65" t="s">
        <v>166</v>
      </c>
      <c r="G755" s="63" t="s">
        <v>191</v>
      </c>
      <c r="H755" s="63">
        <v>243</v>
      </c>
      <c r="I755" s="65" t="s">
        <v>165</v>
      </c>
      <c r="J755" s="63">
        <v>4868</v>
      </c>
      <c r="K755" s="64">
        <v>4376.82</v>
      </c>
      <c r="L755" s="63" t="s">
        <v>2654</v>
      </c>
      <c r="M755" s="65" t="str">
        <f t="shared" si="11"/>
        <v>GRANORTEOLINDA NOVA - MAPÓ DE BRITA</v>
      </c>
      <c r="N755" s="85" t="s">
        <v>191</v>
      </c>
    </row>
    <row r="756" spans="2:14" hidden="1" x14ac:dyDescent="0.25">
      <c r="B756" s="91">
        <v>46111</v>
      </c>
      <c r="C756" s="63">
        <v>1</v>
      </c>
      <c r="D756" s="63" t="s">
        <v>203</v>
      </c>
      <c r="E756" s="65" t="s">
        <v>204</v>
      </c>
      <c r="F756" s="65" t="s">
        <v>163</v>
      </c>
      <c r="G756" s="63" t="s">
        <v>164</v>
      </c>
      <c r="H756" s="63">
        <v>52</v>
      </c>
      <c r="I756" s="65" t="s">
        <v>175</v>
      </c>
      <c r="J756" s="63">
        <v>4524</v>
      </c>
      <c r="K756" s="64">
        <v>870.42</v>
      </c>
      <c r="L756" s="63" t="s">
        <v>2655</v>
      </c>
      <c r="M756" s="65" t="str">
        <f t="shared" si="11"/>
        <v>BRASIL MINERACAOUA SAO LUISBRITA 0</v>
      </c>
      <c r="N756" s="85" t="s">
        <v>224</v>
      </c>
    </row>
    <row r="757" spans="2:14" hidden="1" x14ac:dyDescent="0.25">
      <c r="B757" s="91">
        <v>46111</v>
      </c>
      <c r="C757" s="63">
        <v>1</v>
      </c>
      <c r="D757" s="63" t="s">
        <v>167</v>
      </c>
      <c r="E757" s="65" t="s">
        <v>168</v>
      </c>
      <c r="F757" s="65" t="s">
        <v>166</v>
      </c>
      <c r="G757" s="63" t="s">
        <v>824</v>
      </c>
      <c r="H757" s="63">
        <v>78</v>
      </c>
      <c r="I757" s="65" t="s">
        <v>169</v>
      </c>
      <c r="J757" s="63">
        <v>2608</v>
      </c>
      <c r="K757" s="64">
        <v>752.67</v>
      </c>
      <c r="L757" s="63" t="s">
        <v>2656</v>
      </c>
      <c r="M757" s="65" t="str">
        <f t="shared" si="11"/>
        <v>GRANORTECRUZAMENTO MA 201/202 (METROPOLITANA)PULMÃOZINHO</v>
      </c>
      <c r="N757" s="85" t="s">
        <v>108</v>
      </c>
    </row>
    <row r="758" spans="2:14" hidden="1" x14ac:dyDescent="0.25">
      <c r="B758" s="91">
        <v>46111</v>
      </c>
      <c r="C758" s="63">
        <v>1</v>
      </c>
      <c r="D758" s="63" t="s">
        <v>167</v>
      </c>
      <c r="E758" s="65" t="s">
        <v>168</v>
      </c>
      <c r="F758" s="65" t="s">
        <v>166</v>
      </c>
      <c r="G758" s="63" t="s">
        <v>824</v>
      </c>
      <c r="H758" s="63">
        <v>78</v>
      </c>
      <c r="I758" s="65" t="s">
        <v>169</v>
      </c>
      <c r="J758" s="63">
        <v>2632</v>
      </c>
      <c r="K758" s="64">
        <v>759.6</v>
      </c>
      <c r="L758" s="63" t="s">
        <v>2657</v>
      </c>
      <c r="M758" s="65" t="str">
        <f t="shared" si="11"/>
        <v>GRANORTECRUZAMENTO MA 201/202 (METROPOLITANA)PULMÃOZINHO</v>
      </c>
      <c r="N758" s="85" t="s">
        <v>108</v>
      </c>
    </row>
    <row r="759" spans="2:14" hidden="1" x14ac:dyDescent="0.25">
      <c r="B759" s="91">
        <v>46111</v>
      </c>
      <c r="C759" s="63">
        <v>1</v>
      </c>
      <c r="D759" s="63" t="s">
        <v>170</v>
      </c>
      <c r="E759" s="65" t="s">
        <v>171</v>
      </c>
      <c r="F759" s="65" t="s">
        <v>166</v>
      </c>
      <c r="G759" s="63" t="s">
        <v>824</v>
      </c>
      <c r="H759" s="63">
        <v>78</v>
      </c>
      <c r="I759" s="65" t="s">
        <v>169</v>
      </c>
      <c r="J759" s="63">
        <v>260</v>
      </c>
      <c r="K759" s="64">
        <v>750.36</v>
      </c>
      <c r="L759" s="63" t="s">
        <v>2658</v>
      </c>
      <c r="M759" s="65" t="str">
        <f t="shared" si="11"/>
        <v>GRANORTECRUZAMENTO MA 201/202 (METROPOLITANA)PULMÃOZINHO</v>
      </c>
      <c r="N759" s="85" t="s">
        <v>108</v>
      </c>
    </row>
    <row r="760" spans="2:14" hidden="1" x14ac:dyDescent="0.25">
      <c r="B760" s="91">
        <v>46111</v>
      </c>
      <c r="C760" s="63">
        <v>1</v>
      </c>
      <c r="D760" s="63" t="s">
        <v>188</v>
      </c>
      <c r="E760" s="65" t="s">
        <v>189</v>
      </c>
      <c r="F760" s="65" t="s">
        <v>166</v>
      </c>
      <c r="G760" s="63" t="s">
        <v>164</v>
      </c>
      <c r="H760" s="63">
        <v>58</v>
      </c>
      <c r="I760" s="65" t="s">
        <v>165</v>
      </c>
      <c r="J760" s="63">
        <v>4868</v>
      </c>
      <c r="K760" s="64">
        <v>1044.67</v>
      </c>
      <c r="L760" s="63" t="s">
        <v>2659</v>
      </c>
      <c r="M760" s="65" t="str">
        <f t="shared" si="11"/>
        <v>GRANORTEUA SAO LUISPÓ DE BRITA</v>
      </c>
      <c r="N760" s="85" t="s">
        <v>224</v>
      </c>
    </row>
    <row r="761" spans="2:14" hidden="1" x14ac:dyDescent="0.25">
      <c r="B761" s="91">
        <v>46111</v>
      </c>
      <c r="C761" s="63">
        <v>1</v>
      </c>
      <c r="D761" s="63" t="s">
        <v>181</v>
      </c>
      <c r="E761" s="65" t="s">
        <v>182</v>
      </c>
      <c r="F761" s="65" t="s">
        <v>166</v>
      </c>
      <c r="G761" s="63" t="s">
        <v>824</v>
      </c>
      <c r="H761" s="63">
        <v>78</v>
      </c>
      <c r="I761" s="65" t="s">
        <v>172</v>
      </c>
      <c r="J761" s="63">
        <v>2628</v>
      </c>
      <c r="K761" s="64">
        <v>758.44</v>
      </c>
      <c r="L761" s="63" t="s">
        <v>2660</v>
      </c>
      <c r="M761" s="65" t="str">
        <f t="shared" si="11"/>
        <v>GRANORTECRUZAMENTO MA 201/202 (METROPOLITANA)BICA CORRIDA</v>
      </c>
      <c r="N761" s="85" t="s">
        <v>108</v>
      </c>
    </row>
    <row r="762" spans="2:14" hidden="1" x14ac:dyDescent="0.25">
      <c r="B762" s="91">
        <v>46111</v>
      </c>
      <c r="C762" s="63">
        <v>1</v>
      </c>
      <c r="D762" s="63" t="s">
        <v>196</v>
      </c>
      <c r="E762" s="65" t="s">
        <v>197</v>
      </c>
      <c r="F762" s="65" t="s">
        <v>166</v>
      </c>
      <c r="G762" s="63" t="s">
        <v>164</v>
      </c>
      <c r="H762" s="63">
        <v>58</v>
      </c>
      <c r="I762" s="65" t="s">
        <v>165</v>
      </c>
      <c r="J762" s="63">
        <v>5132</v>
      </c>
      <c r="K762" s="64">
        <v>1101.33</v>
      </c>
      <c r="L762" s="63" t="s">
        <v>2661</v>
      </c>
      <c r="M762" s="65" t="str">
        <f t="shared" si="11"/>
        <v>GRANORTEUA SAO LUISPÓ DE BRITA</v>
      </c>
      <c r="N762" s="85" t="s">
        <v>224</v>
      </c>
    </row>
    <row r="763" spans="2:14" hidden="1" x14ac:dyDescent="0.25">
      <c r="B763" s="91">
        <v>46111</v>
      </c>
      <c r="C763" s="63">
        <v>1</v>
      </c>
      <c r="D763" s="63" t="s">
        <v>205</v>
      </c>
      <c r="E763" s="65" t="s">
        <v>206</v>
      </c>
      <c r="F763" s="65" t="s">
        <v>276</v>
      </c>
      <c r="G763" s="63" t="s">
        <v>2033</v>
      </c>
      <c r="H763" s="63">
        <v>323</v>
      </c>
      <c r="I763" s="65" t="s">
        <v>7</v>
      </c>
      <c r="J763" s="63">
        <v>5702</v>
      </c>
      <c r="K763" s="64">
        <v>5893.59</v>
      </c>
      <c r="L763" s="63" t="s">
        <v>2662</v>
      </c>
      <c r="M763" s="65" t="str">
        <f t="shared" si="11"/>
        <v>MINERADORA PORTO FRANCOVALE KM 386MATERIAL</v>
      </c>
      <c r="N763" s="85" t="s">
        <v>15</v>
      </c>
    </row>
    <row r="764" spans="2:14" hidden="1" x14ac:dyDescent="0.25">
      <c r="B764" s="91">
        <v>46111</v>
      </c>
      <c r="C764" s="63">
        <v>1</v>
      </c>
      <c r="D764" s="63" t="s">
        <v>203</v>
      </c>
      <c r="E764" s="65" t="s">
        <v>204</v>
      </c>
      <c r="F764" s="65" t="s">
        <v>166</v>
      </c>
      <c r="G764" s="63" t="s">
        <v>164</v>
      </c>
      <c r="H764" s="63">
        <v>58</v>
      </c>
      <c r="I764" s="65" t="s">
        <v>165</v>
      </c>
      <c r="J764" s="63">
        <v>4672</v>
      </c>
      <c r="K764" s="64">
        <v>1002.61</v>
      </c>
      <c r="L764" s="63" t="s">
        <v>2663</v>
      </c>
      <c r="M764" s="65" t="str">
        <f t="shared" si="11"/>
        <v>GRANORTEUA SAO LUISPÓ DE BRITA</v>
      </c>
      <c r="N764" s="85" t="s">
        <v>224</v>
      </c>
    </row>
    <row r="765" spans="2:14" hidden="1" x14ac:dyDescent="0.25">
      <c r="B765" s="91">
        <v>46111</v>
      </c>
      <c r="C765" s="63">
        <v>1</v>
      </c>
      <c r="D765" s="63" t="s">
        <v>162</v>
      </c>
      <c r="E765" s="65" t="s">
        <v>281</v>
      </c>
      <c r="F765" s="65" t="s">
        <v>166</v>
      </c>
      <c r="G765" s="63" t="s">
        <v>111</v>
      </c>
      <c r="H765" s="63">
        <v>79</v>
      </c>
      <c r="I765" s="65" t="s">
        <v>172</v>
      </c>
      <c r="J765" s="63">
        <v>2434</v>
      </c>
      <c r="K765" s="64">
        <v>711.46</v>
      </c>
      <c r="L765" s="63" t="s">
        <v>2664</v>
      </c>
      <c r="M765" s="65" t="str">
        <f t="shared" si="11"/>
        <v>GRANORTEBEIRA RIOBICA CORRIDA</v>
      </c>
      <c r="N765" s="85" t="s">
        <v>111</v>
      </c>
    </row>
    <row r="766" spans="2:14" hidden="1" x14ac:dyDescent="0.25">
      <c r="B766" s="91">
        <v>46111</v>
      </c>
      <c r="C766" s="63">
        <v>1</v>
      </c>
      <c r="D766" s="63" t="s">
        <v>170</v>
      </c>
      <c r="E766" s="65" t="s">
        <v>171</v>
      </c>
      <c r="F766" s="65" t="s">
        <v>166</v>
      </c>
      <c r="G766" s="63" t="s">
        <v>824</v>
      </c>
      <c r="H766" s="63">
        <v>78</v>
      </c>
      <c r="I766" s="65" t="s">
        <v>172</v>
      </c>
      <c r="J766" s="63">
        <v>258</v>
      </c>
      <c r="K766" s="64">
        <v>744.59</v>
      </c>
      <c r="L766" s="63" t="s">
        <v>2665</v>
      </c>
      <c r="M766" s="65" t="str">
        <f t="shared" si="11"/>
        <v>GRANORTECRUZAMENTO MA 201/202 (METROPOLITANA)BICA CORRIDA</v>
      </c>
      <c r="N766" s="85" t="s">
        <v>108</v>
      </c>
    </row>
    <row r="767" spans="2:14" hidden="1" x14ac:dyDescent="0.25">
      <c r="B767" s="91">
        <v>46111</v>
      </c>
      <c r="C767" s="63">
        <v>1</v>
      </c>
      <c r="D767" s="63" t="s">
        <v>202</v>
      </c>
      <c r="E767" s="65" t="s">
        <v>214</v>
      </c>
      <c r="F767" s="65" t="s">
        <v>166</v>
      </c>
      <c r="G767" s="63" t="s">
        <v>164</v>
      </c>
      <c r="H767" s="63">
        <v>58</v>
      </c>
      <c r="I767" s="65" t="s">
        <v>165</v>
      </c>
      <c r="J767" s="63">
        <v>5194</v>
      </c>
      <c r="K767" s="64">
        <v>1114.6300000000001</v>
      </c>
      <c r="L767" s="63" t="s">
        <v>2666</v>
      </c>
      <c r="M767" s="65" t="str">
        <f t="shared" si="11"/>
        <v>GRANORTEUA SAO LUISPÓ DE BRITA</v>
      </c>
      <c r="N767" s="85" t="s">
        <v>224</v>
      </c>
    </row>
    <row r="768" spans="2:14" hidden="1" x14ac:dyDescent="0.25">
      <c r="B768" s="91">
        <v>46111</v>
      </c>
      <c r="C768" s="63">
        <v>1</v>
      </c>
      <c r="D768" s="63" t="s">
        <v>208</v>
      </c>
      <c r="E768" s="65" t="s">
        <v>209</v>
      </c>
      <c r="F768" s="65" t="s">
        <v>166</v>
      </c>
      <c r="G768" s="63" t="s">
        <v>164</v>
      </c>
      <c r="H768" s="63">
        <v>58</v>
      </c>
      <c r="I768" s="65" t="s">
        <v>165</v>
      </c>
      <c r="J768" s="63">
        <v>460</v>
      </c>
      <c r="K768" s="64">
        <v>987.16</v>
      </c>
      <c r="L768" s="63" t="s">
        <v>2667</v>
      </c>
      <c r="M768" s="65" t="str">
        <f t="shared" si="11"/>
        <v>GRANORTEUA SAO LUISPÓ DE BRITA</v>
      </c>
      <c r="N768" s="85" t="s">
        <v>224</v>
      </c>
    </row>
    <row r="769" spans="2:14" hidden="1" x14ac:dyDescent="0.25">
      <c r="B769" s="91">
        <v>46111</v>
      </c>
      <c r="C769" s="63">
        <v>1</v>
      </c>
      <c r="D769" s="63" t="s">
        <v>186</v>
      </c>
      <c r="E769" s="65" t="s">
        <v>187</v>
      </c>
      <c r="F769" s="65" t="s">
        <v>166</v>
      </c>
      <c r="G769" s="63" t="s">
        <v>164</v>
      </c>
      <c r="H769" s="63">
        <v>58</v>
      </c>
      <c r="I769" s="65" t="s">
        <v>165</v>
      </c>
      <c r="J769" s="63">
        <v>509</v>
      </c>
      <c r="K769" s="64">
        <v>1092.31</v>
      </c>
      <c r="L769" s="63" t="s">
        <v>2668</v>
      </c>
      <c r="M769" s="65" t="str">
        <f t="shared" si="11"/>
        <v>GRANORTEUA SAO LUISPÓ DE BRITA</v>
      </c>
      <c r="N769" s="85" t="s">
        <v>224</v>
      </c>
    </row>
    <row r="770" spans="2:14" hidden="1" x14ac:dyDescent="0.25">
      <c r="B770" s="91">
        <v>46111</v>
      </c>
      <c r="C770" s="63">
        <v>1</v>
      </c>
      <c r="D770" s="63" t="s">
        <v>188</v>
      </c>
      <c r="E770" s="65" t="s">
        <v>189</v>
      </c>
      <c r="F770" s="65" t="s">
        <v>163</v>
      </c>
      <c r="G770" s="63" t="s">
        <v>164</v>
      </c>
      <c r="H770" s="63">
        <v>52</v>
      </c>
      <c r="I770" s="65" t="s">
        <v>175</v>
      </c>
      <c r="J770" s="63">
        <v>4726</v>
      </c>
      <c r="K770" s="64">
        <v>909.28</v>
      </c>
      <c r="L770" s="63" t="s">
        <v>2669</v>
      </c>
      <c r="M770" s="65" t="str">
        <f t="shared" si="11"/>
        <v>BRASIL MINERACAOUA SAO LUISBRITA 0</v>
      </c>
      <c r="N770" s="85" t="s">
        <v>224</v>
      </c>
    </row>
    <row r="771" spans="2:14" hidden="1" x14ac:dyDescent="0.25">
      <c r="B771" s="91">
        <v>46111</v>
      </c>
      <c r="C771" s="63">
        <v>1</v>
      </c>
      <c r="D771" s="63" t="s">
        <v>196</v>
      </c>
      <c r="E771" s="65" t="s">
        <v>197</v>
      </c>
      <c r="F771" s="65" t="s">
        <v>163</v>
      </c>
      <c r="G771" s="63" t="s">
        <v>164</v>
      </c>
      <c r="H771" s="63">
        <v>52</v>
      </c>
      <c r="I771" s="65" t="s">
        <v>175</v>
      </c>
      <c r="J771" s="63">
        <v>5046</v>
      </c>
      <c r="K771" s="64">
        <v>970.85</v>
      </c>
      <c r="L771" s="63" t="s">
        <v>2670</v>
      </c>
      <c r="M771" s="65" t="str">
        <f t="shared" si="11"/>
        <v>BRASIL MINERACAOUA SAO LUISBRITA 0</v>
      </c>
      <c r="N771" s="85" t="s">
        <v>224</v>
      </c>
    </row>
    <row r="772" spans="2:14" hidden="1" x14ac:dyDescent="0.25">
      <c r="B772" s="91">
        <v>46111</v>
      </c>
      <c r="C772" s="63">
        <v>1</v>
      </c>
      <c r="D772" s="63" t="s">
        <v>162</v>
      </c>
      <c r="E772" s="65" t="s">
        <v>281</v>
      </c>
      <c r="F772" s="65" t="s">
        <v>166</v>
      </c>
      <c r="G772" s="63" t="s">
        <v>111</v>
      </c>
      <c r="H772" s="63">
        <v>79</v>
      </c>
      <c r="I772" s="65" t="s">
        <v>172</v>
      </c>
      <c r="J772" s="63">
        <v>2652</v>
      </c>
      <c r="K772" s="64">
        <v>775.18</v>
      </c>
      <c r="L772" s="63" t="s">
        <v>2671</v>
      </c>
      <c r="M772" s="65" t="str">
        <f t="shared" si="11"/>
        <v>GRANORTEBEIRA RIOBICA CORRIDA</v>
      </c>
      <c r="N772" s="85" t="s">
        <v>111</v>
      </c>
    </row>
    <row r="773" spans="2:14" hidden="1" x14ac:dyDescent="0.25">
      <c r="B773" s="91">
        <v>46111</v>
      </c>
      <c r="C773" s="63">
        <v>1</v>
      </c>
      <c r="D773" s="63" t="s">
        <v>202</v>
      </c>
      <c r="E773" s="65" t="s">
        <v>214</v>
      </c>
      <c r="F773" s="65" t="s">
        <v>163</v>
      </c>
      <c r="G773" s="63" t="s">
        <v>164</v>
      </c>
      <c r="H773" s="63">
        <v>52</v>
      </c>
      <c r="I773" s="65" t="s">
        <v>165</v>
      </c>
      <c r="J773" s="63">
        <v>4782</v>
      </c>
      <c r="K773" s="64">
        <v>920.06</v>
      </c>
      <c r="L773" s="63" t="s">
        <v>2672</v>
      </c>
      <c r="M773" s="65" t="str">
        <f t="shared" ref="M773:M836" si="12">_xlfn.CONCAT(F773&amp;G773&amp;I773)</f>
        <v>BRASIL MINERACAOUA SAO LUISPÓ DE BRITA</v>
      </c>
      <c r="N773" s="85" t="s">
        <v>224</v>
      </c>
    </row>
    <row r="774" spans="2:14" hidden="1" x14ac:dyDescent="0.25">
      <c r="B774" s="91">
        <v>46111</v>
      </c>
      <c r="C774" s="63">
        <v>1</v>
      </c>
      <c r="D774" s="63" t="s">
        <v>183</v>
      </c>
      <c r="E774" s="65" t="s">
        <v>184</v>
      </c>
      <c r="F774" s="65" t="s">
        <v>166</v>
      </c>
      <c r="G774" s="63" t="s">
        <v>111</v>
      </c>
      <c r="H774" s="63">
        <v>79</v>
      </c>
      <c r="I774" s="65" t="s">
        <v>169</v>
      </c>
      <c r="J774" s="63">
        <v>2668</v>
      </c>
      <c r="K774" s="64">
        <v>779.86</v>
      </c>
      <c r="L774" s="63" t="s">
        <v>2673</v>
      </c>
      <c r="M774" s="65" t="str">
        <f t="shared" si="12"/>
        <v>GRANORTEBEIRA RIOPULMÃOZINHO</v>
      </c>
      <c r="N774" s="85" t="s">
        <v>111</v>
      </c>
    </row>
    <row r="775" spans="2:14" hidden="1" x14ac:dyDescent="0.25">
      <c r="B775" s="91">
        <v>46111</v>
      </c>
      <c r="C775" s="63">
        <v>1</v>
      </c>
      <c r="D775" s="63" t="s">
        <v>183</v>
      </c>
      <c r="E775" s="65" t="s">
        <v>184</v>
      </c>
      <c r="F775" s="65" t="s">
        <v>166</v>
      </c>
      <c r="G775" s="63" t="s">
        <v>111</v>
      </c>
      <c r="H775" s="63">
        <v>79</v>
      </c>
      <c r="I775" s="65" t="s">
        <v>172</v>
      </c>
      <c r="J775" s="63">
        <v>2642</v>
      </c>
      <c r="K775" s="64">
        <v>772.26</v>
      </c>
      <c r="L775" s="63" t="s">
        <v>2674</v>
      </c>
      <c r="M775" s="65" t="str">
        <f t="shared" si="12"/>
        <v>GRANORTEBEIRA RIOBICA CORRIDA</v>
      </c>
      <c r="N775" s="85" t="s">
        <v>111</v>
      </c>
    </row>
    <row r="776" spans="2:14" hidden="1" x14ac:dyDescent="0.25">
      <c r="B776" s="91">
        <v>46111</v>
      </c>
      <c r="C776" s="63">
        <v>1</v>
      </c>
      <c r="D776" s="63" t="s">
        <v>203</v>
      </c>
      <c r="E776" s="65" t="s">
        <v>204</v>
      </c>
      <c r="F776" s="65" t="s">
        <v>166</v>
      </c>
      <c r="G776" s="63" t="s">
        <v>164</v>
      </c>
      <c r="H776" s="63">
        <v>58</v>
      </c>
      <c r="I776" s="65" t="s">
        <v>175</v>
      </c>
      <c r="J776" s="63">
        <v>476</v>
      </c>
      <c r="K776" s="64">
        <v>1021.5</v>
      </c>
      <c r="L776" s="63" t="s">
        <v>2675</v>
      </c>
      <c r="M776" s="65" t="str">
        <f t="shared" si="12"/>
        <v>GRANORTEUA SAO LUISBRITA 0</v>
      </c>
      <c r="N776" s="85" t="s">
        <v>224</v>
      </c>
    </row>
    <row r="777" spans="2:14" hidden="1" x14ac:dyDescent="0.25">
      <c r="B777" s="91">
        <v>46111</v>
      </c>
      <c r="C777" s="63">
        <v>1</v>
      </c>
      <c r="D777" s="63" t="s">
        <v>192</v>
      </c>
      <c r="E777" s="65" t="s">
        <v>287</v>
      </c>
      <c r="F777" s="65" t="s">
        <v>166</v>
      </c>
      <c r="G777" s="63" t="s">
        <v>164</v>
      </c>
      <c r="H777" s="63">
        <v>58</v>
      </c>
      <c r="I777" s="65" t="s">
        <v>165</v>
      </c>
      <c r="J777" s="63">
        <v>4754</v>
      </c>
      <c r="K777" s="64">
        <v>1020.21</v>
      </c>
      <c r="L777" s="63" t="s">
        <v>2676</v>
      </c>
      <c r="M777" s="65" t="str">
        <f t="shared" si="12"/>
        <v>GRANORTEUA SAO LUISPÓ DE BRITA</v>
      </c>
      <c r="N777" s="85" t="s">
        <v>224</v>
      </c>
    </row>
    <row r="778" spans="2:14" hidden="1" x14ac:dyDescent="0.25">
      <c r="B778" s="91">
        <v>46111</v>
      </c>
      <c r="C778" s="63">
        <v>1</v>
      </c>
      <c r="D778" s="63" t="s">
        <v>188</v>
      </c>
      <c r="E778" s="65" t="s">
        <v>189</v>
      </c>
      <c r="F778" s="65" t="s">
        <v>163</v>
      </c>
      <c r="G778" s="63" t="s">
        <v>164</v>
      </c>
      <c r="H778" s="63">
        <v>52</v>
      </c>
      <c r="I778" s="65" t="s">
        <v>175</v>
      </c>
      <c r="J778" s="63">
        <v>474</v>
      </c>
      <c r="K778" s="64">
        <v>911.98</v>
      </c>
      <c r="L778" s="63" t="s">
        <v>2677</v>
      </c>
      <c r="M778" s="65" t="str">
        <f t="shared" si="12"/>
        <v>BRASIL MINERACAOUA SAO LUISBRITA 0</v>
      </c>
      <c r="N778" s="85" t="s">
        <v>224</v>
      </c>
    </row>
    <row r="779" spans="2:14" hidden="1" x14ac:dyDescent="0.25">
      <c r="B779" s="91">
        <v>46111</v>
      </c>
      <c r="C779" s="63">
        <v>1</v>
      </c>
      <c r="D779" s="63" t="s">
        <v>1948</v>
      </c>
      <c r="E779" s="65" t="s">
        <v>1949</v>
      </c>
      <c r="F779" s="65" t="s">
        <v>163</v>
      </c>
      <c r="G779" s="63" t="s">
        <v>164</v>
      </c>
      <c r="H779" s="63">
        <v>52</v>
      </c>
      <c r="I779" s="65" t="s">
        <v>175</v>
      </c>
      <c r="J779" s="63">
        <v>486</v>
      </c>
      <c r="K779" s="64">
        <v>935.06</v>
      </c>
      <c r="L779" s="63" t="s">
        <v>2678</v>
      </c>
      <c r="M779" s="65" t="str">
        <f t="shared" si="12"/>
        <v>BRASIL MINERACAOUA SAO LUISBRITA 0</v>
      </c>
      <c r="N779" s="85" t="s">
        <v>224</v>
      </c>
    </row>
    <row r="780" spans="2:14" hidden="1" x14ac:dyDescent="0.25">
      <c r="B780" s="91">
        <v>46111</v>
      </c>
      <c r="C780" s="63">
        <v>1</v>
      </c>
      <c r="D780" s="63" t="s">
        <v>1948</v>
      </c>
      <c r="E780" s="65" t="s">
        <v>1949</v>
      </c>
      <c r="F780" s="65" t="s">
        <v>163</v>
      </c>
      <c r="G780" s="63" t="s">
        <v>164</v>
      </c>
      <c r="H780" s="63">
        <v>52</v>
      </c>
      <c r="I780" s="65" t="s">
        <v>165</v>
      </c>
      <c r="J780" s="63">
        <v>476</v>
      </c>
      <c r="K780" s="64">
        <v>915.82</v>
      </c>
      <c r="L780" s="63" t="s">
        <v>2672</v>
      </c>
      <c r="M780" s="65" t="str">
        <f t="shared" si="12"/>
        <v>BRASIL MINERACAOUA SAO LUISPÓ DE BRITA</v>
      </c>
      <c r="N780" s="85" t="s">
        <v>224</v>
      </c>
    </row>
    <row r="781" spans="2:14" hidden="1" x14ac:dyDescent="0.25">
      <c r="B781" s="91">
        <v>46111</v>
      </c>
      <c r="C781" s="63">
        <v>1</v>
      </c>
      <c r="D781" s="63" t="s">
        <v>283</v>
      </c>
      <c r="E781" s="65" t="s">
        <v>215</v>
      </c>
      <c r="F781" s="65" t="s">
        <v>163</v>
      </c>
      <c r="G781" s="63" t="s">
        <v>164</v>
      </c>
      <c r="H781" s="63">
        <v>52</v>
      </c>
      <c r="I781" s="65" t="s">
        <v>165</v>
      </c>
      <c r="J781" s="63">
        <v>2634</v>
      </c>
      <c r="K781" s="64">
        <v>506.78</v>
      </c>
      <c r="L781" s="63" t="s">
        <v>2679</v>
      </c>
      <c r="M781" s="65" t="str">
        <f t="shared" si="12"/>
        <v>BRASIL MINERACAOUA SAO LUISPÓ DE BRITA</v>
      </c>
      <c r="N781" s="85" t="s">
        <v>224</v>
      </c>
    </row>
    <row r="782" spans="2:14" hidden="1" x14ac:dyDescent="0.25">
      <c r="B782" s="91">
        <v>46111</v>
      </c>
      <c r="C782" s="63">
        <v>1</v>
      </c>
      <c r="D782" s="63" t="s">
        <v>283</v>
      </c>
      <c r="E782" s="65" t="s">
        <v>215</v>
      </c>
      <c r="F782" s="65" t="s">
        <v>163</v>
      </c>
      <c r="G782" s="63" t="s">
        <v>164</v>
      </c>
      <c r="H782" s="63">
        <v>52</v>
      </c>
      <c r="I782" s="65" t="s">
        <v>165</v>
      </c>
      <c r="J782" s="63">
        <v>2684</v>
      </c>
      <c r="K782" s="64">
        <v>516.4</v>
      </c>
      <c r="L782" s="63" t="s">
        <v>2680</v>
      </c>
      <c r="M782" s="65" t="str">
        <f t="shared" si="12"/>
        <v>BRASIL MINERACAOUA SAO LUISPÓ DE BRITA</v>
      </c>
      <c r="N782" s="85" t="s">
        <v>224</v>
      </c>
    </row>
    <row r="783" spans="2:14" hidden="1" x14ac:dyDescent="0.25">
      <c r="B783" s="91">
        <v>46111</v>
      </c>
      <c r="C783" s="63">
        <v>1</v>
      </c>
      <c r="D783" s="63" t="s">
        <v>210</v>
      </c>
      <c r="E783" s="65" t="s">
        <v>211</v>
      </c>
      <c r="F783" s="65" t="s">
        <v>163</v>
      </c>
      <c r="G783" s="63" t="s">
        <v>164</v>
      </c>
      <c r="H783" s="63">
        <v>52</v>
      </c>
      <c r="I783" s="65" t="s">
        <v>165</v>
      </c>
      <c r="J783" s="63">
        <v>4918</v>
      </c>
      <c r="K783" s="64">
        <v>946.22</v>
      </c>
      <c r="L783" s="63" t="s">
        <v>2681</v>
      </c>
      <c r="M783" s="65" t="str">
        <f t="shared" si="12"/>
        <v>BRASIL MINERACAOUA SAO LUISPÓ DE BRITA</v>
      </c>
      <c r="N783" s="85" t="s">
        <v>224</v>
      </c>
    </row>
    <row r="784" spans="2:14" hidden="1" x14ac:dyDescent="0.25">
      <c r="B784" s="91">
        <v>46111</v>
      </c>
      <c r="C784" s="63">
        <v>1</v>
      </c>
      <c r="D784" s="63" t="s">
        <v>181</v>
      </c>
      <c r="E784" s="65" t="s">
        <v>182</v>
      </c>
      <c r="F784" s="65" t="s">
        <v>166</v>
      </c>
      <c r="G784" s="63" t="s">
        <v>824</v>
      </c>
      <c r="H784" s="63">
        <v>78</v>
      </c>
      <c r="I784" s="65" t="s">
        <v>172</v>
      </c>
      <c r="J784" s="63">
        <v>2538</v>
      </c>
      <c r="K784" s="64">
        <v>732.47</v>
      </c>
      <c r="L784" s="63" t="s">
        <v>2682</v>
      </c>
      <c r="M784" s="65" t="str">
        <f t="shared" si="12"/>
        <v>GRANORTECRUZAMENTO MA 201/202 (METROPOLITANA)BICA CORRIDA</v>
      </c>
      <c r="N784" s="85" t="s">
        <v>108</v>
      </c>
    </row>
    <row r="785" spans="2:14" hidden="1" x14ac:dyDescent="0.25">
      <c r="B785" s="91">
        <v>46111</v>
      </c>
      <c r="C785" s="63">
        <v>1</v>
      </c>
      <c r="D785" s="63" t="s">
        <v>192</v>
      </c>
      <c r="E785" s="65" t="s">
        <v>287</v>
      </c>
      <c r="F785" s="65" t="s">
        <v>166</v>
      </c>
      <c r="G785" s="63" t="s">
        <v>164</v>
      </c>
      <c r="H785" s="63">
        <v>58</v>
      </c>
      <c r="I785" s="65" t="s">
        <v>175</v>
      </c>
      <c r="J785" s="63">
        <v>5146</v>
      </c>
      <c r="K785" s="64">
        <v>1104.33</v>
      </c>
      <c r="L785" s="63" t="s">
        <v>2683</v>
      </c>
      <c r="M785" s="65" t="str">
        <f t="shared" si="12"/>
        <v>GRANORTEUA SAO LUISBRITA 0</v>
      </c>
      <c r="N785" s="85" t="s">
        <v>224</v>
      </c>
    </row>
    <row r="786" spans="2:14" hidden="1" x14ac:dyDescent="0.25">
      <c r="B786" s="91">
        <v>46111</v>
      </c>
      <c r="C786" s="63">
        <v>1</v>
      </c>
      <c r="D786" s="63" t="s">
        <v>213</v>
      </c>
      <c r="E786" s="65" t="s">
        <v>178</v>
      </c>
      <c r="F786" s="65" t="s">
        <v>166</v>
      </c>
      <c r="G786" s="63" t="s">
        <v>164</v>
      </c>
      <c r="H786" s="63">
        <v>58</v>
      </c>
      <c r="I786" s="65" t="s">
        <v>165</v>
      </c>
      <c r="J786" s="63">
        <v>507</v>
      </c>
      <c r="K786" s="64">
        <v>1088.02</v>
      </c>
      <c r="L786" s="63" t="s">
        <v>2684</v>
      </c>
      <c r="M786" s="65" t="str">
        <f t="shared" si="12"/>
        <v>GRANORTEUA SAO LUISPÓ DE BRITA</v>
      </c>
      <c r="N786" s="85" t="s">
        <v>224</v>
      </c>
    </row>
    <row r="787" spans="2:14" hidden="1" x14ac:dyDescent="0.25">
      <c r="B787" s="91">
        <v>46112</v>
      </c>
      <c r="C787" s="63">
        <v>1</v>
      </c>
      <c r="D787" s="63" t="s">
        <v>188</v>
      </c>
      <c r="E787" s="65" t="s">
        <v>189</v>
      </c>
      <c r="F787" s="65" t="s">
        <v>166</v>
      </c>
      <c r="G787" s="63" t="s">
        <v>164</v>
      </c>
      <c r="H787" s="63">
        <v>58</v>
      </c>
      <c r="I787" s="65" t="s">
        <v>175</v>
      </c>
      <c r="J787" s="63">
        <v>7958</v>
      </c>
      <c r="K787" s="64">
        <v>1707.79</v>
      </c>
      <c r="L787" s="63" t="s">
        <v>2685</v>
      </c>
      <c r="M787" s="65" t="str">
        <f t="shared" si="12"/>
        <v>GRANORTEUA SAO LUISBRITA 0</v>
      </c>
      <c r="N787" s="85" t="s">
        <v>224</v>
      </c>
    </row>
    <row r="788" spans="2:14" hidden="1" x14ac:dyDescent="0.25">
      <c r="B788" s="91">
        <v>46112</v>
      </c>
      <c r="C788" s="63">
        <v>1</v>
      </c>
      <c r="D788" s="63" t="s">
        <v>202</v>
      </c>
      <c r="E788" s="65" t="s">
        <v>214</v>
      </c>
      <c r="F788" s="65" t="s">
        <v>163</v>
      </c>
      <c r="G788" s="63" t="s">
        <v>164</v>
      </c>
      <c r="H788" s="63">
        <v>52</v>
      </c>
      <c r="I788" s="65" t="s">
        <v>175</v>
      </c>
      <c r="J788" s="63">
        <v>6724</v>
      </c>
      <c r="K788" s="64">
        <v>1293.7</v>
      </c>
      <c r="L788" s="63" t="s">
        <v>2686</v>
      </c>
      <c r="M788" s="65" t="str">
        <f t="shared" si="12"/>
        <v>BRASIL MINERACAOUA SAO LUISBRITA 0</v>
      </c>
      <c r="N788" s="85" t="s">
        <v>224</v>
      </c>
    </row>
    <row r="789" spans="2:14" hidden="1" x14ac:dyDescent="0.25">
      <c r="B789" s="91">
        <v>46112</v>
      </c>
      <c r="C789" s="63">
        <v>1</v>
      </c>
      <c r="D789" s="63" t="s">
        <v>219</v>
      </c>
      <c r="E789" s="65" t="s">
        <v>220</v>
      </c>
      <c r="F789" s="65" t="s">
        <v>163</v>
      </c>
      <c r="G789" s="63" t="s">
        <v>164</v>
      </c>
      <c r="H789" s="63">
        <v>52</v>
      </c>
      <c r="I789" s="65" t="s">
        <v>175</v>
      </c>
      <c r="J789" s="63">
        <v>980</v>
      </c>
      <c r="K789" s="64">
        <v>1885.52</v>
      </c>
      <c r="L789" s="63" t="s">
        <v>2687</v>
      </c>
      <c r="M789" s="65" t="str">
        <f t="shared" si="12"/>
        <v>BRASIL MINERACAOUA SAO LUISBRITA 0</v>
      </c>
      <c r="N789" s="85" t="s">
        <v>224</v>
      </c>
    </row>
    <row r="790" spans="2:14" hidden="1" x14ac:dyDescent="0.25">
      <c r="B790" s="91">
        <v>46112</v>
      </c>
      <c r="C790" s="63">
        <v>1</v>
      </c>
      <c r="D790" s="63" t="s">
        <v>196</v>
      </c>
      <c r="E790" s="65" t="s">
        <v>197</v>
      </c>
      <c r="F790" s="65" t="s">
        <v>163</v>
      </c>
      <c r="G790" s="63" t="s">
        <v>164</v>
      </c>
      <c r="H790" s="63">
        <v>52</v>
      </c>
      <c r="I790" s="65" t="s">
        <v>175</v>
      </c>
      <c r="J790" s="63">
        <v>4992</v>
      </c>
      <c r="K790" s="64">
        <v>960.46</v>
      </c>
      <c r="L790" s="63" t="s">
        <v>2688</v>
      </c>
      <c r="M790" s="65" t="str">
        <f t="shared" si="12"/>
        <v>BRASIL MINERACAOUA SAO LUISBRITA 0</v>
      </c>
      <c r="N790" s="85" t="s">
        <v>224</v>
      </c>
    </row>
    <row r="791" spans="2:14" hidden="1" x14ac:dyDescent="0.25">
      <c r="B791" s="91">
        <v>46112</v>
      </c>
      <c r="C791" s="63">
        <v>1</v>
      </c>
      <c r="D791" s="63" t="s">
        <v>162</v>
      </c>
      <c r="E791" s="65" t="s">
        <v>281</v>
      </c>
      <c r="F791" s="65" t="s">
        <v>166</v>
      </c>
      <c r="G791" s="63" t="s">
        <v>111</v>
      </c>
      <c r="H791" s="63">
        <v>79</v>
      </c>
      <c r="I791" s="65" t="s">
        <v>169</v>
      </c>
      <c r="J791" s="63">
        <v>2522</v>
      </c>
      <c r="K791" s="64">
        <v>737.18</v>
      </c>
      <c r="L791" s="63" t="s">
        <v>2689</v>
      </c>
      <c r="M791" s="65" t="str">
        <f t="shared" si="12"/>
        <v>GRANORTEBEIRA RIOPULMÃOZINHO</v>
      </c>
      <c r="N791" s="85" t="s">
        <v>111</v>
      </c>
    </row>
    <row r="792" spans="2:14" hidden="1" x14ac:dyDescent="0.25">
      <c r="B792" s="91">
        <v>46112</v>
      </c>
      <c r="C792" s="63">
        <v>1</v>
      </c>
      <c r="D792" s="63" t="s">
        <v>188</v>
      </c>
      <c r="E792" s="65" t="s">
        <v>189</v>
      </c>
      <c r="F792" s="65" t="s">
        <v>166</v>
      </c>
      <c r="G792" s="63" t="s">
        <v>164</v>
      </c>
      <c r="H792" s="63">
        <v>58</v>
      </c>
      <c r="I792" s="65" t="s">
        <v>165</v>
      </c>
      <c r="J792" s="63">
        <v>4676</v>
      </c>
      <c r="K792" s="64">
        <v>1003.47</v>
      </c>
      <c r="L792" s="63" t="s">
        <v>2690</v>
      </c>
      <c r="M792" s="65" t="str">
        <f t="shared" si="12"/>
        <v>GRANORTEUA SAO LUISPÓ DE BRITA</v>
      </c>
      <c r="N792" s="85" t="s">
        <v>224</v>
      </c>
    </row>
    <row r="793" spans="2:14" hidden="1" x14ac:dyDescent="0.25">
      <c r="B793" s="91">
        <v>46112</v>
      </c>
      <c r="C793" s="63">
        <v>1</v>
      </c>
      <c r="D793" s="63" t="s">
        <v>203</v>
      </c>
      <c r="E793" s="65" t="s">
        <v>204</v>
      </c>
      <c r="F793" s="65" t="s">
        <v>163</v>
      </c>
      <c r="G793" s="63" t="s">
        <v>164</v>
      </c>
      <c r="H793" s="63">
        <v>52</v>
      </c>
      <c r="I793" s="65" t="s">
        <v>165</v>
      </c>
      <c r="J793" s="63">
        <v>4424</v>
      </c>
      <c r="K793" s="64">
        <v>851.18</v>
      </c>
      <c r="L793" s="63" t="s">
        <v>2691</v>
      </c>
      <c r="M793" s="65" t="str">
        <f t="shared" si="12"/>
        <v>BRASIL MINERACAOUA SAO LUISPÓ DE BRITA</v>
      </c>
      <c r="N793" s="85" t="s">
        <v>224</v>
      </c>
    </row>
    <row r="794" spans="2:14" hidden="1" x14ac:dyDescent="0.25">
      <c r="B794" s="91">
        <v>46112</v>
      </c>
      <c r="C794" s="63">
        <v>1</v>
      </c>
      <c r="D794" s="63" t="s">
        <v>210</v>
      </c>
      <c r="E794" s="65" t="s">
        <v>211</v>
      </c>
      <c r="F794" s="65" t="s">
        <v>163</v>
      </c>
      <c r="G794" s="63" t="s">
        <v>164</v>
      </c>
      <c r="H794" s="63">
        <v>52</v>
      </c>
      <c r="I794" s="65" t="s">
        <v>165</v>
      </c>
      <c r="J794" s="63">
        <v>4468</v>
      </c>
      <c r="K794" s="64">
        <v>859.64</v>
      </c>
      <c r="L794" s="63" t="s">
        <v>2692</v>
      </c>
      <c r="M794" s="65" t="str">
        <f t="shared" si="12"/>
        <v>BRASIL MINERACAOUA SAO LUISPÓ DE BRITA</v>
      </c>
      <c r="N794" s="85" t="s">
        <v>224</v>
      </c>
    </row>
    <row r="795" spans="2:14" hidden="1" x14ac:dyDescent="0.25">
      <c r="B795" s="91">
        <v>46112</v>
      </c>
      <c r="C795" s="63">
        <v>1</v>
      </c>
      <c r="D795" s="63" t="s">
        <v>162</v>
      </c>
      <c r="E795" s="65" t="s">
        <v>281</v>
      </c>
      <c r="F795" s="65" t="s">
        <v>166</v>
      </c>
      <c r="G795" s="63" t="s">
        <v>111</v>
      </c>
      <c r="H795" s="63">
        <v>79</v>
      </c>
      <c r="I795" s="65" t="s">
        <v>169</v>
      </c>
      <c r="J795" s="63">
        <v>2648</v>
      </c>
      <c r="K795" s="64">
        <v>774.01</v>
      </c>
      <c r="L795" s="63" t="s">
        <v>2693</v>
      </c>
      <c r="M795" s="65" t="str">
        <f t="shared" si="12"/>
        <v>GRANORTEBEIRA RIOPULMÃOZINHO</v>
      </c>
      <c r="N795" s="85" t="s">
        <v>111</v>
      </c>
    </row>
    <row r="796" spans="2:14" hidden="1" x14ac:dyDescent="0.25">
      <c r="B796" s="91">
        <v>46112</v>
      </c>
      <c r="C796" s="63">
        <v>1</v>
      </c>
      <c r="D796" s="63" t="s">
        <v>208</v>
      </c>
      <c r="E796" s="65" t="s">
        <v>209</v>
      </c>
      <c r="F796" s="65" t="s">
        <v>163</v>
      </c>
      <c r="G796" s="63" t="s">
        <v>164</v>
      </c>
      <c r="H796" s="63">
        <v>52</v>
      </c>
      <c r="I796" s="65" t="s">
        <v>165</v>
      </c>
      <c r="J796" s="63">
        <v>450</v>
      </c>
      <c r="K796" s="64">
        <v>865.8</v>
      </c>
      <c r="L796" s="63" t="s">
        <v>2694</v>
      </c>
      <c r="M796" s="65" t="str">
        <f t="shared" si="12"/>
        <v>BRASIL MINERACAOUA SAO LUISPÓ DE BRITA</v>
      </c>
      <c r="N796" s="85" t="s">
        <v>224</v>
      </c>
    </row>
    <row r="797" spans="2:14" hidden="1" x14ac:dyDescent="0.25">
      <c r="B797" s="91">
        <v>46112</v>
      </c>
      <c r="C797" s="63">
        <v>1</v>
      </c>
      <c r="D797" s="63" t="s">
        <v>199</v>
      </c>
      <c r="E797" s="65" t="s">
        <v>180</v>
      </c>
      <c r="F797" s="65" t="s">
        <v>166</v>
      </c>
      <c r="G797" s="63" t="s">
        <v>824</v>
      </c>
      <c r="H797" s="63">
        <v>78</v>
      </c>
      <c r="I797" s="65" t="s">
        <v>169</v>
      </c>
      <c r="J797" s="63">
        <v>2792</v>
      </c>
      <c r="K797" s="64">
        <v>805.77</v>
      </c>
      <c r="L797" s="63" t="s">
        <v>2695</v>
      </c>
      <c r="M797" s="65" t="str">
        <f t="shared" si="12"/>
        <v>GRANORTECRUZAMENTO MA 201/202 (METROPOLITANA)PULMÃOZINHO</v>
      </c>
      <c r="N797" s="85" t="s">
        <v>108</v>
      </c>
    </row>
    <row r="798" spans="2:14" hidden="1" x14ac:dyDescent="0.25">
      <c r="B798" s="91">
        <v>46112</v>
      </c>
      <c r="C798" s="63">
        <v>1</v>
      </c>
      <c r="D798" s="63" t="s">
        <v>188</v>
      </c>
      <c r="E798" s="65" t="s">
        <v>189</v>
      </c>
      <c r="F798" s="65" t="s">
        <v>163</v>
      </c>
      <c r="G798" s="63" t="s">
        <v>164</v>
      </c>
      <c r="H798" s="63">
        <v>52</v>
      </c>
      <c r="I798" s="65" t="s">
        <v>165</v>
      </c>
      <c r="J798" s="63">
        <v>4618</v>
      </c>
      <c r="K798" s="64">
        <v>888.5</v>
      </c>
      <c r="L798" s="63" t="s">
        <v>2696</v>
      </c>
      <c r="M798" s="65" t="str">
        <f t="shared" si="12"/>
        <v>BRASIL MINERACAOUA SAO LUISPÓ DE BRITA</v>
      </c>
      <c r="N798" s="85" t="s">
        <v>224</v>
      </c>
    </row>
    <row r="799" spans="2:14" hidden="1" x14ac:dyDescent="0.25">
      <c r="B799" s="91">
        <v>46112</v>
      </c>
      <c r="C799" s="63">
        <v>1</v>
      </c>
      <c r="D799" s="63" t="s">
        <v>289</v>
      </c>
      <c r="E799" s="65" t="s">
        <v>290</v>
      </c>
      <c r="F799" s="65" t="s">
        <v>291</v>
      </c>
      <c r="G799" s="63" t="s">
        <v>759</v>
      </c>
      <c r="H799" s="63">
        <v>289</v>
      </c>
      <c r="I799" s="65" t="s">
        <v>221</v>
      </c>
      <c r="J799" s="63">
        <v>334</v>
      </c>
      <c r="K799" s="64">
        <v>3571.46</v>
      </c>
      <c r="L799" s="63" t="s">
        <v>2697</v>
      </c>
      <c r="M799" s="65" t="str">
        <f t="shared" si="12"/>
        <v>MINERADORA PORTO FRANCO - MAVF CONSTRUTORA KM39BGS</v>
      </c>
      <c r="N799" s="85" t="s">
        <v>15</v>
      </c>
    </row>
    <row r="800" spans="2:14" hidden="1" x14ac:dyDescent="0.25">
      <c r="B800" s="91">
        <v>46112</v>
      </c>
      <c r="C800" s="63">
        <v>1</v>
      </c>
      <c r="D800" s="63" t="s">
        <v>196</v>
      </c>
      <c r="E800" s="65" t="s">
        <v>197</v>
      </c>
      <c r="F800" s="65" t="s">
        <v>163</v>
      </c>
      <c r="G800" s="63" t="s">
        <v>164</v>
      </c>
      <c r="H800" s="63">
        <v>52</v>
      </c>
      <c r="I800" s="65" t="s">
        <v>165</v>
      </c>
      <c r="J800" s="63">
        <v>4926</v>
      </c>
      <c r="K800" s="64">
        <v>947.76</v>
      </c>
      <c r="L800" s="63" t="s">
        <v>2698</v>
      </c>
      <c r="M800" s="65" t="str">
        <f t="shared" si="12"/>
        <v>BRASIL MINERACAOUA SAO LUISPÓ DE BRITA</v>
      </c>
      <c r="N800" s="85" t="s">
        <v>224</v>
      </c>
    </row>
    <row r="801" spans="2:14" hidden="1" x14ac:dyDescent="0.25">
      <c r="B801" s="91">
        <v>46112</v>
      </c>
      <c r="C801" s="63">
        <v>1</v>
      </c>
      <c r="D801" s="63" t="s">
        <v>167</v>
      </c>
      <c r="E801" s="65" t="s">
        <v>168</v>
      </c>
      <c r="F801" s="65" t="s">
        <v>166</v>
      </c>
      <c r="G801" s="63" t="s">
        <v>824</v>
      </c>
      <c r="H801" s="63">
        <v>78</v>
      </c>
      <c r="I801" s="65" t="s">
        <v>169</v>
      </c>
      <c r="J801" s="63">
        <v>2646</v>
      </c>
      <c r="K801" s="64">
        <v>763.64</v>
      </c>
      <c r="L801" s="63" t="s">
        <v>2699</v>
      </c>
      <c r="M801" s="65" t="str">
        <f t="shared" si="12"/>
        <v>GRANORTECRUZAMENTO MA 201/202 (METROPOLITANA)PULMÃOZINHO</v>
      </c>
      <c r="N801" s="85" t="s">
        <v>108</v>
      </c>
    </row>
    <row r="802" spans="2:14" hidden="1" x14ac:dyDescent="0.25">
      <c r="B802" s="91">
        <v>46112</v>
      </c>
      <c r="C802" s="63">
        <v>1</v>
      </c>
      <c r="D802" s="63" t="s">
        <v>167</v>
      </c>
      <c r="E802" s="65" t="s">
        <v>168</v>
      </c>
      <c r="F802" s="65" t="s">
        <v>166</v>
      </c>
      <c r="G802" s="63" t="s">
        <v>824</v>
      </c>
      <c r="H802" s="63">
        <v>78</v>
      </c>
      <c r="I802" s="65" t="s">
        <v>169</v>
      </c>
      <c r="J802" s="63">
        <v>2644</v>
      </c>
      <c r="K802" s="64">
        <v>763.06</v>
      </c>
      <c r="L802" s="63" t="s">
        <v>2700</v>
      </c>
      <c r="M802" s="65" t="str">
        <f t="shared" si="12"/>
        <v>GRANORTECRUZAMENTO MA 201/202 (METROPOLITANA)PULMÃOZINHO</v>
      </c>
      <c r="N802" s="85" t="s">
        <v>108</v>
      </c>
    </row>
    <row r="803" spans="2:14" hidden="1" x14ac:dyDescent="0.25">
      <c r="B803" s="91">
        <v>46112</v>
      </c>
      <c r="C803" s="63">
        <v>1</v>
      </c>
      <c r="D803" s="63" t="s">
        <v>162</v>
      </c>
      <c r="E803" s="65" t="s">
        <v>281</v>
      </c>
      <c r="F803" s="65" t="s">
        <v>166</v>
      </c>
      <c r="G803" s="63" t="s">
        <v>111</v>
      </c>
      <c r="H803" s="63">
        <v>79</v>
      </c>
      <c r="I803" s="65" t="s">
        <v>169</v>
      </c>
      <c r="J803" s="63">
        <v>2606</v>
      </c>
      <c r="K803" s="64">
        <v>761.73</v>
      </c>
      <c r="L803" s="63" t="s">
        <v>2701</v>
      </c>
      <c r="M803" s="65" t="str">
        <f t="shared" si="12"/>
        <v>GRANORTEBEIRA RIOPULMÃOZINHO</v>
      </c>
      <c r="N803" s="85" t="s">
        <v>111</v>
      </c>
    </row>
    <row r="804" spans="2:14" hidden="1" x14ac:dyDescent="0.25">
      <c r="B804" s="91">
        <v>46112</v>
      </c>
      <c r="C804" s="63">
        <v>1</v>
      </c>
      <c r="D804" s="63" t="s">
        <v>202</v>
      </c>
      <c r="E804" s="65" t="s">
        <v>214</v>
      </c>
      <c r="F804" s="65" t="s">
        <v>163</v>
      </c>
      <c r="G804" s="63" t="s">
        <v>164</v>
      </c>
      <c r="H804" s="63">
        <v>52</v>
      </c>
      <c r="I804" s="65" t="s">
        <v>165</v>
      </c>
      <c r="J804" s="63">
        <v>482</v>
      </c>
      <c r="K804" s="64">
        <v>927.37</v>
      </c>
      <c r="L804" s="63" t="s">
        <v>2702</v>
      </c>
      <c r="M804" s="65" t="str">
        <f t="shared" si="12"/>
        <v>BRASIL MINERACAOUA SAO LUISPÓ DE BRITA</v>
      </c>
      <c r="N804" s="85" t="s">
        <v>224</v>
      </c>
    </row>
    <row r="805" spans="2:14" hidden="1" x14ac:dyDescent="0.25">
      <c r="B805" s="91">
        <v>46112</v>
      </c>
      <c r="C805" s="63">
        <v>1</v>
      </c>
      <c r="D805" s="63" t="s">
        <v>202</v>
      </c>
      <c r="E805" s="65" t="s">
        <v>214</v>
      </c>
      <c r="F805" s="65" t="s">
        <v>163</v>
      </c>
      <c r="G805" s="63" t="s">
        <v>164</v>
      </c>
      <c r="H805" s="63">
        <v>52</v>
      </c>
      <c r="I805" s="65" t="s">
        <v>165</v>
      </c>
      <c r="J805" s="63">
        <v>501</v>
      </c>
      <c r="K805" s="64">
        <v>963.92</v>
      </c>
      <c r="L805" s="63" t="s">
        <v>2703</v>
      </c>
      <c r="M805" s="65" t="str">
        <f t="shared" si="12"/>
        <v>BRASIL MINERACAOUA SAO LUISPÓ DE BRITA</v>
      </c>
      <c r="N805" s="85" t="s">
        <v>224</v>
      </c>
    </row>
    <row r="806" spans="2:14" hidden="1" x14ac:dyDescent="0.25">
      <c r="B806" s="91">
        <v>46112</v>
      </c>
      <c r="C806" s="63">
        <v>1</v>
      </c>
      <c r="D806" s="63" t="s">
        <v>203</v>
      </c>
      <c r="E806" s="65" t="s">
        <v>204</v>
      </c>
      <c r="F806" s="65" t="s">
        <v>163</v>
      </c>
      <c r="G806" s="63" t="s">
        <v>164</v>
      </c>
      <c r="H806" s="63">
        <v>52</v>
      </c>
      <c r="I806" s="65" t="s">
        <v>165</v>
      </c>
      <c r="J806" s="63">
        <v>496</v>
      </c>
      <c r="K806" s="64">
        <v>954.3</v>
      </c>
      <c r="L806" s="63" t="s">
        <v>2704</v>
      </c>
      <c r="M806" s="65" t="str">
        <f t="shared" si="12"/>
        <v>BRASIL MINERACAOUA SAO LUISPÓ DE BRITA</v>
      </c>
      <c r="N806" s="85" t="s">
        <v>224</v>
      </c>
    </row>
    <row r="807" spans="2:14" hidden="1" x14ac:dyDescent="0.25">
      <c r="B807" s="91">
        <v>46112</v>
      </c>
      <c r="C807" s="63">
        <v>1</v>
      </c>
      <c r="D807" s="63" t="s">
        <v>210</v>
      </c>
      <c r="E807" s="65" t="s">
        <v>211</v>
      </c>
      <c r="F807" s="65" t="s">
        <v>163</v>
      </c>
      <c r="G807" s="63" t="s">
        <v>164</v>
      </c>
      <c r="H807" s="63">
        <v>52</v>
      </c>
      <c r="I807" s="65" t="s">
        <v>165</v>
      </c>
      <c r="J807" s="63">
        <v>4696</v>
      </c>
      <c r="K807" s="64">
        <v>903.51</v>
      </c>
      <c r="L807" s="63" t="s">
        <v>2705</v>
      </c>
      <c r="M807" s="65" t="str">
        <f t="shared" si="12"/>
        <v>BRASIL MINERACAOUA SAO LUISPÓ DE BRITA</v>
      </c>
      <c r="N807" s="85" t="s">
        <v>224</v>
      </c>
    </row>
    <row r="808" spans="2:14" hidden="1" x14ac:dyDescent="0.25">
      <c r="B808" s="91">
        <v>46112</v>
      </c>
      <c r="C808" s="63">
        <v>1</v>
      </c>
      <c r="D808" s="63" t="s">
        <v>196</v>
      </c>
      <c r="E808" s="65" t="s">
        <v>197</v>
      </c>
      <c r="F808" s="65" t="s">
        <v>163</v>
      </c>
      <c r="G808" s="63" t="s">
        <v>164</v>
      </c>
      <c r="H808" s="63">
        <v>52</v>
      </c>
      <c r="I808" s="65" t="s">
        <v>165</v>
      </c>
      <c r="J808" s="63">
        <v>6846</v>
      </c>
      <c r="K808" s="64">
        <v>1317.17</v>
      </c>
      <c r="L808" s="63" t="s">
        <v>2706</v>
      </c>
      <c r="M808" s="65" t="str">
        <f t="shared" si="12"/>
        <v>BRASIL MINERACAOUA SAO LUISPÓ DE BRITA</v>
      </c>
      <c r="N808" s="85" t="s">
        <v>224</v>
      </c>
    </row>
    <row r="809" spans="2:14" hidden="1" x14ac:dyDescent="0.25">
      <c r="B809" s="91">
        <v>46112</v>
      </c>
      <c r="C809" s="63">
        <v>1</v>
      </c>
      <c r="D809" s="63" t="s">
        <v>286</v>
      </c>
      <c r="E809" s="65" t="s">
        <v>506</v>
      </c>
      <c r="F809" s="65" t="s">
        <v>163</v>
      </c>
      <c r="G809" s="63" t="s">
        <v>164</v>
      </c>
      <c r="H809" s="63">
        <v>52</v>
      </c>
      <c r="I809" s="65" t="s">
        <v>165</v>
      </c>
      <c r="J809" s="63">
        <v>2514</v>
      </c>
      <c r="K809" s="64">
        <v>483.69</v>
      </c>
      <c r="L809" s="63" t="s">
        <v>2707</v>
      </c>
      <c r="M809" s="65" t="str">
        <f t="shared" si="12"/>
        <v>BRASIL MINERACAOUA SAO LUISPÓ DE BRITA</v>
      </c>
      <c r="N809" s="85" t="s">
        <v>224</v>
      </c>
    </row>
    <row r="810" spans="2:14" hidden="1" x14ac:dyDescent="0.25">
      <c r="B810" s="91">
        <v>46112</v>
      </c>
      <c r="C810" s="63">
        <v>1</v>
      </c>
      <c r="D810" s="63" t="s">
        <v>199</v>
      </c>
      <c r="E810" s="65" t="s">
        <v>180</v>
      </c>
      <c r="F810" s="65" t="s">
        <v>166</v>
      </c>
      <c r="G810" s="63" t="s">
        <v>824</v>
      </c>
      <c r="H810" s="63">
        <v>78</v>
      </c>
      <c r="I810" s="65" t="s">
        <v>169</v>
      </c>
      <c r="J810" s="63">
        <v>288</v>
      </c>
      <c r="K810" s="64">
        <v>831.17</v>
      </c>
      <c r="L810" s="63" t="s">
        <v>2708</v>
      </c>
      <c r="M810" s="65" t="str">
        <f t="shared" si="12"/>
        <v>GRANORTECRUZAMENTO MA 201/202 (METROPOLITANA)PULMÃOZINHO</v>
      </c>
      <c r="N810" s="85" t="s">
        <v>108</v>
      </c>
    </row>
    <row r="811" spans="2:14" hidden="1" x14ac:dyDescent="0.25">
      <c r="B811" s="91">
        <v>46112</v>
      </c>
      <c r="C811" s="63">
        <v>1</v>
      </c>
      <c r="D811" s="63" t="s">
        <v>286</v>
      </c>
      <c r="E811" s="65" t="s">
        <v>506</v>
      </c>
      <c r="F811" s="65" t="s">
        <v>163</v>
      </c>
      <c r="G811" s="63" t="s">
        <v>164</v>
      </c>
      <c r="H811" s="63">
        <v>52</v>
      </c>
      <c r="I811" s="65" t="s">
        <v>175</v>
      </c>
      <c r="J811" s="63">
        <v>2532</v>
      </c>
      <c r="K811" s="64">
        <v>487.16</v>
      </c>
      <c r="L811" s="63" t="s">
        <v>2709</v>
      </c>
      <c r="M811" s="65" t="str">
        <f t="shared" si="12"/>
        <v>BRASIL MINERACAOUA SAO LUISBRITA 0</v>
      </c>
      <c r="N811" s="85" t="s">
        <v>224</v>
      </c>
    </row>
    <row r="812" spans="2:14" hidden="1" x14ac:dyDescent="0.25">
      <c r="B812" s="91">
        <v>46112</v>
      </c>
      <c r="C812" s="63">
        <v>1</v>
      </c>
      <c r="D812" s="63" t="s">
        <v>283</v>
      </c>
      <c r="E812" s="65" t="s">
        <v>215</v>
      </c>
      <c r="F812" s="65" t="s">
        <v>163</v>
      </c>
      <c r="G812" s="63" t="s">
        <v>164</v>
      </c>
      <c r="H812" s="63">
        <v>52</v>
      </c>
      <c r="I812" s="65" t="s">
        <v>165</v>
      </c>
      <c r="J812" s="63">
        <v>2586</v>
      </c>
      <c r="K812" s="64">
        <v>497.55</v>
      </c>
      <c r="L812" s="63" t="s">
        <v>2710</v>
      </c>
      <c r="M812" s="65" t="str">
        <f t="shared" si="12"/>
        <v>BRASIL MINERACAOUA SAO LUISPÓ DE BRITA</v>
      </c>
      <c r="N812" s="85" t="s">
        <v>224</v>
      </c>
    </row>
    <row r="813" spans="2:14" hidden="1" x14ac:dyDescent="0.25">
      <c r="B813" s="91">
        <v>46112</v>
      </c>
      <c r="C813" s="63">
        <v>1</v>
      </c>
      <c r="D813" s="63" t="s">
        <v>283</v>
      </c>
      <c r="E813" s="65" t="s">
        <v>215</v>
      </c>
      <c r="F813" s="65" t="s">
        <v>163</v>
      </c>
      <c r="G813" s="63" t="s">
        <v>164</v>
      </c>
      <c r="H813" s="63">
        <v>52</v>
      </c>
      <c r="I813" s="65" t="s">
        <v>165</v>
      </c>
      <c r="J813" s="63">
        <v>2554</v>
      </c>
      <c r="K813" s="64">
        <v>491.39</v>
      </c>
      <c r="L813" s="63" t="s">
        <v>2711</v>
      </c>
      <c r="M813" s="65" t="str">
        <f t="shared" si="12"/>
        <v>BRASIL MINERACAOUA SAO LUISPÓ DE BRITA</v>
      </c>
      <c r="N813" s="85" t="s">
        <v>224</v>
      </c>
    </row>
    <row r="814" spans="2:14" hidden="1" x14ac:dyDescent="0.25">
      <c r="B814" s="91">
        <v>46112</v>
      </c>
      <c r="C814" s="63">
        <v>1</v>
      </c>
      <c r="D814" s="63" t="s">
        <v>283</v>
      </c>
      <c r="E814" s="65" t="s">
        <v>215</v>
      </c>
      <c r="F814" s="65" t="s">
        <v>163</v>
      </c>
      <c r="G814" s="63" t="s">
        <v>164</v>
      </c>
      <c r="H814" s="63">
        <v>52</v>
      </c>
      <c r="I814" s="65" t="s">
        <v>175</v>
      </c>
      <c r="J814" s="63">
        <v>2598</v>
      </c>
      <c r="K814" s="64">
        <v>499.86</v>
      </c>
      <c r="L814" s="63" t="s">
        <v>2712</v>
      </c>
      <c r="M814" s="65" t="str">
        <f t="shared" si="12"/>
        <v>BRASIL MINERACAOUA SAO LUISBRITA 0</v>
      </c>
      <c r="N814" s="85" t="s">
        <v>224</v>
      </c>
    </row>
    <row r="815" spans="2:14" hidden="1" x14ac:dyDescent="0.25">
      <c r="B815" s="91">
        <v>46112</v>
      </c>
      <c r="C815" s="63">
        <v>1</v>
      </c>
      <c r="D815" s="63" t="s">
        <v>183</v>
      </c>
      <c r="E815" s="65" t="s">
        <v>184</v>
      </c>
      <c r="F815" s="65" t="s">
        <v>166</v>
      </c>
      <c r="G815" s="63" t="s">
        <v>111</v>
      </c>
      <c r="H815" s="63">
        <v>79</v>
      </c>
      <c r="I815" s="65" t="s">
        <v>172</v>
      </c>
      <c r="J815" s="63">
        <v>2548</v>
      </c>
      <c r="K815" s="64">
        <v>744.78</v>
      </c>
      <c r="L815" s="63" t="s">
        <v>2713</v>
      </c>
      <c r="M815" s="65" t="str">
        <f t="shared" si="12"/>
        <v>GRANORTEBEIRA RIOBICA CORRIDA</v>
      </c>
      <c r="N815" s="85" t="s">
        <v>111</v>
      </c>
    </row>
    <row r="816" spans="2:14" hidden="1" x14ac:dyDescent="0.25">
      <c r="B816" s="91">
        <v>46112</v>
      </c>
      <c r="C816" s="63">
        <v>1</v>
      </c>
      <c r="D816" s="63" t="s">
        <v>183</v>
      </c>
      <c r="E816" s="65" t="s">
        <v>184</v>
      </c>
      <c r="F816" s="65" t="s">
        <v>166</v>
      </c>
      <c r="G816" s="63" t="s">
        <v>111</v>
      </c>
      <c r="H816" s="63">
        <v>79</v>
      </c>
      <c r="I816" s="65" t="s">
        <v>169</v>
      </c>
      <c r="J816" s="63">
        <v>2596</v>
      </c>
      <c r="K816" s="64">
        <v>758.81</v>
      </c>
      <c r="L816" s="63" t="s">
        <v>2714</v>
      </c>
      <c r="M816" s="65" t="str">
        <f t="shared" si="12"/>
        <v>GRANORTEBEIRA RIOPULMÃOZINHO</v>
      </c>
      <c r="N816" s="85" t="s">
        <v>111</v>
      </c>
    </row>
    <row r="817" spans="2:14" hidden="1" x14ac:dyDescent="0.25">
      <c r="B817" s="91">
        <v>46112</v>
      </c>
      <c r="C817" s="63">
        <v>1</v>
      </c>
      <c r="D817" s="63" t="s">
        <v>188</v>
      </c>
      <c r="E817" s="65" t="s">
        <v>189</v>
      </c>
      <c r="F817" s="65" t="s">
        <v>163</v>
      </c>
      <c r="G817" s="63" t="s">
        <v>164</v>
      </c>
      <c r="H817" s="63">
        <v>52</v>
      </c>
      <c r="I817" s="65" t="s">
        <v>165</v>
      </c>
      <c r="J817" s="63">
        <v>7032</v>
      </c>
      <c r="K817" s="64">
        <v>1352.96</v>
      </c>
      <c r="L817" s="63" t="s">
        <v>2715</v>
      </c>
      <c r="M817" s="65" t="str">
        <f t="shared" si="12"/>
        <v>BRASIL MINERACAOUA SAO LUISPÓ DE BRITA</v>
      </c>
      <c r="N817" s="85" t="s">
        <v>224</v>
      </c>
    </row>
    <row r="818" spans="2:14" hidden="1" x14ac:dyDescent="0.25">
      <c r="B818" s="91">
        <v>46112</v>
      </c>
      <c r="C818" s="63">
        <v>1</v>
      </c>
      <c r="D818" s="63" t="s">
        <v>275</v>
      </c>
      <c r="E818" s="65" t="s">
        <v>217</v>
      </c>
      <c r="F818" s="65" t="s">
        <v>163</v>
      </c>
      <c r="G818" s="63" t="s">
        <v>164</v>
      </c>
      <c r="H818" s="63">
        <v>52</v>
      </c>
      <c r="I818" s="65" t="s">
        <v>165</v>
      </c>
      <c r="J818" s="63">
        <v>4462</v>
      </c>
      <c r="K818" s="64">
        <v>858.49</v>
      </c>
      <c r="L818" s="63" t="s">
        <v>2716</v>
      </c>
      <c r="M818" s="65" t="str">
        <f t="shared" si="12"/>
        <v>BRASIL MINERACAOUA SAO LUISPÓ DE BRITA</v>
      </c>
      <c r="N818" s="85" t="s">
        <v>224</v>
      </c>
    </row>
    <row r="819" spans="2:14" hidden="1" x14ac:dyDescent="0.25">
      <c r="B819" s="91">
        <v>46112</v>
      </c>
      <c r="C819" s="63">
        <v>1</v>
      </c>
      <c r="D819" s="63" t="s">
        <v>275</v>
      </c>
      <c r="E819" s="65" t="s">
        <v>217</v>
      </c>
      <c r="F819" s="65" t="s">
        <v>163</v>
      </c>
      <c r="G819" s="63" t="s">
        <v>164</v>
      </c>
      <c r="H819" s="63">
        <v>52</v>
      </c>
      <c r="I819" s="65" t="s">
        <v>165</v>
      </c>
      <c r="J819" s="63">
        <v>4612</v>
      </c>
      <c r="K819" s="64">
        <v>887.35</v>
      </c>
      <c r="L819" s="63" t="s">
        <v>2717</v>
      </c>
      <c r="M819" s="65" t="str">
        <f t="shared" si="12"/>
        <v>BRASIL MINERACAOUA SAO LUISPÓ DE BRITA</v>
      </c>
      <c r="N819" s="85" t="s">
        <v>224</v>
      </c>
    </row>
    <row r="820" spans="2:14" hidden="1" x14ac:dyDescent="0.25">
      <c r="B820" s="91">
        <v>46112</v>
      </c>
      <c r="C820" s="63">
        <v>1</v>
      </c>
      <c r="D820" s="63" t="s">
        <v>186</v>
      </c>
      <c r="E820" s="65" t="s">
        <v>187</v>
      </c>
      <c r="F820" s="65" t="s">
        <v>163</v>
      </c>
      <c r="G820" s="63" t="s">
        <v>164</v>
      </c>
      <c r="H820" s="63">
        <v>52</v>
      </c>
      <c r="I820" s="65" t="s">
        <v>165</v>
      </c>
      <c r="J820" s="63">
        <v>483</v>
      </c>
      <c r="K820" s="64">
        <v>929.29</v>
      </c>
      <c r="L820" s="63" t="s">
        <v>2718</v>
      </c>
      <c r="M820" s="65" t="str">
        <f t="shared" si="12"/>
        <v>BRASIL MINERACAOUA SAO LUISPÓ DE BRITA</v>
      </c>
      <c r="N820" s="85" t="s">
        <v>224</v>
      </c>
    </row>
    <row r="821" spans="2:14" hidden="1" x14ac:dyDescent="0.25">
      <c r="B821" s="91">
        <v>46112</v>
      </c>
      <c r="C821" s="63">
        <v>1</v>
      </c>
      <c r="D821" s="63" t="s">
        <v>186</v>
      </c>
      <c r="E821" s="65" t="s">
        <v>187</v>
      </c>
      <c r="F821" s="65" t="s">
        <v>163</v>
      </c>
      <c r="G821" s="63" t="s">
        <v>164</v>
      </c>
      <c r="H821" s="63">
        <v>52</v>
      </c>
      <c r="I821" s="65" t="s">
        <v>165</v>
      </c>
      <c r="J821" s="63">
        <v>4972</v>
      </c>
      <c r="K821" s="64">
        <v>956.61</v>
      </c>
      <c r="L821" s="63" t="s">
        <v>2719</v>
      </c>
      <c r="M821" s="65" t="str">
        <f t="shared" si="12"/>
        <v>BRASIL MINERACAOUA SAO LUISPÓ DE BRITA</v>
      </c>
      <c r="N821" s="85" t="s">
        <v>224</v>
      </c>
    </row>
    <row r="822" spans="2:14" hidden="1" x14ac:dyDescent="0.25">
      <c r="B822" s="91">
        <v>46112</v>
      </c>
      <c r="C822" s="63">
        <v>1</v>
      </c>
      <c r="D822" s="63" t="s">
        <v>1948</v>
      </c>
      <c r="E822" s="65" t="s">
        <v>1949</v>
      </c>
      <c r="F822" s="65" t="s">
        <v>163</v>
      </c>
      <c r="G822" s="63" t="s">
        <v>164</v>
      </c>
      <c r="H822" s="63">
        <v>52</v>
      </c>
      <c r="I822" s="65" t="s">
        <v>165</v>
      </c>
      <c r="J822" s="63">
        <v>476</v>
      </c>
      <c r="K822" s="64">
        <v>915.82</v>
      </c>
      <c r="L822" s="63" t="s">
        <v>2720</v>
      </c>
      <c r="M822" s="65" t="str">
        <f t="shared" si="12"/>
        <v>BRASIL MINERACAOUA SAO LUISPÓ DE BRITA</v>
      </c>
      <c r="N822" s="85" t="s">
        <v>224</v>
      </c>
    </row>
    <row r="823" spans="2:14" hidden="1" x14ac:dyDescent="0.25">
      <c r="B823" s="91">
        <v>46112</v>
      </c>
      <c r="C823" s="63">
        <v>1</v>
      </c>
      <c r="D823" s="63" t="s">
        <v>1948</v>
      </c>
      <c r="E823" s="65" t="s">
        <v>1949</v>
      </c>
      <c r="F823" s="65" t="s">
        <v>163</v>
      </c>
      <c r="G823" s="63" t="s">
        <v>164</v>
      </c>
      <c r="H823" s="63">
        <v>52</v>
      </c>
      <c r="I823" s="65" t="s">
        <v>165</v>
      </c>
      <c r="J823" s="63">
        <v>471</v>
      </c>
      <c r="K823" s="64">
        <v>906.2</v>
      </c>
      <c r="L823" s="63" t="s">
        <v>2721</v>
      </c>
      <c r="M823" s="65" t="str">
        <f t="shared" si="12"/>
        <v>BRASIL MINERACAOUA SAO LUISPÓ DE BRITA</v>
      </c>
      <c r="N823" s="85" t="s">
        <v>224</v>
      </c>
    </row>
    <row r="824" spans="2:14" hidden="1" x14ac:dyDescent="0.25">
      <c r="B824" s="91">
        <v>46112</v>
      </c>
      <c r="C824" s="63">
        <v>1</v>
      </c>
      <c r="D824" s="63" t="s">
        <v>1948</v>
      </c>
      <c r="E824" s="65" t="s">
        <v>1949</v>
      </c>
      <c r="F824" s="65" t="s">
        <v>163</v>
      </c>
      <c r="G824" s="63" t="s">
        <v>164</v>
      </c>
      <c r="H824" s="63">
        <v>52</v>
      </c>
      <c r="I824" s="65" t="s">
        <v>165</v>
      </c>
      <c r="J824" s="63">
        <v>472</v>
      </c>
      <c r="K824" s="64">
        <v>908.13</v>
      </c>
      <c r="L824" s="63" t="s">
        <v>2722</v>
      </c>
      <c r="M824" s="65" t="str">
        <f t="shared" si="12"/>
        <v>BRASIL MINERACAOUA SAO LUISPÓ DE BRITA</v>
      </c>
      <c r="N824" s="85" t="s">
        <v>224</v>
      </c>
    </row>
    <row r="825" spans="2:14" hidden="1" x14ac:dyDescent="0.25">
      <c r="B825" s="91">
        <v>46112</v>
      </c>
      <c r="C825" s="63">
        <v>1</v>
      </c>
      <c r="D825" s="63" t="s">
        <v>192</v>
      </c>
      <c r="E825" s="65" t="s">
        <v>287</v>
      </c>
      <c r="F825" s="65" t="s">
        <v>166</v>
      </c>
      <c r="G825" s="63" t="s">
        <v>164</v>
      </c>
      <c r="H825" s="63">
        <v>58</v>
      </c>
      <c r="I825" s="65" t="s">
        <v>165</v>
      </c>
      <c r="J825" s="63">
        <v>4772</v>
      </c>
      <c r="K825" s="64">
        <v>1024.07</v>
      </c>
      <c r="L825" s="63" t="s">
        <v>2723</v>
      </c>
      <c r="M825" s="65" t="str">
        <f t="shared" si="12"/>
        <v>GRANORTEUA SAO LUISPÓ DE BRITA</v>
      </c>
      <c r="N825" s="85" t="s">
        <v>224</v>
      </c>
    </row>
    <row r="826" spans="2:14" hidden="1" x14ac:dyDescent="0.25">
      <c r="B826" s="91">
        <v>46112</v>
      </c>
      <c r="C826" s="63">
        <v>1</v>
      </c>
      <c r="D826" s="63" t="s">
        <v>192</v>
      </c>
      <c r="E826" s="65" t="s">
        <v>287</v>
      </c>
      <c r="F826" s="65" t="s">
        <v>166</v>
      </c>
      <c r="G826" s="63" t="s">
        <v>164</v>
      </c>
      <c r="H826" s="63">
        <v>58</v>
      </c>
      <c r="I826" s="65" t="s">
        <v>165</v>
      </c>
      <c r="J826" s="63">
        <v>463</v>
      </c>
      <c r="K826" s="64">
        <v>993.6</v>
      </c>
      <c r="L826" s="63" t="s">
        <v>2724</v>
      </c>
      <c r="M826" s="65" t="str">
        <f t="shared" si="12"/>
        <v>GRANORTEUA SAO LUISPÓ DE BRITA</v>
      </c>
      <c r="N826" s="85" t="s">
        <v>224</v>
      </c>
    </row>
    <row r="827" spans="2:14" hidden="1" x14ac:dyDescent="0.25">
      <c r="B827" s="91">
        <v>46112</v>
      </c>
      <c r="C827" s="63">
        <v>1</v>
      </c>
      <c r="D827" s="63" t="s">
        <v>192</v>
      </c>
      <c r="E827" s="65" t="s">
        <v>287</v>
      </c>
      <c r="F827" s="65" t="s">
        <v>163</v>
      </c>
      <c r="G827" s="63" t="s">
        <v>164</v>
      </c>
      <c r="H827" s="63">
        <v>52</v>
      </c>
      <c r="I827" s="65" t="s">
        <v>165</v>
      </c>
      <c r="J827" s="63">
        <v>537</v>
      </c>
      <c r="K827" s="64">
        <v>1033.19</v>
      </c>
      <c r="L827" s="63" t="s">
        <v>2725</v>
      </c>
      <c r="M827" s="65" t="str">
        <f t="shared" si="12"/>
        <v>BRASIL MINERACAOUA SAO LUISPÓ DE BRITA</v>
      </c>
      <c r="N827" s="85" t="s">
        <v>224</v>
      </c>
    </row>
    <row r="828" spans="2:14" hidden="1" x14ac:dyDescent="0.25">
      <c r="B828" s="91">
        <v>46112</v>
      </c>
      <c r="C828" s="63">
        <v>1</v>
      </c>
      <c r="D828" s="63" t="s">
        <v>286</v>
      </c>
      <c r="E828" s="65" t="s">
        <v>343</v>
      </c>
      <c r="F828" s="65" t="s">
        <v>166</v>
      </c>
      <c r="G828" s="63" t="s">
        <v>164</v>
      </c>
      <c r="H828" s="63">
        <v>58</v>
      </c>
      <c r="I828" s="65" t="s">
        <v>169</v>
      </c>
      <c r="J828" s="63">
        <v>4682</v>
      </c>
      <c r="K828" s="64">
        <v>1004.76</v>
      </c>
      <c r="L828" s="63" t="s">
        <v>2726</v>
      </c>
      <c r="M828" s="65" t="str">
        <f t="shared" si="12"/>
        <v>GRANORTEUA SAO LUISPULMÃOZINHO</v>
      </c>
      <c r="N828" s="85" t="s">
        <v>224</v>
      </c>
    </row>
    <row r="829" spans="2:14" hidden="1" x14ac:dyDescent="0.25">
      <c r="B829" s="91">
        <v>46112</v>
      </c>
      <c r="C829" s="63">
        <v>1</v>
      </c>
      <c r="D829" s="63" t="s">
        <v>286</v>
      </c>
      <c r="E829" s="65" t="s">
        <v>343</v>
      </c>
      <c r="F829" s="65" t="s">
        <v>166</v>
      </c>
      <c r="G829" s="63" t="s">
        <v>164</v>
      </c>
      <c r="H829" s="63">
        <v>58</v>
      </c>
      <c r="I829" s="65" t="s">
        <v>169</v>
      </c>
      <c r="J829" s="63">
        <v>4866</v>
      </c>
      <c r="K829" s="64">
        <v>1044.24</v>
      </c>
      <c r="L829" s="63" t="s">
        <v>2727</v>
      </c>
      <c r="M829" s="65" t="str">
        <f t="shared" si="12"/>
        <v>GRANORTEUA SAO LUISPULMÃOZINHO</v>
      </c>
      <c r="N829" s="85" t="s">
        <v>224</v>
      </c>
    </row>
    <row r="830" spans="2:14" hidden="1" x14ac:dyDescent="0.25">
      <c r="B830" s="91">
        <v>46112</v>
      </c>
      <c r="C830" s="63">
        <v>1</v>
      </c>
      <c r="D830" s="63" t="s">
        <v>286</v>
      </c>
      <c r="E830" s="65" t="s">
        <v>343</v>
      </c>
      <c r="F830" s="65" t="s">
        <v>166</v>
      </c>
      <c r="G830" s="63" t="s">
        <v>164</v>
      </c>
      <c r="H830" s="63">
        <v>58</v>
      </c>
      <c r="I830" s="65" t="s">
        <v>169</v>
      </c>
      <c r="J830" s="63">
        <v>4672</v>
      </c>
      <c r="K830" s="64">
        <v>1002.61</v>
      </c>
      <c r="L830" s="63" t="s">
        <v>2728</v>
      </c>
      <c r="M830" s="65" t="str">
        <f t="shared" si="12"/>
        <v>GRANORTEUA SAO LUISPULMÃOZINHO</v>
      </c>
      <c r="N830" s="85" t="s">
        <v>224</v>
      </c>
    </row>
    <row r="831" spans="2:14" hidden="1" x14ac:dyDescent="0.25">
      <c r="B831" s="91">
        <v>46112</v>
      </c>
      <c r="C831" s="63">
        <v>1</v>
      </c>
      <c r="D831" s="63" t="s">
        <v>213</v>
      </c>
      <c r="E831" s="65" t="s">
        <v>178</v>
      </c>
      <c r="F831" s="65" t="s">
        <v>166</v>
      </c>
      <c r="G831" s="63" t="s">
        <v>164</v>
      </c>
      <c r="H831" s="63">
        <v>58</v>
      </c>
      <c r="I831" s="65" t="s">
        <v>165</v>
      </c>
      <c r="J831" s="63">
        <v>520</v>
      </c>
      <c r="K831" s="64">
        <v>1115.92</v>
      </c>
      <c r="L831" s="63" t="s">
        <v>2729</v>
      </c>
      <c r="M831" s="65" t="str">
        <f t="shared" si="12"/>
        <v>GRANORTEUA SAO LUISPÓ DE BRITA</v>
      </c>
      <c r="N831" s="85" t="s">
        <v>224</v>
      </c>
    </row>
    <row r="832" spans="2:14" hidden="1" x14ac:dyDescent="0.25">
      <c r="B832" s="91">
        <v>46112</v>
      </c>
      <c r="C832" s="63">
        <v>1</v>
      </c>
      <c r="D832" s="63" t="s">
        <v>213</v>
      </c>
      <c r="E832" s="65" t="s">
        <v>178</v>
      </c>
      <c r="F832" s="65" t="s">
        <v>163</v>
      </c>
      <c r="G832" s="63" t="s">
        <v>164</v>
      </c>
      <c r="H832" s="63">
        <v>52</v>
      </c>
      <c r="I832" s="65" t="s">
        <v>165</v>
      </c>
      <c r="J832" s="63">
        <v>4746</v>
      </c>
      <c r="K832" s="64">
        <v>913.13</v>
      </c>
      <c r="L832" s="63" t="s">
        <v>2730</v>
      </c>
      <c r="M832" s="65" t="str">
        <f t="shared" si="12"/>
        <v>BRASIL MINERACAOUA SAO LUISPÓ DE BRITA</v>
      </c>
      <c r="N832" s="85" t="s">
        <v>224</v>
      </c>
    </row>
    <row r="833" spans="2:14" hidden="1" x14ac:dyDescent="0.25">
      <c r="B833" s="91">
        <v>46083</v>
      </c>
      <c r="C833" s="63">
        <v>2</v>
      </c>
      <c r="D833" s="63" t="s">
        <v>305</v>
      </c>
      <c r="E833" s="65" t="s">
        <v>306</v>
      </c>
      <c r="F833" s="65" t="s">
        <v>291</v>
      </c>
      <c r="G833" s="63" t="s">
        <v>989</v>
      </c>
      <c r="H833" s="65">
        <v>405</v>
      </c>
      <c r="I833" s="65" t="s">
        <v>221</v>
      </c>
      <c r="J833" s="63">
        <v>5018</v>
      </c>
      <c r="K833" s="64">
        <v>7519.47</v>
      </c>
      <c r="L833" s="63" t="s">
        <v>2731</v>
      </c>
      <c r="M833" s="65" t="str">
        <f t="shared" si="12"/>
        <v>MINERADORA PORTO FRANCO - MAVF CONSTRUTORA KM156BGS</v>
      </c>
      <c r="N833" s="85" t="s">
        <v>15</v>
      </c>
    </row>
    <row r="834" spans="2:14" hidden="1" x14ac:dyDescent="0.25">
      <c r="B834" s="91">
        <v>46083</v>
      </c>
      <c r="C834" s="63">
        <v>2</v>
      </c>
      <c r="D834" s="63" t="s">
        <v>312</v>
      </c>
      <c r="E834" s="65" t="s">
        <v>313</v>
      </c>
      <c r="F834" s="65" t="s">
        <v>291</v>
      </c>
      <c r="G834" s="63" t="s">
        <v>989</v>
      </c>
      <c r="H834" s="65">
        <v>405</v>
      </c>
      <c r="I834" s="65" t="s">
        <v>221</v>
      </c>
      <c r="J834" s="63">
        <v>3246</v>
      </c>
      <c r="K834" s="64">
        <v>4864.13</v>
      </c>
      <c r="L834" s="63" t="s">
        <v>2732</v>
      </c>
      <c r="M834" s="65" t="str">
        <f t="shared" si="12"/>
        <v>MINERADORA PORTO FRANCO - MAVF CONSTRUTORA KM156BGS</v>
      </c>
      <c r="N834" s="85" t="s">
        <v>15</v>
      </c>
    </row>
    <row r="835" spans="2:14" hidden="1" x14ac:dyDescent="0.25">
      <c r="B835" s="91">
        <v>46083</v>
      </c>
      <c r="C835" s="63">
        <v>2</v>
      </c>
      <c r="D835" s="63" t="s">
        <v>294</v>
      </c>
      <c r="E835" s="65" t="s">
        <v>295</v>
      </c>
      <c r="F835" s="65" t="s">
        <v>276</v>
      </c>
      <c r="G835" s="63" t="s">
        <v>277</v>
      </c>
      <c r="H835" s="65">
        <v>118</v>
      </c>
      <c r="I835" s="65" t="s">
        <v>165</v>
      </c>
      <c r="J835" s="63">
        <v>3426</v>
      </c>
      <c r="K835" s="64">
        <v>1293.6600000000001</v>
      </c>
      <c r="L835" s="63" t="s">
        <v>2733</v>
      </c>
      <c r="M835" s="65" t="str">
        <f t="shared" si="12"/>
        <v>MINERADORA PORTO FRANCOCONCRENORTEPÓ DE BRITA</v>
      </c>
      <c r="N835" s="85" t="s">
        <v>15</v>
      </c>
    </row>
    <row r="836" spans="2:14" hidden="1" x14ac:dyDescent="0.25">
      <c r="B836" s="91">
        <v>46083</v>
      </c>
      <c r="C836" s="63">
        <v>2</v>
      </c>
      <c r="D836" s="63" t="s">
        <v>312</v>
      </c>
      <c r="E836" s="65" t="s">
        <v>313</v>
      </c>
      <c r="F836" s="65" t="s">
        <v>291</v>
      </c>
      <c r="G836" s="63" t="s">
        <v>989</v>
      </c>
      <c r="H836" s="65">
        <v>405</v>
      </c>
      <c r="I836" s="65" t="s">
        <v>221</v>
      </c>
      <c r="J836" s="63">
        <v>3184</v>
      </c>
      <c r="K836" s="64">
        <v>4771.22</v>
      </c>
      <c r="L836" s="63" t="s">
        <v>2734</v>
      </c>
      <c r="M836" s="65" t="str">
        <f t="shared" si="12"/>
        <v>MINERADORA PORTO FRANCO - MAVF CONSTRUTORA KM156BGS</v>
      </c>
      <c r="N836" s="85" t="s">
        <v>15</v>
      </c>
    </row>
    <row r="837" spans="2:14" hidden="1" x14ac:dyDescent="0.25">
      <c r="B837" s="91">
        <v>46084</v>
      </c>
      <c r="C837" s="63">
        <v>2</v>
      </c>
      <c r="D837" s="63" t="s">
        <v>305</v>
      </c>
      <c r="E837" s="65" t="s">
        <v>306</v>
      </c>
      <c r="F837" s="65" t="s">
        <v>276</v>
      </c>
      <c r="G837" s="63" t="s">
        <v>919</v>
      </c>
      <c r="H837" s="65">
        <v>358</v>
      </c>
      <c r="I837" s="65" t="s">
        <v>172</v>
      </c>
      <c r="J837" s="63">
        <v>6632</v>
      </c>
      <c r="K837" s="64">
        <v>7597.62</v>
      </c>
      <c r="L837" s="63" t="s">
        <v>2735</v>
      </c>
      <c r="M837" s="65" t="str">
        <f t="shared" ref="M837:M900" si="13">_xlfn.CONCAT(F837&amp;G837&amp;I837)</f>
        <v>MINERADORA PORTO FRANCOVALE NOVA VIDA KM356BICA CORRIDA</v>
      </c>
      <c r="N837" s="85" t="s">
        <v>15</v>
      </c>
    </row>
    <row r="838" spans="2:14" hidden="1" x14ac:dyDescent="0.25">
      <c r="B838" s="91">
        <v>46084</v>
      </c>
      <c r="C838" s="63">
        <v>2</v>
      </c>
      <c r="D838" s="63" t="s">
        <v>310</v>
      </c>
      <c r="E838" s="65" t="s">
        <v>311</v>
      </c>
      <c r="F838" s="65" t="s">
        <v>291</v>
      </c>
      <c r="G838" s="63" t="s">
        <v>989</v>
      </c>
      <c r="H838" s="65">
        <v>405</v>
      </c>
      <c r="I838" s="65" t="s">
        <v>221</v>
      </c>
      <c r="J838" s="63">
        <v>3352</v>
      </c>
      <c r="K838" s="64">
        <v>5022.97</v>
      </c>
      <c r="L838" s="63" t="s">
        <v>2736</v>
      </c>
      <c r="M838" s="65" t="str">
        <f t="shared" si="13"/>
        <v>MINERADORA PORTO FRANCO - MAVF CONSTRUTORA KM156BGS</v>
      </c>
      <c r="N838" s="85" t="s">
        <v>15</v>
      </c>
    </row>
    <row r="839" spans="2:14" hidden="1" x14ac:dyDescent="0.25">
      <c r="B839" s="91">
        <v>46084</v>
      </c>
      <c r="C839" s="63">
        <v>2</v>
      </c>
      <c r="D839" s="63" t="s">
        <v>298</v>
      </c>
      <c r="E839" s="65" t="s">
        <v>299</v>
      </c>
      <c r="F839" s="65" t="s">
        <v>276</v>
      </c>
      <c r="G839" s="63" t="s">
        <v>919</v>
      </c>
      <c r="H839" s="65">
        <v>358</v>
      </c>
      <c r="I839" s="65" t="s">
        <v>172</v>
      </c>
      <c r="J839" s="63">
        <v>6404</v>
      </c>
      <c r="K839" s="64">
        <v>7336.42</v>
      </c>
      <c r="L839" s="63" t="s">
        <v>2737</v>
      </c>
      <c r="M839" s="65" t="str">
        <f t="shared" si="13"/>
        <v>MINERADORA PORTO FRANCOVALE NOVA VIDA KM356BICA CORRIDA</v>
      </c>
      <c r="N839" s="85" t="s">
        <v>15</v>
      </c>
    </row>
    <row r="840" spans="2:14" hidden="1" x14ac:dyDescent="0.25">
      <c r="B840" s="91">
        <v>46084</v>
      </c>
      <c r="C840" s="63">
        <v>2</v>
      </c>
      <c r="D840" s="63" t="s">
        <v>294</v>
      </c>
      <c r="E840" s="65" t="s">
        <v>295</v>
      </c>
      <c r="F840" s="65" t="s">
        <v>291</v>
      </c>
      <c r="G840" s="63" t="s">
        <v>747</v>
      </c>
      <c r="H840" s="65">
        <v>145</v>
      </c>
      <c r="I840" s="65" t="s">
        <v>175</v>
      </c>
      <c r="J840" s="63">
        <v>3566</v>
      </c>
      <c r="K840" s="64">
        <v>1913.16</v>
      </c>
      <c r="L840" s="63" t="s">
        <v>2738</v>
      </c>
      <c r="M840" s="65" t="str">
        <f t="shared" si="13"/>
        <v>MINERADORA PORTO FRANCO - MAGRAJAU IDAN TORRESBRITA 0</v>
      </c>
      <c r="N840" s="85" t="s">
        <v>15</v>
      </c>
    </row>
    <row r="841" spans="2:14" hidden="1" x14ac:dyDescent="0.25">
      <c r="B841" s="91">
        <v>46085</v>
      </c>
      <c r="C841" s="63">
        <v>2</v>
      </c>
      <c r="D841" s="63" t="s">
        <v>294</v>
      </c>
      <c r="E841" s="65" t="s">
        <v>295</v>
      </c>
      <c r="F841" s="65" t="s">
        <v>291</v>
      </c>
      <c r="G841" s="63" t="s">
        <v>747</v>
      </c>
      <c r="H841" s="65">
        <v>145</v>
      </c>
      <c r="I841" s="65" t="s">
        <v>175</v>
      </c>
      <c r="J841" s="63">
        <v>3736</v>
      </c>
      <c r="K841" s="64">
        <v>2004.36</v>
      </c>
      <c r="L841" s="63" t="s">
        <v>2739</v>
      </c>
      <c r="M841" s="65" t="str">
        <f t="shared" si="13"/>
        <v>MINERADORA PORTO FRANCO - MAGRAJAU IDAN TORRESBRITA 0</v>
      </c>
      <c r="N841" s="85" t="s">
        <v>15</v>
      </c>
    </row>
    <row r="842" spans="2:14" hidden="1" x14ac:dyDescent="0.25">
      <c r="B842" s="91">
        <v>46085</v>
      </c>
      <c r="C842" s="63">
        <v>2</v>
      </c>
      <c r="D842" s="63" t="s">
        <v>296</v>
      </c>
      <c r="E842" s="65" t="s">
        <v>297</v>
      </c>
      <c r="F842" s="65" t="s">
        <v>276</v>
      </c>
      <c r="G842" s="63" t="s">
        <v>919</v>
      </c>
      <c r="H842" s="65">
        <v>358</v>
      </c>
      <c r="I842" s="65" t="s">
        <v>221</v>
      </c>
      <c r="J842" s="63">
        <v>3774</v>
      </c>
      <c r="K842" s="64">
        <v>4323.49</v>
      </c>
      <c r="L842" s="63" t="s">
        <v>2740</v>
      </c>
      <c r="M842" s="65" t="str">
        <f t="shared" si="13"/>
        <v>MINERADORA PORTO FRANCOVALE NOVA VIDA KM356BGS</v>
      </c>
      <c r="N842" s="85" t="s">
        <v>15</v>
      </c>
    </row>
    <row r="843" spans="2:14" hidden="1" x14ac:dyDescent="0.25">
      <c r="B843" s="91">
        <v>46085</v>
      </c>
      <c r="C843" s="63">
        <v>2</v>
      </c>
      <c r="D843" s="63" t="s">
        <v>205</v>
      </c>
      <c r="E843" s="65" t="s">
        <v>1536</v>
      </c>
      <c r="F843" s="65" t="s">
        <v>276</v>
      </c>
      <c r="G843" s="63" t="s">
        <v>919</v>
      </c>
      <c r="H843" s="65">
        <v>358</v>
      </c>
      <c r="I843" s="65" t="s">
        <v>172</v>
      </c>
      <c r="J843" s="63">
        <v>689</v>
      </c>
      <c r="K843" s="64">
        <v>7893.18</v>
      </c>
      <c r="L843" s="63" t="s">
        <v>2741</v>
      </c>
      <c r="M843" s="65" t="str">
        <f t="shared" si="13"/>
        <v>MINERADORA PORTO FRANCOVALE NOVA VIDA KM356BICA CORRIDA</v>
      </c>
      <c r="N843" s="85" t="s">
        <v>15</v>
      </c>
    </row>
    <row r="844" spans="2:14" hidden="1" x14ac:dyDescent="0.25">
      <c r="B844" s="91">
        <v>46086</v>
      </c>
      <c r="C844" s="63">
        <v>2</v>
      </c>
      <c r="D844" s="63" t="s">
        <v>305</v>
      </c>
      <c r="E844" s="65" t="s">
        <v>306</v>
      </c>
      <c r="F844" s="65" t="s">
        <v>1940</v>
      </c>
      <c r="G844" s="63" t="s">
        <v>1941</v>
      </c>
      <c r="H844" s="65">
        <v>110</v>
      </c>
      <c r="I844" s="65" t="s">
        <v>175</v>
      </c>
      <c r="J844" s="63">
        <v>640</v>
      </c>
      <c r="K844" s="64">
        <v>2252.8000000000002</v>
      </c>
      <c r="L844" s="63" t="s">
        <v>2742</v>
      </c>
      <c r="M844" s="65" t="str">
        <f t="shared" si="13"/>
        <v>VLI IMPERATRIZIMPERATRIZBRITA 0</v>
      </c>
      <c r="N844" s="85" t="s">
        <v>15</v>
      </c>
    </row>
    <row r="845" spans="2:14" hidden="1" x14ac:dyDescent="0.25">
      <c r="B845" s="91">
        <v>46086</v>
      </c>
      <c r="C845" s="63">
        <v>2</v>
      </c>
      <c r="D845" s="63" t="s">
        <v>298</v>
      </c>
      <c r="E845" s="65" t="s">
        <v>299</v>
      </c>
      <c r="F845" s="65" t="s">
        <v>276</v>
      </c>
      <c r="G845" s="63" t="s">
        <v>2033</v>
      </c>
      <c r="H845" s="65">
        <v>323</v>
      </c>
      <c r="I845" s="65" t="s">
        <v>207</v>
      </c>
      <c r="J845" s="63">
        <v>6282</v>
      </c>
      <c r="K845" s="64">
        <v>6493.08</v>
      </c>
      <c r="L845" s="63" t="s">
        <v>2743</v>
      </c>
      <c r="M845" s="65" t="str">
        <f t="shared" si="13"/>
        <v>MINERADORA PORTO FRANCOVALE KM 386RACHÃO</v>
      </c>
      <c r="N845" s="85" t="s">
        <v>15</v>
      </c>
    </row>
    <row r="846" spans="2:14" hidden="1" x14ac:dyDescent="0.25">
      <c r="B846" s="91">
        <v>46087</v>
      </c>
      <c r="C846" s="63">
        <v>2</v>
      </c>
      <c r="D846" s="63" t="s">
        <v>205</v>
      </c>
      <c r="E846" s="65" t="s">
        <v>1536</v>
      </c>
      <c r="F846" s="65" t="s">
        <v>276</v>
      </c>
      <c r="G846" s="63" t="s">
        <v>2033</v>
      </c>
      <c r="H846" s="65">
        <v>323</v>
      </c>
      <c r="I846" s="65" t="s">
        <v>207</v>
      </c>
      <c r="J846" s="63">
        <v>629</v>
      </c>
      <c r="K846" s="64">
        <v>6501.34</v>
      </c>
      <c r="L846" s="63" t="s">
        <v>2744</v>
      </c>
      <c r="M846" s="65" t="str">
        <f t="shared" si="13"/>
        <v>MINERADORA PORTO FRANCOVALE KM 386RACHÃO</v>
      </c>
      <c r="N846" s="85" t="s">
        <v>15</v>
      </c>
    </row>
    <row r="847" spans="2:14" hidden="1" x14ac:dyDescent="0.25">
      <c r="B847" s="91">
        <v>46088</v>
      </c>
      <c r="C847" s="63">
        <v>2</v>
      </c>
      <c r="D847" s="63" t="s">
        <v>298</v>
      </c>
      <c r="E847" s="65" t="s">
        <v>299</v>
      </c>
      <c r="F847" s="65" t="s">
        <v>291</v>
      </c>
      <c r="G847" s="63" t="s">
        <v>667</v>
      </c>
      <c r="H847" s="65">
        <v>302</v>
      </c>
      <c r="I847" s="65" t="s">
        <v>279</v>
      </c>
      <c r="J847" s="63">
        <v>5032</v>
      </c>
      <c r="K847" s="64">
        <v>5622.76</v>
      </c>
      <c r="L847" s="63" t="s">
        <v>2745</v>
      </c>
      <c r="M847" s="65" t="str">
        <f t="shared" si="13"/>
        <v>MINERADORA PORTO FRANCO - MAVF CONSTRUTORA KM52MATACO</v>
      </c>
      <c r="N847" s="85" t="s">
        <v>15</v>
      </c>
    </row>
    <row r="848" spans="2:14" hidden="1" x14ac:dyDescent="0.25">
      <c r="B848" s="91">
        <v>46088</v>
      </c>
      <c r="C848" s="63">
        <v>2</v>
      </c>
      <c r="D848" s="63" t="s">
        <v>296</v>
      </c>
      <c r="E848" s="65" t="s">
        <v>297</v>
      </c>
      <c r="F848" s="65" t="s">
        <v>276</v>
      </c>
      <c r="G848" s="63" t="s">
        <v>2033</v>
      </c>
      <c r="H848" s="65">
        <v>323</v>
      </c>
      <c r="I848" s="65" t="s">
        <v>221</v>
      </c>
      <c r="J848" s="63">
        <v>4108</v>
      </c>
      <c r="K848" s="64">
        <v>4246.03</v>
      </c>
      <c r="L848" s="63" t="s">
        <v>2746</v>
      </c>
      <c r="M848" s="65" t="str">
        <f t="shared" si="13"/>
        <v>MINERADORA PORTO FRANCOVALE KM 386BGS</v>
      </c>
      <c r="N848" s="85" t="s">
        <v>15</v>
      </c>
    </row>
    <row r="849" spans="2:14" hidden="1" x14ac:dyDescent="0.25">
      <c r="B849" s="91">
        <v>46088</v>
      </c>
      <c r="C849" s="63">
        <v>2</v>
      </c>
      <c r="D849" s="63" t="s">
        <v>305</v>
      </c>
      <c r="E849" s="65" t="s">
        <v>306</v>
      </c>
      <c r="F849" s="65" t="s">
        <v>276</v>
      </c>
      <c r="G849" s="63" t="s">
        <v>2033</v>
      </c>
      <c r="H849" s="65">
        <v>323</v>
      </c>
      <c r="I849" s="65" t="s">
        <v>207</v>
      </c>
      <c r="J849" s="63">
        <v>634</v>
      </c>
      <c r="K849" s="64">
        <v>6553.02</v>
      </c>
      <c r="L849" s="63" t="s">
        <v>2747</v>
      </c>
      <c r="M849" s="65" t="str">
        <f t="shared" si="13"/>
        <v>MINERADORA PORTO FRANCOVALE KM 386RACHÃO</v>
      </c>
      <c r="N849" s="85" t="s">
        <v>15</v>
      </c>
    </row>
    <row r="850" spans="2:14" hidden="1" x14ac:dyDescent="0.25">
      <c r="B850" s="91">
        <v>46090</v>
      </c>
      <c r="C850" s="63">
        <v>2</v>
      </c>
      <c r="D850" s="63" t="s">
        <v>302</v>
      </c>
      <c r="E850" s="65" t="s">
        <v>303</v>
      </c>
      <c r="F850" s="65" t="s">
        <v>2748</v>
      </c>
      <c r="G850" s="63" t="s">
        <v>2749</v>
      </c>
      <c r="H850" s="65">
        <v>168</v>
      </c>
      <c r="I850" s="65" t="s">
        <v>195</v>
      </c>
      <c r="J850" s="63">
        <v>5362</v>
      </c>
      <c r="K850" s="64">
        <v>2882.61</v>
      </c>
      <c r="L850" s="63" t="s">
        <v>2750</v>
      </c>
      <c r="M850" s="65" t="str">
        <f t="shared" si="13"/>
        <v>CBM MINERADORAPALMEIROPOLIS-TOBRITA 1</v>
      </c>
      <c r="N850" s="85" t="s">
        <v>2749</v>
      </c>
    </row>
    <row r="851" spans="2:14" hidden="1" x14ac:dyDescent="0.25">
      <c r="B851" s="91">
        <v>46090</v>
      </c>
      <c r="C851" s="63">
        <v>2</v>
      </c>
      <c r="D851" s="63" t="s">
        <v>294</v>
      </c>
      <c r="E851" s="65" t="s">
        <v>295</v>
      </c>
      <c r="F851" s="65" t="s">
        <v>276</v>
      </c>
      <c r="G851" s="63" t="s">
        <v>2033</v>
      </c>
      <c r="H851" s="65">
        <v>323</v>
      </c>
      <c r="I851" s="65" t="s">
        <v>207</v>
      </c>
      <c r="J851" s="63">
        <v>3998</v>
      </c>
      <c r="K851" s="64">
        <v>4132.33</v>
      </c>
      <c r="L851" s="63" t="s">
        <v>2751</v>
      </c>
      <c r="M851" s="65" t="str">
        <f t="shared" si="13"/>
        <v>MINERADORA PORTO FRANCOVALE KM 386RACHÃO</v>
      </c>
      <c r="N851" s="85" t="s">
        <v>15</v>
      </c>
    </row>
    <row r="852" spans="2:14" hidden="1" x14ac:dyDescent="0.25">
      <c r="B852" s="91">
        <v>46090</v>
      </c>
      <c r="C852" s="63">
        <v>2</v>
      </c>
      <c r="D852" s="63" t="s">
        <v>205</v>
      </c>
      <c r="E852" s="65" t="s">
        <v>1536</v>
      </c>
      <c r="F852" s="65" t="s">
        <v>276</v>
      </c>
      <c r="G852" s="63" t="s">
        <v>2033</v>
      </c>
      <c r="H852" s="65">
        <v>323</v>
      </c>
      <c r="I852" s="65" t="s">
        <v>207</v>
      </c>
      <c r="J852" s="63">
        <v>6572</v>
      </c>
      <c r="K852" s="64">
        <v>6792.82</v>
      </c>
      <c r="L852" s="63" t="s">
        <v>2752</v>
      </c>
      <c r="M852" s="65" t="str">
        <f t="shared" si="13"/>
        <v>MINERADORA PORTO FRANCOVALE KM 386RACHÃO</v>
      </c>
      <c r="N852" s="85" t="s">
        <v>15</v>
      </c>
    </row>
    <row r="853" spans="2:14" hidden="1" x14ac:dyDescent="0.25">
      <c r="B853" s="91">
        <v>46090</v>
      </c>
      <c r="C853" s="63">
        <v>2</v>
      </c>
      <c r="D853" s="63" t="s">
        <v>310</v>
      </c>
      <c r="E853" s="65" t="s">
        <v>311</v>
      </c>
      <c r="F853" s="65" t="s">
        <v>276</v>
      </c>
      <c r="G853" s="63" t="s">
        <v>2033</v>
      </c>
      <c r="H853" s="65">
        <v>323</v>
      </c>
      <c r="I853" s="65" t="s">
        <v>207</v>
      </c>
      <c r="J853" s="63">
        <v>3708</v>
      </c>
      <c r="K853" s="64">
        <v>3832.59</v>
      </c>
      <c r="L853" s="63" t="s">
        <v>2753</v>
      </c>
      <c r="M853" s="65" t="str">
        <f t="shared" si="13"/>
        <v>MINERADORA PORTO FRANCOVALE KM 386RACHÃO</v>
      </c>
      <c r="N853" s="85" t="s">
        <v>15</v>
      </c>
    </row>
    <row r="854" spans="2:14" hidden="1" x14ac:dyDescent="0.25">
      <c r="B854" s="91">
        <v>46090</v>
      </c>
      <c r="C854" s="63">
        <v>2</v>
      </c>
      <c r="D854" s="63" t="s">
        <v>296</v>
      </c>
      <c r="E854" s="65" t="s">
        <v>297</v>
      </c>
      <c r="F854" s="65" t="s">
        <v>276</v>
      </c>
      <c r="G854" s="63" t="s">
        <v>2033</v>
      </c>
      <c r="H854" s="65">
        <v>323</v>
      </c>
      <c r="I854" s="65" t="s">
        <v>207</v>
      </c>
      <c r="J854" s="63">
        <v>3966</v>
      </c>
      <c r="K854" s="64">
        <v>4099.26</v>
      </c>
      <c r="L854" s="63" t="s">
        <v>2754</v>
      </c>
      <c r="M854" s="65" t="str">
        <f t="shared" si="13"/>
        <v>MINERADORA PORTO FRANCOVALE KM 386RACHÃO</v>
      </c>
      <c r="N854" s="85" t="s">
        <v>15</v>
      </c>
    </row>
    <row r="855" spans="2:14" hidden="1" x14ac:dyDescent="0.25">
      <c r="B855" s="91">
        <v>46091</v>
      </c>
      <c r="C855" s="63">
        <v>2</v>
      </c>
      <c r="D855" s="63" t="s">
        <v>305</v>
      </c>
      <c r="E855" s="65" t="s">
        <v>306</v>
      </c>
      <c r="F855" s="65" t="s">
        <v>276</v>
      </c>
      <c r="G855" s="63" t="s">
        <v>2033</v>
      </c>
      <c r="H855" s="65">
        <v>323</v>
      </c>
      <c r="I855" s="65" t="s">
        <v>207</v>
      </c>
      <c r="J855" s="63">
        <v>6518</v>
      </c>
      <c r="K855" s="64">
        <v>6737</v>
      </c>
      <c r="L855" s="63" t="s">
        <v>2755</v>
      </c>
      <c r="M855" s="65" t="str">
        <f t="shared" si="13"/>
        <v>MINERADORA PORTO FRANCOVALE KM 386RACHÃO</v>
      </c>
      <c r="N855" s="85" t="s">
        <v>15</v>
      </c>
    </row>
    <row r="856" spans="2:14" hidden="1" x14ac:dyDescent="0.25">
      <c r="B856" s="91">
        <v>46091</v>
      </c>
      <c r="C856" s="63">
        <v>2</v>
      </c>
      <c r="D856" s="63" t="s">
        <v>302</v>
      </c>
      <c r="E856" s="65" t="s">
        <v>303</v>
      </c>
      <c r="F856" s="65" t="s">
        <v>2748</v>
      </c>
      <c r="G856" s="63" t="s">
        <v>2749</v>
      </c>
      <c r="H856" s="65">
        <v>168</v>
      </c>
      <c r="I856" s="65" t="s">
        <v>195</v>
      </c>
      <c r="J856" s="63">
        <v>5677</v>
      </c>
      <c r="K856" s="64">
        <v>3051.96</v>
      </c>
      <c r="L856" s="63" t="s">
        <v>2756</v>
      </c>
      <c r="M856" s="65" t="str">
        <f t="shared" si="13"/>
        <v>CBM MINERADORAPALMEIROPOLIS-TOBRITA 1</v>
      </c>
      <c r="N856" s="85" t="s">
        <v>2749</v>
      </c>
    </row>
    <row r="857" spans="2:14" hidden="1" x14ac:dyDescent="0.25">
      <c r="B857" s="91">
        <v>46091</v>
      </c>
      <c r="C857" s="63">
        <v>2</v>
      </c>
      <c r="D857" s="63" t="s">
        <v>310</v>
      </c>
      <c r="E857" s="65" t="s">
        <v>311</v>
      </c>
      <c r="F857" s="65" t="s">
        <v>2757</v>
      </c>
      <c r="G857" s="63" t="s">
        <v>2758</v>
      </c>
      <c r="H857" s="65">
        <v>200</v>
      </c>
      <c r="I857" s="65" t="s">
        <v>221</v>
      </c>
      <c r="J857" s="63">
        <v>3916</v>
      </c>
      <c r="K857" s="64">
        <v>2506.2399999999998</v>
      </c>
      <c r="L857" s="63" t="s">
        <v>2759</v>
      </c>
      <c r="M857" s="65" t="str">
        <f t="shared" si="13"/>
        <v>MINERADORA PORTO FRANCO MAVALE CIDELANDIA KM591BGS</v>
      </c>
      <c r="N857" s="85" t="s">
        <v>15</v>
      </c>
    </row>
    <row r="858" spans="2:14" hidden="1" x14ac:dyDescent="0.25">
      <c r="B858" s="91">
        <v>46092</v>
      </c>
      <c r="C858" s="63">
        <v>2</v>
      </c>
      <c r="D858" s="63" t="s">
        <v>296</v>
      </c>
      <c r="E858" s="65" t="s">
        <v>297</v>
      </c>
      <c r="F858" s="65" t="s">
        <v>291</v>
      </c>
      <c r="G858" s="63" t="s">
        <v>2087</v>
      </c>
      <c r="H858" s="65">
        <v>200</v>
      </c>
      <c r="I858" s="65" t="s">
        <v>221</v>
      </c>
      <c r="J858" s="63">
        <v>4346</v>
      </c>
      <c r="K858" s="64">
        <v>3216.04</v>
      </c>
      <c r="L858" s="63" t="s">
        <v>2760</v>
      </c>
      <c r="M858" s="65" t="str">
        <f t="shared" si="13"/>
        <v>MINERADORA PORTO FRANCO - MACIDELANDIABGS</v>
      </c>
      <c r="N858" s="85" t="s">
        <v>15</v>
      </c>
    </row>
    <row r="859" spans="2:14" hidden="1" x14ac:dyDescent="0.25">
      <c r="B859" s="91">
        <v>46092</v>
      </c>
      <c r="C859" s="63">
        <v>2</v>
      </c>
      <c r="D859" s="63" t="s">
        <v>300</v>
      </c>
      <c r="E859" s="65" t="s">
        <v>301</v>
      </c>
      <c r="F859" s="65" t="s">
        <v>2757</v>
      </c>
      <c r="G859" s="63" t="s">
        <v>2758</v>
      </c>
      <c r="H859" s="65">
        <v>200</v>
      </c>
      <c r="I859" s="65" t="s">
        <v>221</v>
      </c>
      <c r="J859" s="63">
        <v>6748</v>
      </c>
      <c r="K859" s="64">
        <v>4318.72</v>
      </c>
      <c r="L859" s="63" t="s">
        <v>2761</v>
      </c>
      <c r="M859" s="65" t="str">
        <f t="shared" si="13"/>
        <v>MINERADORA PORTO FRANCO MAVALE CIDELANDIA KM591BGS</v>
      </c>
      <c r="N859" s="85" t="s">
        <v>15</v>
      </c>
    </row>
    <row r="860" spans="2:14" hidden="1" x14ac:dyDescent="0.25">
      <c r="B860" s="91">
        <v>46092</v>
      </c>
      <c r="C860" s="63">
        <v>2</v>
      </c>
      <c r="D860" s="63" t="s">
        <v>298</v>
      </c>
      <c r="E860" s="65" t="s">
        <v>299</v>
      </c>
      <c r="F860" s="65" t="s">
        <v>291</v>
      </c>
      <c r="G860" s="63" t="s">
        <v>783</v>
      </c>
      <c r="H860" s="65">
        <v>358</v>
      </c>
      <c r="I860" s="65" t="s">
        <v>221</v>
      </c>
      <c r="J860" s="63">
        <v>5052</v>
      </c>
      <c r="K860" s="64">
        <v>6691.88</v>
      </c>
      <c r="L860" s="63" t="s">
        <v>2762</v>
      </c>
      <c r="M860" s="65" t="str">
        <f t="shared" si="13"/>
        <v>MINERADORA PORTO FRANCO - MAVF CONSTRUTORA KM114BGS</v>
      </c>
      <c r="N860" s="85" t="s">
        <v>15</v>
      </c>
    </row>
    <row r="861" spans="2:14" hidden="1" x14ac:dyDescent="0.25">
      <c r="B861" s="91">
        <v>46092</v>
      </c>
      <c r="C861" s="63">
        <v>2</v>
      </c>
      <c r="D861" s="63" t="s">
        <v>205</v>
      </c>
      <c r="E861" s="65" t="s">
        <v>1536</v>
      </c>
      <c r="F861" s="65" t="s">
        <v>291</v>
      </c>
      <c r="G861" s="63" t="s">
        <v>783</v>
      </c>
      <c r="H861" s="65">
        <v>358</v>
      </c>
      <c r="I861" s="65" t="s">
        <v>172</v>
      </c>
      <c r="J861" s="63">
        <v>5272</v>
      </c>
      <c r="K861" s="64">
        <v>6983.29</v>
      </c>
      <c r="L861" s="63" t="s">
        <v>2763</v>
      </c>
      <c r="M861" s="65" t="str">
        <f t="shared" si="13"/>
        <v>MINERADORA PORTO FRANCO - MAVF CONSTRUTORA KM114BICA CORRIDA</v>
      </c>
      <c r="N861" s="85" t="s">
        <v>15</v>
      </c>
    </row>
    <row r="862" spans="2:14" hidden="1" x14ac:dyDescent="0.25">
      <c r="B862" s="91">
        <v>46092</v>
      </c>
      <c r="C862" s="63">
        <v>2</v>
      </c>
      <c r="D862" s="63" t="s">
        <v>294</v>
      </c>
      <c r="E862" s="65" t="s">
        <v>295</v>
      </c>
      <c r="F862" s="65" t="s">
        <v>276</v>
      </c>
      <c r="G862" s="63" t="s">
        <v>277</v>
      </c>
      <c r="H862" s="65">
        <v>118</v>
      </c>
      <c r="I862" s="65" t="s">
        <v>165</v>
      </c>
      <c r="J862" s="63">
        <v>3104</v>
      </c>
      <c r="K862" s="64">
        <v>1172.07</v>
      </c>
      <c r="L862" s="63" t="s">
        <v>2764</v>
      </c>
      <c r="M862" s="65" t="str">
        <f t="shared" si="13"/>
        <v>MINERADORA PORTO FRANCOCONCRENORTEPÓ DE BRITA</v>
      </c>
      <c r="N862" s="85" t="s">
        <v>15</v>
      </c>
    </row>
    <row r="863" spans="2:14" hidden="1" x14ac:dyDescent="0.25">
      <c r="B863" s="91">
        <v>46093</v>
      </c>
      <c r="C863" s="63">
        <v>2</v>
      </c>
      <c r="D863" s="63" t="s">
        <v>296</v>
      </c>
      <c r="E863" s="65" t="s">
        <v>297</v>
      </c>
      <c r="F863" s="65" t="s">
        <v>276</v>
      </c>
      <c r="G863" s="63" t="s">
        <v>2143</v>
      </c>
      <c r="H863" s="65">
        <v>281</v>
      </c>
      <c r="I863" s="65" t="s">
        <v>207</v>
      </c>
      <c r="J863" s="63">
        <v>4142</v>
      </c>
      <c r="K863" s="64">
        <v>3724.49</v>
      </c>
      <c r="L863" s="63" t="s">
        <v>2765</v>
      </c>
      <c r="M863" s="65" t="str">
        <f t="shared" si="13"/>
        <v>MINERADORA PORTO FRANCOSAO PEDRO DA AGUA BRANCARACHÃO</v>
      </c>
      <c r="N863" s="85" t="s">
        <v>15</v>
      </c>
    </row>
    <row r="864" spans="2:14" hidden="1" x14ac:dyDescent="0.25">
      <c r="B864" s="91">
        <v>46093</v>
      </c>
      <c r="C864" s="63">
        <v>2</v>
      </c>
      <c r="D864" s="63" t="s">
        <v>294</v>
      </c>
      <c r="E864" s="65" t="s">
        <v>295</v>
      </c>
      <c r="F864" s="65" t="s">
        <v>276</v>
      </c>
      <c r="G864" s="63" t="s">
        <v>277</v>
      </c>
      <c r="H864" s="65">
        <v>118</v>
      </c>
      <c r="I864" s="65" t="s">
        <v>165</v>
      </c>
      <c r="J864" s="63">
        <v>378</v>
      </c>
      <c r="K864" s="64">
        <v>1427.33</v>
      </c>
      <c r="L864" s="63" t="s">
        <v>2766</v>
      </c>
      <c r="M864" s="65" t="str">
        <f t="shared" si="13"/>
        <v>MINERADORA PORTO FRANCOCONCRENORTEPÓ DE BRITA</v>
      </c>
      <c r="N864" s="85" t="s">
        <v>15</v>
      </c>
    </row>
    <row r="865" spans="2:14" hidden="1" x14ac:dyDescent="0.25">
      <c r="B865" s="91">
        <v>46093</v>
      </c>
      <c r="C865" s="63">
        <v>2</v>
      </c>
      <c r="D865" s="63" t="s">
        <v>305</v>
      </c>
      <c r="E865" s="65" t="s">
        <v>306</v>
      </c>
      <c r="F865" s="65" t="s">
        <v>2757</v>
      </c>
      <c r="G865" s="63" t="s">
        <v>2758</v>
      </c>
      <c r="H865" s="65">
        <v>200</v>
      </c>
      <c r="I865" s="65" t="s">
        <v>172</v>
      </c>
      <c r="J865" s="63">
        <v>6604</v>
      </c>
      <c r="K865" s="64">
        <v>4226.5600000000004</v>
      </c>
      <c r="L865" s="63" t="s">
        <v>2767</v>
      </c>
      <c r="M865" s="65" t="str">
        <f t="shared" si="13"/>
        <v>MINERADORA PORTO FRANCO MAVALE CIDELANDIA KM591BICA CORRIDA</v>
      </c>
      <c r="N865" s="85" t="s">
        <v>15</v>
      </c>
    </row>
    <row r="866" spans="2:14" hidden="1" x14ac:dyDescent="0.25">
      <c r="B866" s="91">
        <v>46093</v>
      </c>
      <c r="C866" s="63">
        <v>2</v>
      </c>
      <c r="D866" s="63" t="s">
        <v>294</v>
      </c>
      <c r="E866" s="65" t="s">
        <v>295</v>
      </c>
      <c r="F866" s="65" t="s">
        <v>276</v>
      </c>
      <c r="G866" s="63" t="s">
        <v>277</v>
      </c>
      <c r="H866" s="65">
        <v>118</v>
      </c>
      <c r="I866" s="65" t="s">
        <v>165</v>
      </c>
      <c r="J866" s="63">
        <v>3852</v>
      </c>
      <c r="K866" s="64">
        <v>1454.52</v>
      </c>
      <c r="L866" s="63" t="s">
        <v>2768</v>
      </c>
      <c r="M866" s="65" t="str">
        <f t="shared" si="13"/>
        <v>MINERADORA PORTO FRANCOCONCRENORTEPÓ DE BRITA</v>
      </c>
      <c r="N866" s="85" t="s">
        <v>15</v>
      </c>
    </row>
    <row r="867" spans="2:14" hidden="1" x14ac:dyDescent="0.25">
      <c r="B867" s="91">
        <v>46093</v>
      </c>
      <c r="C867" s="63">
        <v>2</v>
      </c>
      <c r="D867" s="63" t="s">
        <v>310</v>
      </c>
      <c r="E867" s="65" t="s">
        <v>311</v>
      </c>
      <c r="F867" s="65" t="s">
        <v>276</v>
      </c>
      <c r="G867" s="63" t="s">
        <v>307</v>
      </c>
      <c r="H867" s="65">
        <v>175</v>
      </c>
      <c r="I867" s="65" t="s">
        <v>165</v>
      </c>
      <c r="J867" s="63">
        <v>402</v>
      </c>
      <c r="K867" s="64">
        <v>2251.1999999999998</v>
      </c>
      <c r="L867" s="63" t="s">
        <v>2769</v>
      </c>
      <c r="M867" s="65" t="str">
        <f t="shared" si="13"/>
        <v>MINERADORA PORTO FRANCOAUGUSTINOPOLIS TO (EDEC)PÓ DE BRITA</v>
      </c>
      <c r="N867" s="85" t="s">
        <v>2855</v>
      </c>
    </row>
    <row r="868" spans="2:14" hidden="1" x14ac:dyDescent="0.25">
      <c r="B868" s="91">
        <v>46093</v>
      </c>
      <c r="C868" s="63">
        <v>2</v>
      </c>
      <c r="D868" s="63" t="s">
        <v>300</v>
      </c>
      <c r="E868" s="65" t="s">
        <v>301</v>
      </c>
      <c r="F868" s="65" t="s">
        <v>276</v>
      </c>
      <c r="G868" s="63" t="s">
        <v>2143</v>
      </c>
      <c r="H868" s="65">
        <v>281</v>
      </c>
      <c r="I868" s="65" t="s">
        <v>207</v>
      </c>
      <c r="J868" s="63">
        <v>6532</v>
      </c>
      <c r="K868" s="64">
        <v>5873.57</v>
      </c>
      <c r="L868" s="63" t="s">
        <v>2770</v>
      </c>
      <c r="M868" s="65" t="str">
        <f t="shared" si="13"/>
        <v>MINERADORA PORTO FRANCOSAO PEDRO DA AGUA BRANCARACHÃO</v>
      </c>
      <c r="N868" s="85" t="s">
        <v>15</v>
      </c>
    </row>
    <row r="869" spans="2:14" hidden="1" x14ac:dyDescent="0.25">
      <c r="B869" s="91">
        <v>46094</v>
      </c>
      <c r="C869" s="63">
        <v>2</v>
      </c>
      <c r="D869" s="63" t="s">
        <v>296</v>
      </c>
      <c r="E869" s="65" t="s">
        <v>297</v>
      </c>
      <c r="F869" s="65" t="s">
        <v>276</v>
      </c>
      <c r="G869" s="63" t="s">
        <v>277</v>
      </c>
      <c r="H869" s="65">
        <v>118</v>
      </c>
      <c r="I869" s="65" t="s">
        <v>165</v>
      </c>
      <c r="J869" s="63">
        <v>3824</v>
      </c>
      <c r="K869" s="64">
        <v>1443.94</v>
      </c>
      <c r="L869" s="63" t="s">
        <v>2771</v>
      </c>
      <c r="M869" s="65" t="str">
        <f t="shared" si="13"/>
        <v>MINERADORA PORTO FRANCOCONCRENORTEPÓ DE BRITA</v>
      </c>
      <c r="N869" s="85" t="s">
        <v>15</v>
      </c>
    </row>
    <row r="870" spans="2:14" hidden="1" x14ac:dyDescent="0.25">
      <c r="B870" s="91">
        <v>46094</v>
      </c>
      <c r="C870" s="63">
        <v>2</v>
      </c>
      <c r="D870" s="63" t="s">
        <v>310</v>
      </c>
      <c r="E870" s="65" t="s">
        <v>311</v>
      </c>
      <c r="F870" s="65" t="s">
        <v>2194</v>
      </c>
      <c r="G870" s="63" t="s">
        <v>2195</v>
      </c>
      <c r="H870" s="65">
        <v>138</v>
      </c>
      <c r="I870" s="65" t="s">
        <v>195</v>
      </c>
      <c r="J870" s="63">
        <v>4076</v>
      </c>
      <c r="K870" s="64">
        <v>1799.96</v>
      </c>
      <c r="L870" s="63" t="s">
        <v>2772</v>
      </c>
      <c r="M870" s="65" t="str">
        <f t="shared" si="13"/>
        <v>MINERADORA PORTO FRNANCOGRAJAU (CANOEIRO)BRITA 1</v>
      </c>
      <c r="N870" s="85" t="s">
        <v>15</v>
      </c>
    </row>
    <row r="871" spans="2:14" hidden="1" x14ac:dyDescent="0.25">
      <c r="B871" s="91">
        <v>46094</v>
      </c>
      <c r="C871" s="63">
        <v>2</v>
      </c>
      <c r="D871" s="63" t="s">
        <v>294</v>
      </c>
      <c r="E871" s="65" t="s">
        <v>295</v>
      </c>
      <c r="F871" s="65" t="s">
        <v>291</v>
      </c>
      <c r="G871" s="63" t="s">
        <v>747</v>
      </c>
      <c r="H871" s="65">
        <v>145</v>
      </c>
      <c r="I871" s="65" t="s">
        <v>175</v>
      </c>
      <c r="J871" s="63">
        <v>383</v>
      </c>
      <c r="K871" s="64">
        <v>2054.8000000000002</v>
      </c>
      <c r="L871" s="63" t="s">
        <v>2773</v>
      </c>
      <c r="M871" s="65" t="str">
        <f t="shared" si="13"/>
        <v>MINERADORA PORTO FRANCO - MAGRAJAU IDAN TORRESBRITA 0</v>
      </c>
      <c r="N871" s="85" t="s">
        <v>15</v>
      </c>
    </row>
    <row r="872" spans="2:14" hidden="1" x14ac:dyDescent="0.25">
      <c r="B872" s="91">
        <v>46097</v>
      </c>
      <c r="C872" s="63">
        <v>2</v>
      </c>
      <c r="D872" s="63" t="s">
        <v>305</v>
      </c>
      <c r="E872" s="65" t="s">
        <v>306</v>
      </c>
      <c r="F872" s="65" t="s">
        <v>276</v>
      </c>
      <c r="G872" s="63" t="s">
        <v>2143</v>
      </c>
      <c r="H872" s="65">
        <v>281</v>
      </c>
      <c r="I872" s="65" t="s">
        <v>172</v>
      </c>
      <c r="J872" s="63">
        <v>6412</v>
      </c>
      <c r="K872" s="64">
        <v>5765.67</v>
      </c>
      <c r="L872" s="63" t="s">
        <v>2774</v>
      </c>
      <c r="M872" s="65" t="str">
        <f t="shared" si="13"/>
        <v>MINERADORA PORTO FRANCOSAO PEDRO DA AGUA BRANCABICA CORRIDA</v>
      </c>
      <c r="N872" s="85" t="s">
        <v>15</v>
      </c>
    </row>
    <row r="873" spans="2:14" hidden="1" x14ac:dyDescent="0.25">
      <c r="B873" s="91">
        <v>46097</v>
      </c>
      <c r="C873" s="63">
        <v>2</v>
      </c>
      <c r="D873" s="63" t="s">
        <v>205</v>
      </c>
      <c r="E873" s="65" t="s">
        <v>1536</v>
      </c>
      <c r="F873" s="65" t="s">
        <v>276</v>
      </c>
      <c r="G873" s="63" t="s">
        <v>2143</v>
      </c>
      <c r="H873" s="65">
        <v>281</v>
      </c>
      <c r="I873" s="65" t="s">
        <v>172</v>
      </c>
      <c r="J873" s="63">
        <v>6798</v>
      </c>
      <c r="K873" s="64">
        <v>6112.76</v>
      </c>
      <c r="L873" s="63" t="s">
        <v>2775</v>
      </c>
      <c r="M873" s="65" t="str">
        <f t="shared" si="13"/>
        <v>MINERADORA PORTO FRANCOSAO PEDRO DA AGUA BRANCABICA CORRIDA</v>
      </c>
      <c r="N873" s="85" t="s">
        <v>15</v>
      </c>
    </row>
    <row r="874" spans="2:14" hidden="1" x14ac:dyDescent="0.25">
      <c r="B874" s="91">
        <v>46097</v>
      </c>
      <c r="C874" s="63">
        <v>2</v>
      </c>
      <c r="D874" s="63" t="s">
        <v>310</v>
      </c>
      <c r="E874" s="65" t="s">
        <v>311</v>
      </c>
      <c r="F874" s="65" t="s">
        <v>276</v>
      </c>
      <c r="G874" s="63" t="s">
        <v>2143</v>
      </c>
      <c r="H874" s="65">
        <v>281</v>
      </c>
      <c r="I874" s="65" t="s">
        <v>172</v>
      </c>
      <c r="J874" s="63">
        <v>4164</v>
      </c>
      <c r="K874" s="64">
        <v>3744.27</v>
      </c>
      <c r="L874" s="63" t="s">
        <v>2776</v>
      </c>
      <c r="M874" s="65" t="str">
        <f t="shared" si="13"/>
        <v>MINERADORA PORTO FRANCOSAO PEDRO DA AGUA BRANCABICA CORRIDA</v>
      </c>
      <c r="N874" s="85" t="s">
        <v>15</v>
      </c>
    </row>
    <row r="875" spans="2:14" hidden="1" x14ac:dyDescent="0.25">
      <c r="B875" s="91">
        <v>46097</v>
      </c>
      <c r="C875" s="63">
        <v>2</v>
      </c>
      <c r="D875" s="63" t="s">
        <v>294</v>
      </c>
      <c r="E875" s="65" t="s">
        <v>295</v>
      </c>
      <c r="F875" s="65" t="s">
        <v>276</v>
      </c>
      <c r="G875" s="63" t="s">
        <v>2143</v>
      </c>
      <c r="H875" s="65">
        <v>281</v>
      </c>
      <c r="I875" s="65" t="s">
        <v>172</v>
      </c>
      <c r="J875" s="63">
        <v>4168</v>
      </c>
      <c r="K875" s="64">
        <v>3747.87</v>
      </c>
      <c r="L875" s="63" t="s">
        <v>2777</v>
      </c>
      <c r="M875" s="65" t="str">
        <f t="shared" si="13"/>
        <v>MINERADORA PORTO FRANCOSAO PEDRO DA AGUA BRANCABICA CORRIDA</v>
      </c>
      <c r="N875" s="85" t="s">
        <v>15</v>
      </c>
    </row>
    <row r="876" spans="2:14" hidden="1" x14ac:dyDescent="0.25">
      <c r="B876" s="91">
        <v>46097</v>
      </c>
      <c r="C876" s="63">
        <v>2</v>
      </c>
      <c r="D876" s="63" t="s">
        <v>312</v>
      </c>
      <c r="E876" s="65" t="s">
        <v>313</v>
      </c>
      <c r="F876" s="65" t="s">
        <v>276</v>
      </c>
      <c r="G876" s="63" t="s">
        <v>2143</v>
      </c>
      <c r="H876" s="65">
        <v>281</v>
      </c>
      <c r="I876" s="65" t="s">
        <v>172</v>
      </c>
      <c r="J876" s="63">
        <v>393</v>
      </c>
      <c r="K876" s="64">
        <v>3533.86</v>
      </c>
      <c r="L876" s="63" t="s">
        <v>2778</v>
      </c>
      <c r="M876" s="65" t="str">
        <f t="shared" si="13"/>
        <v>MINERADORA PORTO FRANCOSAO PEDRO DA AGUA BRANCABICA CORRIDA</v>
      </c>
      <c r="N876" s="85" t="s">
        <v>15</v>
      </c>
    </row>
    <row r="877" spans="2:14" hidden="1" x14ac:dyDescent="0.25">
      <c r="B877" s="91">
        <v>46098</v>
      </c>
      <c r="C877" s="63">
        <v>2</v>
      </c>
      <c r="D877" s="63" t="s">
        <v>296</v>
      </c>
      <c r="E877" s="65" t="s">
        <v>297</v>
      </c>
      <c r="F877" s="65" t="s">
        <v>276</v>
      </c>
      <c r="G877" s="63" t="s">
        <v>2143</v>
      </c>
      <c r="H877" s="65">
        <v>281</v>
      </c>
      <c r="I877" s="65" t="s">
        <v>221</v>
      </c>
      <c r="J877" s="63">
        <v>3998</v>
      </c>
      <c r="K877" s="64">
        <v>3595</v>
      </c>
      <c r="L877" s="63" t="s">
        <v>2779</v>
      </c>
      <c r="M877" s="65" t="str">
        <f t="shared" si="13"/>
        <v>MINERADORA PORTO FRANCOSAO PEDRO DA AGUA BRANCABGS</v>
      </c>
      <c r="N877" s="85" t="s">
        <v>15</v>
      </c>
    </row>
    <row r="878" spans="2:14" hidden="1" x14ac:dyDescent="0.25">
      <c r="B878" s="91">
        <v>46098</v>
      </c>
      <c r="C878" s="63">
        <v>2</v>
      </c>
      <c r="D878" s="63" t="s">
        <v>302</v>
      </c>
      <c r="E878" s="65" t="s">
        <v>303</v>
      </c>
      <c r="F878" s="65" t="s">
        <v>2748</v>
      </c>
      <c r="G878" s="63" t="s">
        <v>2749</v>
      </c>
      <c r="H878" s="65">
        <v>168</v>
      </c>
      <c r="I878" s="65" t="s">
        <v>195</v>
      </c>
      <c r="J878" s="63">
        <v>6431</v>
      </c>
      <c r="K878" s="64">
        <v>3457.31</v>
      </c>
      <c r="L878" s="63" t="s">
        <v>2780</v>
      </c>
      <c r="M878" s="65" t="str">
        <f t="shared" si="13"/>
        <v>CBM MINERADORAPALMEIROPOLIS-TOBRITA 1</v>
      </c>
      <c r="N878" s="85" t="s">
        <v>2749</v>
      </c>
    </row>
    <row r="879" spans="2:14" hidden="1" x14ac:dyDescent="0.25">
      <c r="B879" s="91">
        <v>46098</v>
      </c>
      <c r="C879" s="63">
        <v>2</v>
      </c>
      <c r="D879" s="63" t="s">
        <v>298</v>
      </c>
      <c r="E879" s="65" t="s">
        <v>299</v>
      </c>
      <c r="F879" s="65" t="s">
        <v>276</v>
      </c>
      <c r="G879" s="63" t="s">
        <v>2143</v>
      </c>
      <c r="H879" s="65">
        <v>281</v>
      </c>
      <c r="I879" s="65" t="s">
        <v>172</v>
      </c>
      <c r="J879" s="63">
        <v>6594</v>
      </c>
      <c r="K879" s="64">
        <v>5929.32</v>
      </c>
      <c r="L879" s="63" t="s">
        <v>2781</v>
      </c>
      <c r="M879" s="65" t="str">
        <f t="shared" si="13"/>
        <v>MINERADORA PORTO FRANCOSAO PEDRO DA AGUA BRANCABICA CORRIDA</v>
      </c>
      <c r="N879" s="85" t="s">
        <v>15</v>
      </c>
    </row>
    <row r="880" spans="2:14" hidden="1" x14ac:dyDescent="0.25">
      <c r="B880" s="91">
        <v>46098</v>
      </c>
      <c r="C880" s="63">
        <v>2</v>
      </c>
      <c r="D880" s="63" t="s">
        <v>300</v>
      </c>
      <c r="E880" s="65" t="s">
        <v>301</v>
      </c>
      <c r="F880" s="65" t="s">
        <v>276</v>
      </c>
      <c r="G880" s="63" t="s">
        <v>2143</v>
      </c>
      <c r="H880" s="65">
        <v>281</v>
      </c>
      <c r="I880" s="65" t="s">
        <v>221</v>
      </c>
      <c r="J880" s="63">
        <v>6542</v>
      </c>
      <c r="K880" s="64">
        <v>5882.57</v>
      </c>
      <c r="L880" s="63" t="s">
        <v>2782</v>
      </c>
      <c r="M880" s="65" t="str">
        <f t="shared" si="13"/>
        <v>MINERADORA PORTO FRANCOSAO PEDRO DA AGUA BRANCABGS</v>
      </c>
      <c r="N880" s="85" t="s">
        <v>15</v>
      </c>
    </row>
    <row r="881" spans="2:14" hidden="1" x14ac:dyDescent="0.25">
      <c r="B881" s="91">
        <v>46098</v>
      </c>
      <c r="C881" s="63">
        <v>2</v>
      </c>
      <c r="D881" s="63" t="s">
        <v>310</v>
      </c>
      <c r="E881" s="65" t="s">
        <v>311</v>
      </c>
      <c r="F881" s="65" t="s">
        <v>276</v>
      </c>
      <c r="G881" s="63" t="s">
        <v>2143</v>
      </c>
      <c r="H881" s="65">
        <v>281</v>
      </c>
      <c r="I881" s="65" t="s">
        <v>207</v>
      </c>
      <c r="J881" s="63">
        <v>4106</v>
      </c>
      <c r="K881" s="64">
        <v>3692.12</v>
      </c>
      <c r="L881" s="63" t="s">
        <v>2783</v>
      </c>
      <c r="M881" s="65" t="str">
        <f t="shared" si="13"/>
        <v>MINERADORA PORTO FRANCOSAO PEDRO DA AGUA BRANCARACHÃO</v>
      </c>
      <c r="N881" s="85" t="s">
        <v>15</v>
      </c>
    </row>
    <row r="882" spans="2:14" hidden="1" x14ac:dyDescent="0.25">
      <c r="B882" s="91">
        <v>46098</v>
      </c>
      <c r="C882" s="63">
        <v>2</v>
      </c>
      <c r="D882" s="63" t="s">
        <v>312</v>
      </c>
      <c r="E882" s="65" t="s">
        <v>313</v>
      </c>
      <c r="F882" s="65" t="s">
        <v>276</v>
      </c>
      <c r="G882" s="63" t="s">
        <v>2143</v>
      </c>
      <c r="H882" s="65">
        <v>281</v>
      </c>
      <c r="I882" s="65" t="s">
        <v>207</v>
      </c>
      <c r="J882" s="63">
        <v>4238</v>
      </c>
      <c r="K882" s="64">
        <v>3810.81</v>
      </c>
      <c r="L882" s="63" t="s">
        <v>2784</v>
      </c>
      <c r="M882" s="65" t="str">
        <f t="shared" si="13"/>
        <v>MINERADORA PORTO FRANCOSAO PEDRO DA AGUA BRANCARACHÃO</v>
      </c>
      <c r="N882" s="85" t="s">
        <v>15</v>
      </c>
    </row>
    <row r="883" spans="2:14" hidden="1" x14ac:dyDescent="0.25">
      <c r="B883" s="91">
        <v>46098</v>
      </c>
      <c r="C883" s="63">
        <v>2</v>
      </c>
      <c r="D883" s="63" t="s">
        <v>294</v>
      </c>
      <c r="E883" s="65" t="s">
        <v>295</v>
      </c>
      <c r="F883" s="65" t="s">
        <v>276</v>
      </c>
      <c r="G883" s="63" t="s">
        <v>2143</v>
      </c>
      <c r="H883" s="65">
        <v>281</v>
      </c>
      <c r="I883" s="65" t="s">
        <v>207</v>
      </c>
      <c r="J883" s="63">
        <v>3902</v>
      </c>
      <c r="K883" s="64">
        <v>3508.68</v>
      </c>
      <c r="L883" s="63" t="s">
        <v>2785</v>
      </c>
      <c r="M883" s="65" t="str">
        <f t="shared" si="13"/>
        <v>MINERADORA PORTO FRANCOSAO PEDRO DA AGUA BRANCARACHÃO</v>
      </c>
      <c r="N883" s="85" t="s">
        <v>15</v>
      </c>
    </row>
    <row r="884" spans="2:14" hidden="1" x14ac:dyDescent="0.25">
      <c r="B884" s="91">
        <v>46099</v>
      </c>
      <c r="C884" s="63">
        <v>2</v>
      </c>
      <c r="D884" s="63" t="s">
        <v>296</v>
      </c>
      <c r="E884" s="65" t="s">
        <v>297</v>
      </c>
      <c r="F884" s="65" t="s">
        <v>276</v>
      </c>
      <c r="G884" s="63" t="s">
        <v>2143</v>
      </c>
      <c r="H884" s="65">
        <v>281</v>
      </c>
      <c r="I884" s="65" t="s">
        <v>207</v>
      </c>
      <c r="J884" s="63">
        <v>3982</v>
      </c>
      <c r="K884" s="64">
        <v>3580.61</v>
      </c>
      <c r="L884" s="63" t="s">
        <v>2786</v>
      </c>
      <c r="M884" s="65" t="str">
        <f t="shared" si="13"/>
        <v>MINERADORA PORTO FRANCOSAO PEDRO DA AGUA BRANCARACHÃO</v>
      </c>
      <c r="N884" s="85" t="s">
        <v>15</v>
      </c>
    </row>
    <row r="885" spans="2:14" hidden="1" x14ac:dyDescent="0.25">
      <c r="B885" s="91">
        <v>46099</v>
      </c>
      <c r="C885" s="63">
        <v>2</v>
      </c>
      <c r="D885" s="63" t="s">
        <v>305</v>
      </c>
      <c r="E885" s="65" t="s">
        <v>306</v>
      </c>
      <c r="F885" s="65" t="s">
        <v>276</v>
      </c>
      <c r="G885" s="63" t="s">
        <v>2143</v>
      </c>
      <c r="H885" s="65">
        <v>281</v>
      </c>
      <c r="I885" s="65" t="s">
        <v>172</v>
      </c>
      <c r="J885" s="63">
        <v>6474</v>
      </c>
      <c r="K885" s="64">
        <v>5821.42</v>
      </c>
      <c r="L885" s="63" t="s">
        <v>2787</v>
      </c>
      <c r="M885" s="65" t="str">
        <f t="shared" si="13"/>
        <v>MINERADORA PORTO FRANCOSAO PEDRO DA AGUA BRANCABICA CORRIDA</v>
      </c>
      <c r="N885" s="85" t="s">
        <v>15</v>
      </c>
    </row>
    <row r="886" spans="2:14" hidden="1" x14ac:dyDescent="0.25">
      <c r="B886" s="91">
        <v>46099</v>
      </c>
      <c r="C886" s="63">
        <v>2</v>
      </c>
      <c r="D886" s="63" t="s">
        <v>205</v>
      </c>
      <c r="E886" s="65" t="s">
        <v>1536</v>
      </c>
      <c r="F886" s="65" t="s">
        <v>291</v>
      </c>
      <c r="G886" s="63" t="s">
        <v>759</v>
      </c>
      <c r="H886" s="65">
        <v>289</v>
      </c>
      <c r="I886" s="65" t="s">
        <v>221</v>
      </c>
      <c r="J886" s="63">
        <v>5156</v>
      </c>
      <c r="K886" s="64">
        <v>5513.31</v>
      </c>
      <c r="L886" s="63" t="s">
        <v>2788</v>
      </c>
      <c r="M886" s="65" t="str">
        <f t="shared" si="13"/>
        <v>MINERADORA PORTO FRANCO - MAVF CONSTRUTORA KM39BGS</v>
      </c>
      <c r="N886" s="85" t="s">
        <v>15</v>
      </c>
    </row>
    <row r="887" spans="2:14" hidden="1" x14ac:dyDescent="0.25">
      <c r="B887" s="91">
        <v>46099</v>
      </c>
      <c r="C887" s="63">
        <v>2</v>
      </c>
      <c r="D887" s="63" t="s">
        <v>296</v>
      </c>
      <c r="E887" s="65" t="s">
        <v>297</v>
      </c>
      <c r="F887" s="65" t="s">
        <v>276</v>
      </c>
      <c r="G887" s="63" t="s">
        <v>2143</v>
      </c>
      <c r="H887" s="65">
        <v>281</v>
      </c>
      <c r="I887" s="65" t="s">
        <v>207</v>
      </c>
      <c r="J887" s="63">
        <v>3976</v>
      </c>
      <c r="K887" s="64">
        <v>3575.22</v>
      </c>
      <c r="L887" s="63" t="s">
        <v>2789</v>
      </c>
      <c r="M887" s="65" t="str">
        <f t="shared" si="13"/>
        <v>MINERADORA PORTO FRANCOSAO PEDRO DA AGUA BRANCARACHÃO</v>
      </c>
      <c r="N887" s="85" t="s">
        <v>15</v>
      </c>
    </row>
    <row r="888" spans="2:14" hidden="1" x14ac:dyDescent="0.25">
      <c r="B888" s="91">
        <v>46099</v>
      </c>
      <c r="C888" s="63">
        <v>2</v>
      </c>
      <c r="D888" s="63" t="s">
        <v>302</v>
      </c>
      <c r="E888" s="65" t="s">
        <v>303</v>
      </c>
      <c r="F888" s="65" t="s">
        <v>2748</v>
      </c>
      <c r="G888" s="63" t="s">
        <v>2749</v>
      </c>
      <c r="H888" s="65">
        <v>168</v>
      </c>
      <c r="I888" s="65" t="s">
        <v>195</v>
      </c>
      <c r="J888" s="63">
        <v>5458</v>
      </c>
      <c r="K888" s="64">
        <v>2934.22</v>
      </c>
      <c r="L888" s="63" t="s">
        <v>2790</v>
      </c>
      <c r="M888" s="65" t="str">
        <f t="shared" si="13"/>
        <v>CBM MINERADORAPALMEIROPOLIS-TOBRITA 1</v>
      </c>
      <c r="N888" s="85" t="s">
        <v>2749</v>
      </c>
    </row>
    <row r="889" spans="2:14" hidden="1" x14ac:dyDescent="0.25">
      <c r="B889" s="91">
        <v>46100</v>
      </c>
      <c r="C889" s="63">
        <v>2</v>
      </c>
      <c r="D889" s="63" t="s">
        <v>310</v>
      </c>
      <c r="E889" s="65" t="s">
        <v>311</v>
      </c>
      <c r="F889" s="65" t="s">
        <v>276</v>
      </c>
      <c r="G889" s="63" t="s">
        <v>2143</v>
      </c>
      <c r="H889" s="65">
        <v>281</v>
      </c>
      <c r="I889" s="65" t="s">
        <v>207</v>
      </c>
      <c r="J889" s="63">
        <v>385</v>
      </c>
      <c r="K889" s="64">
        <v>3461.92</v>
      </c>
      <c r="L889" s="63" t="s">
        <v>2791</v>
      </c>
      <c r="M889" s="65" t="str">
        <f t="shared" si="13"/>
        <v>MINERADORA PORTO FRANCOSAO PEDRO DA AGUA BRANCARACHÃO</v>
      </c>
      <c r="N889" s="85" t="s">
        <v>15</v>
      </c>
    </row>
    <row r="890" spans="2:14" hidden="1" x14ac:dyDescent="0.25">
      <c r="B890" s="91">
        <v>46100</v>
      </c>
      <c r="C890" s="63">
        <v>2</v>
      </c>
      <c r="D890" s="63" t="s">
        <v>298</v>
      </c>
      <c r="E890" s="65" t="s">
        <v>299</v>
      </c>
      <c r="F890" s="65" t="s">
        <v>291</v>
      </c>
      <c r="G890" s="63" t="s">
        <v>759</v>
      </c>
      <c r="H890" s="65">
        <v>289</v>
      </c>
      <c r="I890" s="65" t="s">
        <v>221</v>
      </c>
      <c r="J890" s="63">
        <v>5398</v>
      </c>
      <c r="K890" s="64">
        <v>5772.08</v>
      </c>
      <c r="L890" s="63" t="s">
        <v>2792</v>
      </c>
      <c r="M890" s="65" t="str">
        <f t="shared" si="13"/>
        <v>MINERADORA PORTO FRANCO - MAVF CONSTRUTORA KM39BGS</v>
      </c>
      <c r="N890" s="85" t="s">
        <v>15</v>
      </c>
    </row>
    <row r="891" spans="2:14" hidden="1" x14ac:dyDescent="0.25">
      <c r="B891" s="91">
        <v>46100</v>
      </c>
      <c r="C891" s="63">
        <v>2</v>
      </c>
      <c r="D891" s="63" t="s">
        <v>305</v>
      </c>
      <c r="E891" s="65" t="s">
        <v>306</v>
      </c>
      <c r="F891" s="65" t="s">
        <v>291</v>
      </c>
      <c r="G891" s="63" t="s">
        <v>759</v>
      </c>
      <c r="H891" s="65">
        <v>289</v>
      </c>
      <c r="I891" s="65" t="s">
        <v>221</v>
      </c>
      <c r="J891" s="63">
        <v>517</v>
      </c>
      <c r="K891" s="64">
        <v>5528.28</v>
      </c>
      <c r="L891" s="63" t="s">
        <v>2793</v>
      </c>
      <c r="M891" s="65" t="str">
        <f t="shared" si="13"/>
        <v>MINERADORA PORTO FRANCO - MAVF CONSTRUTORA KM39BGS</v>
      </c>
      <c r="N891" s="85" t="s">
        <v>15</v>
      </c>
    </row>
    <row r="892" spans="2:14" hidden="1" x14ac:dyDescent="0.25">
      <c r="B892" s="91">
        <v>46100</v>
      </c>
      <c r="C892" s="63">
        <v>2</v>
      </c>
      <c r="D892" s="63" t="s">
        <v>294</v>
      </c>
      <c r="E892" s="65" t="s">
        <v>295</v>
      </c>
      <c r="F892" s="65" t="s">
        <v>276</v>
      </c>
      <c r="G892" s="63" t="s">
        <v>277</v>
      </c>
      <c r="H892" s="65">
        <v>118</v>
      </c>
      <c r="I892" s="65" t="s">
        <v>165</v>
      </c>
      <c r="J892" s="63">
        <v>330</v>
      </c>
      <c r="K892" s="64">
        <v>1246.08</v>
      </c>
      <c r="L892" s="63" t="s">
        <v>2794</v>
      </c>
      <c r="M892" s="65" t="str">
        <f t="shared" si="13"/>
        <v>MINERADORA PORTO FRANCOCONCRENORTEPÓ DE BRITA</v>
      </c>
      <c r="N892" s="85" t="s">
        <v>15</v>
      </c>
    </row>
    <row r="893" spans="2:14" hidden="1" x14ac:dyDescent="0.25">
      <c r="B893" s="91">
        <v>46100</v>
      </c>
      <c r="C893" s="63">
        <v>2</v>
      </c>
      <c r="D893" s="63" t="s">
        <v>296</v>
      </c>
      <c r="E893" s="65" t="s">
        <v>297</v>
      </c>
      <c r="F893" s="65" t="s">
        <v>276</v>
      </c>
      <c r="G893" s="63" t="s">
        <v>2033</v>
      </c>
      <c r="H893" s="65">
        <v>323</v>
      </c>
      <c r="I893" s="65" t="s">
        <v>221</v>
      </c>
      <c r="J893" s="63">
        <v>394</v>
      </c>
      <c r="K893" s="64">
        <v>4072.38</v>
      </c>
      <c r="L893" s="63" t="s">
        <v>2795</v>
      </c>
      <c r="M893" s="65" t="str">
        <f t="shared" si="13"/>
        <v>MINERADORA PORTO FRANCOVALE KM 386BGS</v>
      </c>
      <c r="N893" s="85" t="s">
        <v>15</v>
      </c>
    </row>
    <row r="894" spans="2:14" hidden="1" x14ac:dyDescent="0.25">
      <c r="B894" s="91">
        <v>46100</v>
      </c>
      <c r="C894" s="63">
        <v>2</v>
      </c>
      <c r="D894" s="63" t="s">
        <v>302</v>
      </c>
      <c r="E894" s="65" t="s">
        <v>303</v>
      </c>
      <c r="F894" s="65" t="s">
        <v>2748</v>
      </c>
      <c r="G894" s="63" t="s">
        <v>2749</v>
      </c>
      <c r="H894" s="65">
        <v>168</v>
      </c>
      <c r="I894" s="65" t="s">
        <v>175</v>
      </c>
      <c r="J894" s="63">
        <v>6796</v>
      </c>
      <c r="K894" s="64">
        <v>3653.53</v>
      </c>
      <c r="L894" s="63" t="s">
        <v>2796</v>
      </c>
      <c r="M894" s="65" t="str">
        <f t="shared" si="13"/>
        <v>CBM MINERADORAPALMEIROPOLIS-TOBRITA 0</v>
      </c>
      <c r="N894" s="85" t="s">
        <v>2749</v>
      </c>
    </row>
    <row r="895" spans="2:14" hidden="1" x14ac:dyDescent="0.25">
      <c r="B895" s="91">
        <v>46101</v>
      </c>
      <c r="C895" s="63">
        <v>2</v>
      </c>
      <c r="D895" s="63" t="s">
        <v>300</v>
      </c>
      <c r="E895" s="65" t="s">
        <v>301</v>
      </c>
      <c r="F895" s="65" t="s">
        <v>291</v>
      </c>
      <c r="G895" s="63" t="s">
        <v>759</v>
      </c>
      <c r="H895" s="65">
        <v>289</v>
      </c>
      <c r="I895" s="65" t="s">
        <v>221</v>
      </c>
      <c r="J895" s="63">
        <v>5026</v>
      </c>
      <c r="K895" s="64">
        <v>5374.3</v>
      </c>
      <c r="L895" s="63" t="s">
        <v>2797</v>
      </c>
      <c r="M895" s="65" t="str">
        <f t="shared" si="13"/>
        <v>MINERADORA PORTO FRANCO - MAVF CONSTRUTORA KM39BGS</v>
      </c>
      <c r="N895" s="85" t="s">
        <v>15</v>
      </c>
    </row>
    <row r="896" spans="2:14" hidden="1" x14ac:dyDescent="0.25">
      <c r="B896" s="91">
        <v>46101</v>
      </c>
      <c r="C896" s="63">
        <v>2</v>
      </c>
      <c r="D896" s="63" t="s">
        <v>312</v>
      </c>
      <c r="E896" s="65" t="s">
        <v>313</v>
      </c>
      <c r="F896" s="65" t="s">
        <v>276</v>
      </c>
      <c r="G896" s="63" t="s">
        <v>2033</v>
      </c>
      <c r="H896" s="65">
        <v>323</v>
      </c>
      <c r="I896" s="65" t="s">
        <v>172</v>
      </c>
      <c r="J896" s="63">
        <v>3928</v>
      </c>
      <c r="K896" s="64">
        <v>4059.98</v>
      </c>
      <c r="L896" s="63" t="s">
        <v>2798</v>
      </c>
      <c r="M896" s="65" t="str">
        <f t="shared" si="13"/>
        <v>MINERADORA PORTO FRANCOVALE KM 386BICA CORRIDA</v>
      </c>
      <c r="N896" s="85" t="s">
        <v>15</v>
      </c>
    </row>
    <row r="897" spans="2:14" hidden="1" x14ac:dyDescent="0.25">
      <c r="B897" s="91">
        <v>46101</v>
      </c>
      <c r="C897" s="63">
        <v>2</v>
      </c>
      <c r="D897" s="63" t="s">
        <v>310</v>
      </c>
      <c r="E897" s="65" t="s">
        <v>311</v>
      </c>
      <c r="F897" s="65" t="s">
        <v>276</v>
      </c>
      <c r="G897" s="63" t="s">
        <v>2033</v>
      </c>
      <c r="H897" s="65">
        <v>323</v>
      </c>
      <c r="I897" s="65" t="s">
        <v>221</v>
      </c>
      <c r="J897" s="63">
        <v>4068</v>
      </c>
      <c r="K897" s="64">
        <v>4204.68</v>
      </c>
      <c r="L897" s="63" t="s">
        <v>2799</v>
      </c>
      <c r="M897" s="65" t="str">
        <f t="shared" si="13"/>
        <v>MINERADORA PORTO FRANCOVALE KM 386BGS</v>
      </c>
      <c r="N897" s="85" t="s">
        <v>15</v>
      </c>
    </row>
    <row r="898" spans="2:14" hidden="1" x14ac:dyDescent="0.25">
      <c r="B898" s="91">
        <v>46102</v>
      </c>
      <c r="C898" s="63">
        <v>2</v>
      </c>
      <c r="D898" s="63" t="s">
        <v>305</v>
      </c>
      <c r="E898" s="65" t="s">
        <v>306</v>
      </c>
      <c r="F898" s="65" t="s">
        <v>291</v>
      </c>
      <c r="G898" s="63" t="s">
        <v>2418</v>
      </c>
      <c r="H898" s="65">
        <v>331</v>
      </c>
      <c r="I898" s="65" t="s">
        <v>279</v>
      </c>
      <c r="J898" s="63">
        <v>5876</v>
      </c>
      <c r="K898" s="64">
        <v>7196.34</v>
      </c>
      <c r="L898" s="63" t="s">
        <v>2800</v>
      </c>
      <c r="M898" s="65" t="str">
        <f t="shared" si="13"/>
        <v>MINERADORA PORTO FRANCO - MAPOVOADO NOVA VIDAMATACO</v>
      </c>
      <c r="N898" s="85" t="s">
        <v>15</v>
      </c>
    </row>
    <row r="899" spans="2:14" hidden="1" x14ac:dyDescent="0.25">
      <c r="B899" s="91">
        <v>46102</v>
      </c>
      <c r="C899" s="63">
        <v>2</v>
      </c>
      <c r="D899" s="63" t="s">
        <v>312</v>
      </c>
      <c r="E899" s="65" t="s">
        <v>313</v>
      </c>
      <c r="F899" s="65" t="s">
        <v>291</v>
      </c>
      <c r="G899" s="63" t="s">
        <v>783</v>
      </c>
      <c r="H899" s="65">
        <v>358</v>
      </c>
      <c r="I899" s="65" t="s">
        <v>172</v>
      </c>
      <c r="J899" s="63">
        <v>32266</v>
      </c>
      <c r="K899" s="64">
        <v>4273.95</v>
      </c>
      <c r="L899" s="63" t="s">
        <v>2801</v>
      </c>
      <c r="M899" s="65" t="str">
        <f t="shared" si="13"/>
        <v>MINERADORA PORTO FRANCO - MAVF CONSTRUTORA KM114BICA CORRIDA</v>
      </c>
      <c r="N899" s="85" t="s">
        <v>15</v>
      </c>
    </row>
    <row r="900" spans="2:14" hidden="1" x14ac:dyDescent="0.25">
      <c r="B900" s="91">
        <v>46102</v>
      </c>
      <c r="C900" s="63">
        <v>2</v>
      </c>
      <c r="D900" s="63" t="s">
        <v>300</v>
      </c>
      <c r="E900" s="65" t="s">
        <v>301</v>
      </c>
      <c r="F900" s="65" t="s">
        <v>291</v>
      </c>
      <c r="G900" s="63" t="s">
        <v>2418</v>
      </c>
      <c r="H900" s="65">
        <v>331</v>
      </c>
      <c r="I900" s="65" t="s">
        <v>279</v>
      </c>
      <c r="J900" s="63">
        <v>5758</v>
      </c>
      <c r="K900" s="64">
        <v>7051.82</v>
      </c>
      <c r="L900" s="63" t="s">
        <v>2802</v>
      </c>
      <c r="M900" s="65" t="str">
        <f t="shared" si="13"/>
        <v>MINERADORA PORTO FRANCO - MAPOVOADO NOVA VIDAMATACO</v>
      </c>
      <c r="N900" s="85" t="s">
        <v>15</v>
      </c>
    </row>
    <row r="901" spans="2:14" hidden="1" x14ac:dyDescent="0.25">
      <c r="B901" s="91">
        <v>46103</v>
      </c>
      <c r="C901" s="63">
        <v>2</v>
      </c>
      <c r="D901" s="63" t="s">
        <v>310</v>
      </c>
      <c r="E901" s="65" t="s">
        <v>311</v>
      </c>
      <c r="F901" s="65" t="s">
        <v>291</v>
      </c>
      <c r="G901" s="63" t="s">
        <v>783</v>
      </c>
      <c r="H901" s="65">
        <v>358</v>
      </c>
      <c r="I901" s="65" t="s">
        <v>221</v>
      </c>
      <c r="J901" s="63">
        <v>3214</v>
      </c>
      <c r="K901" s="64">
        <v>4257.26</v>
      </c>
      <c r="L901" s="63" t="s">
        <v>2803</v>
      </c>
      <c r="M901" s="65" t="str">
        <f t="shared" ref="M901:M946" si="14">_xlfn.CONCAT(F901&amp;G901&amp;I901)</f>
        <v>MINERADORA PORTO FRANCO - MAVF CONSTRUTORA KM114BGS</v>
      </c>
      <c r="N901" s="85" t="s">
        <v>15</v>
      </c>
    </row>
    <row r="902" spans="2:14" hidden="1" x14ac:dyDescent="0.25">
      <c r="B902" s="91">
        <v>46104</v>
      </c>
      <c r="C902" s="63">
        <v>2</v>
      </c>
      <c r="D902" s="63" t="s">
        <v>298</v>
      </c>
      <c r="E902" s="65" t="s">
        <v>299</v>
      </c>
      <c r="F902" s="65" t="s">
        <v>291</v>
      </c>
      <c r="G902" s="63" t="s">
        <v>2418</v>
      </c>
      <c r="H902" s="65">
        <v>331</v>
      </c>
      <c r="I902" s="65" t="s">
        <v>279</v>
      </c>
      <c r="J902" s="63">
        <v>5726</v>
      </c>
      <c r="K902" s="64">
        <v>7012.63</v>
      </c>
      <c r="L902" s="63" t="s">
        <v>2804</v>
      </c>
      <c r="M902" s="65" t="str">
        <f t="shared" si="14"/>
        <v>MINERADORA PORTO FRANCO - MAPOVOADO NOVA VIDAMATACO</v>
      </c>
      <c r="N902" s="85" t="s">
        <v>15</v>
      </c>
    </row>
    <row r="903" spans="2:14" hidden="1" x14ac:dyDescent="0.25">
      <c r="B903" s="91">
        <v>46104</v>
      </c>
      <c r="C903" s="63">
        <v>2</v>
      </c>
      <c r="D903" s="63" t="s">
        <v>302</v>
      </c>
      <c r="E903" s="65" t="s">
        <v>303</v>
      </c>
      <c r="F903" s="65" t="s">
        <v>2748</v>
      </c>
      <c r="G903" s="63" t="s">
        <v>2749</v>
      </c>
      <c r="H903" s="65">
        <v>168</v>
      </c>
      <c r="I903" s="65" t="s">
        <v>175</v>
      </c>
      <c r="J903" s="63">
        <v>5629</v>
      </c>
      <c r="K903" s="64">
        <v>3026.15</v>
      </c>
      <c r="L903" s="63" t="s">
        <v>2805</v>
      </c>
      <c r="M903" s="65" t="str">
        <f t="shared" si="14"/>
        <v>CBM MINERADORAPALMEIROPOLIS-TOBRITA 0</v>
      </c>
      <c r="N903" s="85" t="s">
        <v>2749</v>
      </c>
    </row>
    <row r="904" spans="2:14" hidden="1" x14ac:dyDescent="0.25">
      <c r="B904" s="91">
        <v>46104</v>
      </c>
      <c r="C904" s="63">
        <v>2</v>
      </c>
      <c r="D904" s="63" t="s">
        <v>294</v>
      </c>
      <c r="E904" s="65" t="s">
        <v>295</v>
      </c>
      <c r="F904" s="65" t="s">
        <v>276</v>
      </c>
      <c r="G904" s="63" t="s">
        <v>2033</v>
      </c>
      <c r="H904" s="65">
        <v>323</v>
      </c>
      <c r="I904" s="65" t="s">
        <v>221</v>
      </c>
      <c r="J904" s="63">
        <v>3754</v>
      </c>
      <c r="K904" s="64">
        <v>3880.13</v>
      </c>
      <c r="L904" s="63" t="s">
        <v>2806</v>
      </c>
      <c r="M904" s="65" t="str">
        <f t="shared" si="14"/>
        <v>MINERADORA PORTO FRANCOVALE KM 386BGS</v>
      </c>
      <c r="N904" s="85" t="s">
        <v>15</v>
      </c>
    </row>
    <row r="905" spans="2:14" hidden="1" x14ac:dyDescent="0.25">
      <c r="B905" s="91">
        <v>46104</v>
      </c>
      <c r="C905" s="63">
        <v>2</v>
      </c>
      <c r="D905" s="63" t="s">
        <v>312</v>
      </c>
      <c r="E905" s="65" t="s">
        <v>313</v>
      </c>
      <c r="F905" s="65" t="s">
        <v>2757</v>
      </c>
      <c r="G905" s="63" t="s">
        <v>2807</v>
      </c>
      <c r="H905" s="65">
        <v>59</v>
      </c>
      <c r="I905" s="65" t="s">
        <v>221</v>
      </c>
      <c r="J905" s="63">
        <v>4022</v>
      </c>
      <c r="K905" s="64">
        <v>878</v>
      </c>
      <c r="L905" s="63" t="s">
        <v>2808</v>
      </c>
      <c r="M905" s="65" t="str">
        <f t="shared" si="14"/>
        <v>MINERADORA PORTO FRANCO MAFAZENDA PASSAGEM BOABGS</v>
      </c>
      <c r="N905" s="85" t="s">
        <v>15</v>
      </c>
    </row>
    <row r="906" spans="2:14" hidden="1" x14ac:dyDescent="0.25">
      <c r="B906" s="91">
        <v>46105</v>
      </c>
      <c r="C906" s="63">
        <v>2</v>
      </c>
      <c r="D906" s="63" t="s">
        <v>296</v>
      </c>
      <c r="E906" s="65" t="s">
        <v>297</v>
      </c>
      <c r="F906" s="65" t="s">
        <v>276</v>
      </c>
      <c r="G906" s="63" t="s">
        <v>2033</v>
      </c>
      <c r="H906" s="65">
        <v>323</v>
      </c>
      <c r="I906" s="65" t="s">
        <v>221</v>
      </c>
      <c r="J906" s="63">
        <v>3746</v>
      </c>
      <c r="K906" s="64">
        <v>3871.87</v>
      </c>
      <c r="L906" s="63" t="s">
        <v>2809</v>
      </c>
      <c r="M906" s="65" t="str">
        <f t="shared" si="14"/>
        <v>MINERADORA PORTO FRANCOVALE KM 386BGS</v>
      </c>
      <c r="N906" s="85" t="s">
        <v>15</v>
      </c>
    </row>
    <row r="907" spans="2:14" hidden="1" x14ac:dyDescent="0.25">
      <c r="B907" s="91">
        <v>46105</v>
      </c>
      <c r="C907" s="63">
        <v>2</v>
      </c>
      <c r="D907" s="63" t="s">
        <v>302</v>
      </c>
      <c r="E907" s="65" t="s">
        <v>303</v>
      </c>
      <c r="F907" s="65" t="s">
        <v>2748</v>
      </c>
      <c r="G907" s="63" t="s">
        <v>2749</v>
      </c>
      <c r="H907" s="65">
        <v>168</v>
      </c>
      <c r="I907" s="65" t="s">
        <v>195</v>
      </c>
      <c r="J907" s="63">
        <v>6294</v>
      </c>
      <c r="K907" s="64">
        <v>3383.65</v>
      </c>
      <c r="L907" s="63" t="s">
        <v>2810</v>
      </c>
      <c r="M907" s="65" t="str">
        <f t="shared" si="14"/>
        <v>CBM MINERADORAPALMEIROPOLIS-TOBRITA 1</v>
      </c>
      <c r="N907" s="85" t="s">
        <v>2749</v>
      </c>
    </row>
    <row r="908" spans="2:14" hidden="1" x14ac:dyDescent="0.25">
      <c r="B908" s="91">
        <v>46105</v>
      </c>
      <c r="C908" s="63">
        <v>2</v>
      </c>
      <c r="D908" s="63" t="s">
        <v>298</v>
      </c>
      <c r="E908" s="65" t="s">
        <v>299</v>
      </c>
      <c r="F908" s="65" t="s">
        <v>291</v>
      </c>
      <c r="G908" s="63" t="s">
        <v>2418</v>
      </c>
      <c r="H908" s="65">
        <v>331</v>
      </c>
      <c r="I908" s="65" t="s">
        <v>279</v>
      </c>
      <c r="J908" s="63">
        <v>5716</v>
      </c>
      <c r="K908" s="64">
        <v>7000.39</v>
      </c>
      <c r="L908" s="63" t="s">
        <v>2811</v>
      </c>
      <c r="M908" s="65" t="str">
        <f t="shared" si="14"/>
        <v>MINERADORA PORTO FRANCO - MAPOVOADO NOVA VIDAMATACO</v>
      </c>
      <c r="N908" s="85" t="s">
        <v>15</v>
      </c>
    </row>
    <row r="909" spans="2:14" hidden="1" x14ac:dyDescent="0.25">
      <c r="B909" s="91">
        <v>46105</v>
      </c>
      <c r="C909" s="63">
        <v>2</v>
      </c>
      <c r="D909" s="63" t="s">
        <v>302</v>
      </c>
      <c r="E909" s="65" t="s">
        <v>303</v>
      </c>
      <c r="F909" s="65" t="s">
        <v>2748</v>
      </c>
      <c r="G909" s="63" t="s">
        <v>2749</v>
      </c>
      <c r="H909" s="65">
        <v>168</v>
      </c>
      <c r="I909" s="65" t="s">
        <v>175</v>
      </c>
      <c r="J909" s="63">
        <v>5068</v>
      </c>
      <c r="K909" s="64">
        <v>2724.56</v>
      </c>
      <c r="L909" s="63" t="s">
        <v>2812</v>
      </c>
      <c r="M909" s="65" t="str">
        <f t="shared" si="14"/>
        <v>CBM MINERADORAPALMEIROPOLIS-TOBRITA 0</v>
      </c>
      <c r="N909" s="85" t="s">
        <v>2749</v>
      </c>
    </row>
    <row r="910" spans="2:14" hidden="1" x14ac:dyDescent="0.25">
      <c r="B910" s="91">
        <v>46105</v>
      </c>
      <c r="C910" s="63">
        <v>2</v>
      </c>
      <c r="D910" s="63" t="s">
        <v>300</v>
      </c>
      <c r="E910" s="65" t="s">
        <v>301</v>
      </c>
      <c r="F910" s="65" t="s">
        <v>291</v>
      </c>
      <c r="G910" s="63" t="s">
        <v>2418</v>
      </c>
      <c r="H910" s="65">
        <v>331</v>
      </c>
      <c r="I910" s="65" t="s">
        <v>279</v>
      </c>
      <c r="J910" s="63">
        <v>6014</v>
      </c>
      <c r="K910" s="64">
        <v>7365.35</v>
      </c>
      <c r="L910" s="63" t="s">
        <v>2813</v>
      </c>
      <c r="M910" s="65" t="str">
        <f t="shared" si="14"/>
        <v>MINERADORA PORTO FRANCO - MAPOVOADO NOVA VIDAMATACO</v>
      </c>
      <c r="N910" s="85" t="s">
        <v>15</v>
      </c>
    </row>
    <row r="911" spans="2:14" hidden="1" x14ac:dyDescent="0.25">
      <c r="B911" s="91">
        <v>46105</v>
      </c>
      <c r="C911" s="63">
        <v>2</v>
      </c>
      <c r="D911" s="63" t="s">
        <v>310</v>
      </c>
      <c r="E911" s="65" t="s">
        <v>311</v>
      </c>
      <c r="F911" s="65" t="s">
        <v>276</v>
      </c>
      <c r="G911" s="63" t="s">
        <v>2033</v>
      </c>
      <c r="H911" s="65">
        <v>323</v>
      </c>
      <c r="I911" s="65" t="s">
        <v>207</v>
      </c>
      <c r="J911" s="63">
        <v>3826</v>
      </c>
      <c r="K911" s="64">
        <v>3954.55</v>
      </c>
      <c r="L911" s="63" t="s">
        <v>2814</v>
      </c>
      <c r="M911" s="65" t="str">
        <f t="shared" si="14"/>
        <v>MINERADORA PORTO FRANCOVALE KM 386RACHÃO</v>
      </c>
      <c r="N911" s="85" t="s">
        <v>15</v>
      </c>
    </row>
    <row r="912" spans="2:14" hidden="1" x14ac:dyDescent="0.25">
      <c r="B912" s="91">
        <v>46105</v>
      </c>
      <c r="C912" s="63">
        <v>2</v>
      </c>
      <c r="D912" s="63" t="s">
        <v>305</v>
      </c>
      <c r="E912" s="65" t="s">
        <v>306</v>
      </c>
      <c r="F912" s="65" t="s">
        <v>291</v>
      </c>
      <c r="G912" s="63" t="s">
        <v>2418</v>
      </c>
      <c r="H912" s="65">
        <v>331</v>
      </c>
      <c r="I912" s="65" t="s">
        <v>279</v>
      </c>
      <c r="J912" s="63">
        <v>5636</v>
      </c>
      <c r="K912" s="64">
        <v>6902.41</v>
      </c>
      <c r="L912" s="63" t="s">
        <v>2815</v>
      </c>
      <c r="M912" s="65" t="str">
        <f t="shared" si="14"/>
        <v>MINERADORA PORTO FRANCO - MAPOVOADO NOVA VIDAMATACO</v>
      </c>
      <c r="N912" s="85" t="s">
        <v>15</v>
      </c>
    </row>
    <row r="913" spans="2:14" hidden="1" x14ac:dyDescent="0.25">
      <c r="B913" s="91">
        <v>46106</v>
      </c>
      <c r="C913" s="63">
        <v>2</v>
      </c>
      <c r="D913" s="63" t="s">
        <v>296</v>
      </c>
      <c r="E913" s="65" t="s">
        <v>297</v>
      </c>
      <c r="F913" s="65" t="s">
        <v>291</v>
      </c>
      <c r="G913" s="63" t="s">
        <v>747</v>
      </c>
      <c r="H913" s="65">
        <v>145</v>
      </c>
      <c r="I913" s="65" t="s">
        <v>195</v>
      </c>
      <c r="J913" s="63">
        <v>3844</v>
      </c>
      <c r="K913" s="64">
        <v>2062.31</v>
      </c>
      <c r="L913" s="63" t="s">
        <v>2816</v>
      </c>
      <c r="M913" s="65" t="str">
        <f t="shared" si="14"/>
        <v>MINERADORA PORTO FRANCO - MAGRAJAU IDAN TORRESBRITA 1</v>
      </c>
      <c r="N913" s="85" t="s">
        <v>15</v>
      </c>
    </row>
    <row r="914" spans="2:14" hidden="1" x14ac:dyDescent="0.25">
      <c r="B914" s="91">
        <v>46106</v>
      </c>
      <c r="C914" s="63">
        <v>2</v>
      </c>
      <c r="D914" s="63" t="s">
        <v>312</v>
      </c>
      <c r="E914" s="65" t="s">
        <v>313</v>
      </c>
      <c r="F914" s="65" t="s">
        <v>276</v>
      </c>
      <c r="G914" s="63" t="s">
        <v>2033</v>
      </c>
      <c r="H914" s="65">
        <v>323</v>
      </c>
      <c r="I914" s="65" t="s">
        <v>279</v>
      </c>
      <c r="J914" s="63">
        <v>4364</v>
      </c>
      <c r="K914" s="64">
        <v>4510.63</v>
      </c>
      <c r="L914" s="63" t="s">
        <v>2817</v>
      </c>
      <c r="M914" s="65" t="str">
        <f t="shared" si="14"/>
        <v>MINERADORA PORTO FRANCOVALE KM 386MATACO</v>
      </c>
      <c r="N914" s="85" t="s">
        <v>15</v>
      </c>
    </row>
    <row r="915" spans="2:14" hidden="1" x14ac:dyDescent="0.25">
      <c r="B915" s="91">
        <v>46106</v>
      </c>
      <c r="C915" s="63">
        <v>2</v>
      </c>
      <c r="D915" s="63" t="s">
        <v>310</v>
      </c>
      <c r="E915" s="65" t="s">
        <v>311</v>
      </c>
      <c r="F915" s="65" t="s">
        <v>291</v>
      </c>
      <c r="G915" s="63" t="s">
        <v>989</v>
      </c>
      <c r="H915" s="65">
        <v>405</v>
      </c>
      <c r="I915" s="65" t="s">
        <v>221</v>
      </c>
      <c r="J915" s="63">
        <v>3216</v>
      </c>
      <c r="K915" s="64">
        <v>4819.18</v>
      </c>
      <c r="L915" s="63" t="s">
        <v>2818</v>
      </c>
      <c r="M915" s="65" t="str">
        <f t="shared" si="14"/>
        <v>MINERADORA PORTO FRANCO - MAVF CONSTRUTORA KM156BGS</v>
      </c>
      <c r="N915" s="85" t="s">
        <v>15</v>
      </c>
    </row>
    <row r="916" spans="2:14" hidden="1" x14ac:dyDescent="0.25">
      <c r="B916" s="91">
        <v>46106</v>
      </c>
      <c r="C916" s="63">
        <v>2</v>
      </c>
      <c r="D916" s="63" t="s">
        <v>312</v>
      </c>
      <c r="E916" s="65" t="s">
        <v>313</v>
      </c>
      <c r="F916" s="65" t="s">
        <v>276</v>
      </c>
      <c r="G916" s="63" t="s">
        <v>2819</v>
      </c>
      <c r="H916" s="65">
        <v>30</v>
      </c>
      <c r="I916" s="65" t="s">
        <v>207</v>
      </c>
      <c r="J916" s="63">
        <v>3732</v>
      </c>
      <c r="K916" s="64">
        <v>414.25</v>
      </c>
      <c r="L916" s="63" t="s">
        <v>2820</v>
      </c>
      <c r="M916" s="65" t="str">
        <f t="shared" si="14"/>
        <v>MINERADORA PORTO FRANCOVLIRACHÃO</v>
      </c>
      <c r="N916" s="85" t="s">
        <v>15</v>
      </c>
    </row>
    <row r="917" spans="2:14" hidden="1" x14ac:dyDescent="0.25">
      <c r="B917" s="91">
        <v>46106</v>
      </c>
      <c r="C917" s="63">
        <v>2</v>
      </c>
      <c r="D917" s="63" t="s">
        <v>312</v>
      </c>
      <c r="E917" s="65" t="s">
        <v>313</v>
      </c>
      <c r="F917" s="65" t="s">
        <v>276</v>
      </c>
      <c r="G917" s="63" t="s">
        <v>2819</v>
      </c>
      <c r="H917" s="65">
        <v>30</v>
      </c>
      <c r="I917" s="65" t="s">
        <v>207</v>
      </c>
      <c r="J917" s="63">
        <v>3046</v>
      </c>
      <c r="K917" s="64">
        <v>338.11</v>
      </c>
      <c r="L917" s="63" t="s">
        <v>2821</v>
      </c>
      <c r="M917" s="65" t="str">
        <f t="shared" si="14"/>
        <v>MINERADORA PORTO FRANCOVLIRACHÃO</v>
      </c>
      <c r="N917" s="85" t="s">
        <v>15</v>
      </c>
    </row>
    <row r="918" spans="2:14" hidden="1" x14ac:dyDescent="0.25">
      <c r="B918" s="91">
        <v>46106</v>
      </c>
      <c r="C918" s="63">
        <v>2</v>
      </c>
      <c r="D918" s="63" t="s">
        <v>312</v>
      </c>
      <c r="E918" s="65" t="s">
        <v>313</v>
      </c>
      <c r="F918" s="65" t="s">
        <v>276</v>
      </c>
      <c r="G918" s="63" t="s">
        <v>2143</v>
      </c>
      <c r="H918" s="65">
        <v>281</v>
      </c>
      <c r="I918" s="65" t="s">
        <v>207</v>
      </c>
      <c r="J918" s="63">
        <v>4116</v>
      </c>
      <c r="K918" s="64">
        <v>3701.11</v>
      </c>
      <c r="L918" s="63" t="s">
        <v>2822</v>
      </c>
      <c r="M918" s="65" t="str">
        <f t="shared" si="14"/>
        <v>MINERADORA PORTO FRANCOSAO PEDRO DA AGUA BRANCARACHÃO</v>
      </c>
      <c r="N918" s="85" t="s">
        <v>15</v>
      </c>
    </row>
    <row r="919" spans="2:14" hidden="1" x14ac:dyDescent="0.25">
      <c r="B919" s="91">
        <v>46107</v>
      </c>
      <c r="C919" s="63">
        <v>2</v>
      </c>
      <c r="D919" s="63" t="s">
        <v>298</v>
      </c>
      <c r="E919" s="65" t="s">
        <v>299</v>
      </c>
      <c r="F919" s="65" t="s">
        <v>291</v>
      </c>
      <c r="G919" s="63" t="s">
        <v>2418</v>
      </c>
      <c r="H919" s="65">
        <v>331</v>
      </c>
      <c r="I919" s="65" t="s">
        <v>279</v>
      </c>
      <c r="J919" s="63">
        <v>6128</v>
      </c>
      <c r="K919" s="64">
        <v>7504.96</v>
      </c>
      <c r="L919" s="63" t="s">
        <v>2823</v>
      </c>
      <c r="M919" s="65" t="str">
        <f t="shared" si="14"/>
        <v>MINERADORA PORTO FRANCO - MAPOVOADO NOVA VIDAMATACO</v>
      </c>
      <c r="N919" s="85" t="s">
        <v>15</v>
      </c>
    </row>
    <row r="920" spans="2:14" hidden="1" x14ac:dyDescent="0.25">
      <c r="B920" s="91">
        <v>46107</v>
      </c>
      <c r="C920" s="63">
        <v>2</v>
      </c>
      <c r="D920" s="63" t="s">
        <v>310</v>
      </c>
      <c r="E920" s="65" t="s">
        <v>311</v>
      </c>
      <c r="F920" s="65" t="s">
        <v>291</v>
      </c>
      <c r="G920" s="63" t="s">
        <v>2824</v>
      </c>
      <c r="H920" s="65">
        <v>100</v>
      </c>
      <c r="I920" s="65" t="s">
        <v>195</v>
      </c>
      <c r="J920" s="63">
        <v>300</v>
      </c>
      <c r="K920" s="64">
        <v>1110</v>
      </c>
      <c r="L920" s="63" t="s">
        <v>2825</v>
      </c>
      <c r="M920" s="65" t="str">
        <f t="shared" si="14"/>
        <v>MINERADORA PORTO FRANCO - MACD MATEUS - IMPERATRIZBRITA 1</v>
      </c>
      <c r="N920" s="85" t="s">
        <v>15</v>
      </c>
    </row>
    <row r="921" spans="2:14" hidden="1" x14ac:dyDescent="0.25">
      <c r="B921" s="91">
        <v>46107</v>
      </c>
      <c r="C921" s="63">
        <v>2</v>
      </c>
      <c r="D921" s="63" t="s">
        <v>305</v>
      </c>
      <c r="E921" s="65" t="s">
        <v>306</v>
      </c>
      <c r="F921" s="65" t="s">
        <v>291</v>
      </c>
      <c r="G921" s="63" t="s">
        <v>2418</v>
      </c>
      <c r="H921" s="65">
        <v>331</v>
      </c>
      <c r="I921" s="65" t="s">
        <v>279</v>
      </c>
      <c r="J921" s="63">
        <v>551</v>
      </c>
      <c r="K921" s="64">
        <v>6748.1</v>
      </c>
      <c r="L921" s="63" t="s">
        <v>2826</v>
      </c>
      <c r="M921" s="65" t="str">
        <f t="shared" si="14"/>
        <v>MINERADORA PORTO FRANCO - MAPOVOADO NOVA VIDAMATACO</v>
      </c>
      <c r="N921" s="85" t="s">
        <v>15</v>
      </c>
    </row>
    <row r="922" spans="2:14" hidden="1" x14ac:dyDescent="0.25">
      <c r="B922" s="91">
        <v>46107</v>
      </c>
      <c r="C922" s="63">
        <v>2</v>
      </c>
      <c r="D922" s="63" t="s">
        <v>300</v>
      </c>
      <c r="E922" s="65" t="s">
        <v>301</v>
      </c>
      <c r="F922" s="65" t="s">
        <v>291</v>
      </c>
      <c r="G922" s="63" t="s">
        <v>2418</v>
      </c>
      <c r="H922" s="65">
        <v>331</v>
      </c>
      <c r="I922" s="65" t="s">
        <v>279</v>
      </c>
      <c r="J922" s="63">
        <v>5088</v>
      </c>
      <c r="K922" s="64">
        <v>6231.27</v>
      </c>
      <c r="L922" s="63" t="s">
        <v>2827</v>
      </c>
      <c r="M922" s="65" t="str">
        <f t="shared" si="14"/>
        <v>MINERADORA PORTO FRANCO - MAPOVOADO NOVA VIDAMATACO</v>
      </c>
      <c r="N922" s="85" t="s">
        <v>15</v>
      </c>
    </row>
    <row r="923" spans="2:14" hidden="1" x14ac:dyDescent="0.25">
      <c r="B923" s="91">
        <v>46107</v>
      </c>
      <c r="C923" s="63">
        <v>2</v>
      </c>
      <c r="D923" s="63" t="s">
        <v>302</v>
      </c>
      <c r="E923" s="65" t="s">
        <v>303</v>
      </c>
      <c r="F923" s="65" t="s">
        <v>2748</v>
      </c>
      <c r="G923" s="63" t="s">
        <v>2749</v>
      </c>
      <c r="H923" s="65">
        <v>168</v>
      </c>
      <c r="I923" s="65" t="s">
        <v>195</v>
      </c>
      <c r="J923" s="63">
        <v>559</v>
      </c>
      <c r="K923" s="64">
        <v>3005.18</v>
      </c>
      <c r="L923" s="63" t="s">
        <v>2828</v>
      </c>
      <c r="M923" s="65" t="str">
        <f t="shared" si="14"/>
        <v>CBM MINERADORAPALMEIROPOLIS-TOBRITA 1</v>
      </c>
      <c r="N923" s="85" t="s">
        <v>2749</v>
      </c>
    </row>
    <row r="924" spans="2:14" hidden="1" x14ac:dyDescent="0.25">
      <c r="B924" s="91">
        <v>46108</v>
      </c>
      <c r="C924" s="63">
        <v>2</v>
      </c>
      <c r="D924" s="63" t="s">
        <v>298</v>
      </c>
      <c r="E924" s="65" t="s">
        <v>299</v>
      </c>
      <c r="F924" s="65" t="s">
        <v>276</v>
      </c>
      <c r="G924" s="63" t="s">
        <v>2033</v>
      </c>
      <c r="H924" s="65">
        <v>323</v>
      </c>
      <c r="I924" s="65" t="s">
        <v>279</v>
      </c>
      <c r="J924" s="63">
        <v>5722</v>
      </c>
      <c r="K924" s="64">
        <v>5914.26</v>
      </c>
      <c r="L924" s="63" t="s">
        <v>2829</v>
      </c>
      <c r="M924" s="65" t="str">
        <f t="shared" si="14"/>
        <v>MINERADORA PORTO FRANCOVALE KM 386MATACO</v>
      </c>
      <c r="N924" s="85" t="s">
        <v>15</v>
      </c>
    </row>
    <row r="925" spans="2:14" hidden="1" x14ac:dyDescent="0.25">
      <c r="B925" s="91">
        <v>46108</v>
      </c>
      <c r="C925" s="63">
        <v>2</v>
      </c>
      <c r="D925" s="63" t="s">
        <v>300</v>
      </c>
      <c r="E925" s="65" t="s">
        <v>301</v>
      </c>
      <c r="F925" s="65" t="s">
        <v>276</v>
      </c>
      <c r="G925" s="63" t="s">
        <v>2033</v>
      </c>
      <c r="H925" s="65">
        <v>323</v>
      </c>
      <c r="I925" s="65" t="s">
        <v>279</v>
      </c>
      <c r="J925" s="63">
        <v>4434</v>
      </c>
      <c r="K925" s="64">
        <v>4582.9799999999996</v>
      </c>
      <c r="L925" s="63" t="s">
        <v>2830</v>
      </c>
      <c r="M925" s="65" t="str">
        <f t="shared" si="14"/>
        <v>MINERADORA PORTO FRANCOVALE KM 386MATACO</v>
      </c>
      <c r="N925" s="85" t="s">
        <v>15</v>
      </c>
    </row>
    <row r="926" spans="2:14" hidden="1" x14ac:dyDescent="0.25">
      <c r="B926" s="91">
        <v>46108</v>
      </c>
      <c r="C926" s="63">
        <v>2</v>
      </c>
      <c r="D926" s="63" t="s">
        <v>296</v>
      </c>
      <c r="E926" s="65" t="s">
        <v>297</v>
      </c>
      <c r="F926" s="65" t="s">
        <v>291</v>
      </c>
      <c r="G926" s="63" t="s">
        <v>989</v>
      </c>
      <c r="H926" s="65">
        <v>405</v>
      </c>
      <c r="I926" s="65" t="s">
        <v>221</v>
      </c>
      <c r="J926" s="63">
        <v>3234</v>
      </c>
      <c r="K926" s="64">
        <v>4846.1499999999996</v>
      </c>
      <c r="L926" s="63" t="s">
        <v>2831</v>
      </c>
      <c r="M926" s="65" t="str">
        <f t="shared" si="14"/>
        <v>MINERADORA PORTO FRANCO - MAVF CONSTRUTORA KM156BGS</v>
      </c>
      <c r="N926" s="85" t="s">
        <v>15</v>
      </c>
    </row>
    <row r="927" spans="2:14" hidden="1" x14ac:dyDescent="0.25">
      <c r="B927" s="91">
        <v>46108</v>
      </c>
      <c r="C927" s="63">
        <v>2</v>
      </c>
      <c r="D927" s="63" t="s">
        <v>302</v>
      </c>
      <c r="E927" s="65" t="s">
        <v>303</v>
      </c>
      <c r="F927" s="65" t="s">
        <v>2748</v>
      </c>
      <c r="G927" s="63" t="s">
        <v>2749</v>
      </c>
      <c r="H927" s="65">
        <v>168</v>
      </c>
      <c r="I927" s="65" t="s">
        <v>195</v>
      </c>
      <c r="J927" s="63">
        <v>5544</v>
      </c>
      <c r="K927" s="64">
        <v>2980.45</v>
      </c>
      <c r="L927" s="63" t="s">
        <v>2832</v>
      </c>
      <c r="M927" s="65" t="str">
        <f t="shared" si="14"/>
        <v>CBM MINERADORAPALMEIROPOLIS-TOBRITA 1</v>
      </c>
      <c r="N927" s="85" t="s">
        <v>2749</v>
      </c>
    </row>
    <row r="928" spans="2:14" hidden="1" x14ac:dyDescent="0.25">
      <c r="B928" s="91">
        <v>46108</v>
      </c>
      <c r="C928" s="63">
        <v>2</v>
      </c>
      <c r="D928" s="63" t="s">
        <v>310</v>
      </c>
      <c r="E928" s="65" t="s">
        <v>311</v>
      </c>
      <c r="F928" s="65" t="s">
        <v>276</v>
      </c>
      <c r="G928" s="63" t="s">
        <v>2033</v>
      </c>
      <c r="H928" s="65">
        <v>323</v>
      </c>
      <c r="I928" s="65" t="s">
        <v>221</v>
      </c>
      <c r="J928" s="63">
        <v>3724</v>
      </c>
      <c r="K928" s="64">
        <v>3849.13</v>
      </c>
      <c r="L928" s="63" t="s">
        <v>2833</v>
      </c>
      <c r="M928" s="65" t="str">
        <f t="shared" si="14"/>
        <v>MINERADORA PORTO FRANCOVALE KM 386BGS</v>
      </c>
      <c r="N928" s="85" t="s">
        <v>15</v>
      </c>
    </row>
    <row r="929" spans="2:14" hidden="1" x14ac:dyDescent="0.25">
      <c r="B929" s="91">
        <v>46108</v>
      </c>
      <c r="C929" s="63">
        <v>2</v>
      </c>
      <c r="D929" s="63" t="s">
        <v>294</v>
      </c>
      <c r="E929" s="65" t="s">
        <v>295</v>
      </c>
      <c r="F929" s="65" t="s">
        <v>2614</v>
      </c>
      <c r="G929" s="63" t="s">
        <v>2615</v>
      </c>
      <c r="H929" s="65">
        <v>49</v>
      </c>
      <c r="I929" s="65" t="s">
        <v>207</v>
      </c>
      <c r="J929" s="63">
        <v>3952</v>
      </c>
      <c r="K929" s="64">
        <v>716.5</v>
      </c>
      <c r="L929" s="63" t="s">
        <v>2834</v>
      </c>
      <c r="M929" s="65" t="str">
        <f t="shared" si="14"/>
        <v>MINERADORA PORTO FRANCO LTDAPATIO VLI AGUIARNOPOLISRACHÃO</v>
      </c>
      <c r="N929" s="85" t="s">
        <v>15</v>
      </c>
    </row>
    <row r="930" spans="2:14" hidden="1" x14ac:dyDescent="0.25">
      <c r="B930" s="91">
        <v>46108</v>
      </c>
      <c r="C930" s="63">
        <v>2</v>
      </c>
      <c r="D930" s="63" t="s">
        <v>294</v>
      </c>
      <c r="E930" s="65" t="s">
        <v>295</v>
      </c>
      <c r="F930" s="65" t="s">
        <v>2614</v>
      </c>
      <c r="G930" s="63" t="s">
        <v>2615</v>
      </c>
      <c r="H930" s="65">
        <v>49</v>
      </c>
      <c r="I930" s="65" t="s">
        <v>207</v>
      </c>
      <c r="J930" s="63">
        <v>3936</v>
      </c>
      <c r="K930" s="64">
        <v>713.6</v>
      </c>
      <c r="L930" s="63" t="s">
        <v>2835</v>
      </c>
      <c r="M930" s="65" t="str">
        <f t="shared" si="14"/>
        <v>MINERADORA PORTO FRANCO LTDAPATIO VLI AGUIARNOPOLISRACHÃO</v>
      </c>
      <c r="N930" s="85" t="s">
        <v>15</v>
      </c>
    </row>
    <row r="931" spans="2:14" hidden="1" x14ac:dyDescent="0.25">
      <c r="B931" s="91">
        <v>46109</v>
      </c>
      <c r="C931" s="63">
        <v>2</v>
      </c>
      <c r="D931" s="63" t="s">
        <v>305</v>
      </c>
      <c r="E931" s="65" t="s">
        <v>306</v>
      </c>
      <c r="F931" s="65" t="s">
        <v>291</v>
      </c>
      <c r="G931" s="63" t="s">
        <v>2418</v>
      </c>
      <c r="H931" s="65">
        <v>331</v>
      </c>
      <c r="I931" s="65" t="s">
        <v>279</v>
      </c>
      <c r="J931" s="63">
        <v>5542</v>
      </c>
      <c r="K931" s="64">
        <v>6787.29</v>
      </c>
      <c r="L931" s="63" t="s">
        <v>2836</v>
      </c>
      <c r="M931" s="65" t="str">
        <f t="shared" si="14"/>
        <v>MINERADORA PORTO FRANCO - MAPOVOADO NOVA VIDAMATACO</v>
      </c>
      <c r="N931" s="85" t="s">
        <v>15</v>
      </c>
    </row>
    <row r="932" spans="2:14" hidden="1" x14ac:dyDescent="0.25">
      <c r="B932" s="91">
        <v>46109</v>
      </c>
      <c r="C932" s="63">
        <v>2</v>
      </c>
      <c r="D932" s="63" t="s">
        <v>302</v>
      </c>
      <c r="E932" s="65" t="s">
        <v>303</v>
      </c>
      <c r="F932" s="65" t="s">
        <v>304</v>
      </c>
      <c r="G932" s="63" t="s">
        <v>278</v>
      </c>
      <c r="H932" s="65">
        <v>88</v>
      </c>
      <c r="I932" s="65" t="s">
        <v>195</v>
      </c>
      <c r="J932" s="63">
        <v>467</v>
      </c>
      <c r="K932" s="64">
        <v>1520.55</v>
      </c>
      <c r="L932" s="63" t="s">
        <v>2837</v>
      </c>
      <c r="M932" s="65" t="str">
        <f t="shared" si="14"/>
        <v>VILA QUIXABATUCUMA DUEREBRITA 1</v>
      </c>
      <c r="N932" s="85" t="s">
        <v>2856</v>
      </c>
    </row>
    <row r="933" spans="2:14" hidden="1" x14ac:dyDescent="0.25">
      <c r="B933" s="91">
        <v>46109</v>
      </c>
      <c r="C933" s="63">
        <v>2</v>
      </c>
      <c r="D933" s="63" t="s">
        <v>310</v>
      </c>
      <c r="E933" s="65" t="s">
        <v>311</v>
      </c>
      <c r="F933" s="65" t="s">
        <v>291</v>
      </c>
      <c r="G933" s="63" t="s">
        <v>747</v>
      </c>
      <c r="H933" s="65">
        <v>145</v>
      </c>
      <c r="I933" s="65" t="s">
        <v>195</v>
      </c>
      <c r="J933" s="63">
        <v>3882</v>
      </c>
      <c r="K933" s="64">
        <v>2082.69</v>
      </c>
      <c r="L933" s="63" t="s">
        <v>2838</v>
      </c>
      <c r="M933" s="65" t="str">
        <f t="shared" si="14"/>
        <v>MINERADORA PORTO FRANCO - MAGRAJAU IDAN TORRESBRITA 1</v>
      </c>
      <c r="N933" s="85" t="s">
        <v>15</v>
      </c>
    </row>
    <row r="934" spans="2:14" hidden="1" x14ac:dyDescent="0.25">
      <c r="B934" s="91">
        <v>46109</v>
      </c>
      <c r="C934" s="63">
        <v>2</v>
      </c>
      <c r="D934" s="63" t="s">
        <v>296</v>
      </c>
      <c r="E934" s="65" t="s">
        <v>297</v>
      </c>
      <c r="F934" s="65" t="s">
        <v>2614</v>
      </c>
      <c r="G934" s="63" t="s">
        <v>2615</v>
      </c>
      <c r="H934" s="65">
        <v>49</v>
      </c>
      <c r="I934" s="65" t="s">
        <v>207</v>
      </c>
      <c r="J934" s="63">
        <v>38388</v>
      </c>
      <c r="K934" s="64">
        <v>695.97</v>
      </c>
      <c r="L934" s="63" t="s">
        <v>2839</v>
      </c>
      <c r="M934" s="65" t="str">
        <f t="shared" si="14"/>
        <v>MINERADORA PORTO FRANCO LTDAPATIO VLI AGUIARNOPOLISRACHÃO</v>
      </c>
      <c r="N934" s="85" t="s">
        <v>15</v>
      </c>
    </row>
    <row r="935" spans="2:14" hidden="1" x14ac:dyDescent="0.25">
      <c r="B935" s="91">
        <v>46111</v>
      </c>
      <c r="C935" s="63">
        <v>2</v>
      </c>
      <c r="D935" s="63" t="s">
        <v>302</v>
      </c>
      <c r="E935" s="65" t="s">
        <v>303</v>
      </c>
      <c r="F935" s="65" t="s">
        <v>2748</v>
      </c>
      <c r="G935" s="63" t="s">
        <v>2749</v>
      </c>
      <c r="H935" s="65">
        <v>168</v>
      </c>
      <c r="I935" s="65" t="s">
        <v>195</v>
      </c>
      <c r="J935" s="63">
        <v>5921</v>
      </c>
      <c r="K935" s="64">
        <v>3183.13</v>
      </c>
      <c r="L935" s="63" t="s">
        <v>2840</v>
      </c>
      <c r="M935" s="65" t="str">
        <f t="shared" si="14"/>
        <v>CBM MINERADORAPALMEIROPOLIS-TOBRITA 1</v>
      </c>
      <c r="N935" s="85" t="s">
        <v>2749</v>
      </c>
    </row>
    <row r="936" spans="2:14" hidden="1" x14ac:dyDescent="0.25">
      <c r="B936" s="91">
        <v>46111</v>
      </c>
      <c r="C936" s="63">
        <v>2</v>
      </c>
      <c r="D936" s="63" t="s">
        <v>298</v>
      </c>
      <c r="E936" s="65" t="s">
        <v>299</v>
      </c>
      <c r="F936" s="65" t="s">
        <v>276</v>
      </c>
      <c r="G936" s="63" t="s">
        <v>2033</v>
      </c>
      <c r="H936" s="65">
        <v>323</v>
      </c>
      <c r="I936" s="65" t="s">
        <v>279</v>
      </c>
      <c r="J936" s="63">
        <v>5636</v>
      </c>
      <c r="K936" s="64">
        <v>5825.37</v>
      </c>
      <c r="L936" s="63" t="s">
        <v>2841</v>
      </c>
      <c r="M936" s="65" t="str">
        <f t="shared" si="14"/>
        <v>MINERADORA PORTO FRANCOVALE KM 386MATACO</v>
      </c>
      <c r="N936" s="85" t="s">
        <v>15</v>
      </c>
    </row>
    <row r="937" spans="2:14" hidden="1" x14ac:dyDescent="0.25">
      <c r="B937" s="91">
        <v>46111</v>
      </c>
      <c r="C937" s="63">
        <v>2</v>
      </c>
      <c r="D937" s="63" t="s">
        <v>310</v>
      </c>
      <c r="E937" s="65" t="s">
        <v>311</v>
      </c>
      <c r="F937" s="65" t="s">
        <v>291</v>
      </c>
      <c r="G937" s="63" t="s">
        <v>759</v>
      </c>
      <c r="H937" s="65">
        <v>289</v>
      </c>
      <c r="I937" s="65" t="s">
        <v>221</v>
      </c>
      <c r="J937" s="63">
        <v>3362</v>
      </c>
      <c r="K937" s="64">
        <v>3594.99</v>
      </c>
      <c r="L937" s="63" t="s">
        <v>2842</v>
      </c>
      <c r="M937" s="65" t="str">
        <f t="shared" si="14"/>
        <v>MINERADORA PORTO FRANCO - MAVF CONSTRUTORA KM39BGS</v>
      </c>
      <c r="N937" s="85" t="s">
        <v>15</v>
      </c>
    </row>
    <row r="938" spans="2:14" hidden="1" x14ac:dyDescent="0.25">
      <c r="B938" s="91">
        <v>46111</v>
      </c>
      <c r="C938" s="63">
        <v>2</v>
      </c>
      <c r="D938" s="63" t="s">
        <v>300</v>
      </c>
      <c r="E938" s="65" t="s">
        <v>301</v>
      </c>
      <c r="F938" s="65" t="s">
        <v>291</v>
      </c>
      <c r="G938" s="63" t="s">
        <v>2595</v>
      </c>
      <c r="H938" s="65">
        <v>203</v>
      </c>
      <c r="I938" s="65" t="s">
        <v>172</v>
      </c>
      <c r="J938" s="63">
        <v>656</v>
      </c>
      <c r="K938" s="64">
        <v>4927.22</v>
      </c>
      <c r="L938" s="63" t="s">
        <v>2843</v>
      </c>
      <c r="M938" s="65" t="str">
        <f t="shared" si="14"/>
        <v>MINERADORA PORTO FRANCO - MAVALE - PONTE DO 40 ACAILANDIABICA CORRIDA</v>
      </c>
      <c r="N938" s="85" t="s">
        <v>15</v>
      </c>
    </row>
    <row r="939" spans="2:14" hidden="1" x14ac:dyDescent="0.25">
      <c r="B939" s="91">
        <v>46111</v>
      </c>
      <c r="C939" s="63">
        <v>2</v>
      </c>
      <c r="D939" s="63" t="s">
        <v>294</v>
      </c>
      <c r="E939" s="65" t="s">
        <v>295</v>
      </c>
      <c r="F939" s="65" t="s">
        <v>291</v>
      </c>
      <c r="G939" s="63" t="s">
        <v>759</v>
      </c>
      <c r="H939" s="65">
        <v>289</v>
      </c>
      <c r="I939" s="65" t="s">
        <v>221</v>
      </c>
      <c r="J939" s="63">
        <v>3366</v>
      </c>
      <c r="K939" s="64">
        <v>3599.26</v>
      </c>
      <c r="L939" s="63" t="s">
        <v>2844</v>
      </c>
      <c r="M939" s="65" t="str">
        <f t="shared" si="14"/>
        <v>MINERADORA PORTO FRANCO - MAVF CONSTRUTORA KM39BGS</v>
      </c>
      <c r="N939" s="85" t="s">
        <v>15</v>
      </c>
    </row>
    <row r="940" spans="2:14" hidden="1" x14ac:dyDescent="0.25">
      <c r="B940" s="91">
        <v>46112</v>
      </c>
      <c r="C940" s="63">
        <v>2</v>
      </c>
      <c r="D940" s="63" t="s">
        <v>296</v>
      </c>
      <c r="E940" s="65" t="s">
        <v>297</v>
      </c>
      <c r="F940" s="65" t="s">
        <v>276</v>
      </c>
      <c r="G940" s="63" t="s">
        <v>2845</v>
      </c>
      <c r="H940" s="65">
        <v>112</v>
      </c>
      <c r="I940" s="65" t="s">
        <v>175</v>
      </c>
      <c r="J940" s="63">
        <v>2886</v>
      </c>
      <c r="K940" s="64">
        <v>1034.3399999999999</v>
      </c>
      <c r="L940" s="63" t="s">
        <v>2846</v>
      </c>
      <c r="M940" s="65" t="str">
        <f t="shared" si="14"/>
        <v>MINERADORA PORTO FRANCOUSINA BR010 (IMPERATRIZ)BRITA 0</v>
      </c>
      <c r="N940" s="85" t="s">
        <v>15</v>
      </c>
    </row>
    <row r="941" spans="2:14" hidden="1" x14ac:dyDescent="0.25">
      <c r="B941" s="91">
        <v>46112</v>
      </c>
      <c r="C941" s="63">
        <v>2</v>
      </c>
      <c r="D941" s="63" t="s">
        <v>296</v>
      </c>
      <c r="E941" s="65" t="s">
        <v>297</v>
      </c>
      <c r="F941" s="65" t="s">
        <v>291</v>
      </c>
      <c r="G941" s="63" t="s">
        <v>759</v>
      </c>
      <c r="H941" s="65">
        <v>289</v>
      </c>
      <c r="I941" s="65" t="s">
        <v>221</v>
      </c>
      <c r="J941" s="63">
        <v>3278</v>
      </c>
      <c r="K941" s="64">
        <v>3505.17</v>
      </c>
      <c r="L941" s="63" t="s">
        <v>2847</v>
      </c>
      <c r="M941" s="65" t="str">
        <f t="shared" si="14"/>
        <v>MINERADORA PORTO FRANCO - MAVF CONSTRUTORA KM39BGS</v>
      </c>
      <c r="N941" s="85" t="s">
        <v>15</v>
      </c>
    </row>
    <row r="942" spans="2:14" hidden="1" x14ac:dyDescent="0.25">
      <c r="B942" s="91">
        <v>46112</v>
      </c>
      <c r="C942" s="63">
        <v>2</v>
      </c>
      <c r="D942" s="63" t="s">
        <v>310</v>
      </c>
      <c r="E942" s="65" t="s">
        <v>311</v>
      </c>
      <c r="F942" s="65" t="s">
        <v>291</v>
      </c>
      <c r="G942" s="63" t="s">
        <v>2848</v>
      </c>
      <c r="H942" s="65">
        <v>32</v>
      </c>
      <c r="I942" s="65" t="s">
        <v>207</v>
      </c>
      <c r="J942" s="63">
        <v>400</v>
      </c>
      <c r="K942" s="64">
        <v>473.6</v>
      </c>
      <c r="L942" s="63" t="s">
        <v>2849</v>
      </c>
      <c r="M942" s="65" t="str">
        <f t="shared" si="14"/>
        <v>MINERADORA PORTO FRANCO - MAVLI PORTO FRANCORACHÃO</v>
      </c>
      <c r="N942" s="85" t="s">
        <v>15</v>
      </c>
    </row>
    <row r="943" spans="2:14" hidden="1" x14ac:dyDescent="0.25">
      <c r="B943" s="91">
        <v>46112</v>
      </c>
      <c r="C943" s="63">
        <v>2</v>
      </c>
      <c r="D943" s="63" t="s">
        <v>305</v>
      </c>
      <c r="E943" s="65" t="s">
        <v>306</v>
      </c>
      <c r="F943" s="65" t="s">
        <v>276</v>
      </c>
      <c r="G943" s="63" t="s">
        <v>2033</v>
      </c>
      <c r="H943" s="65">
        <v>323</v>
      </c>
      <c r="I943" s="65" t="s">
        <v>279</v>
      </c>
      <c r="J943" s="63">
        <v>5594</v>
      </c>
      <c r="K943" s="64">
        <v>5781.96</v>
      </c>
      <c r="L943" s="63" t="s">
        <v>2850</v>
      </c>
      <c r="M943" s="65" t="str">
        <f t="shared" si="14"/>
        <v>MINERADORA PORTO FRANCOVALE KM 386MATACO</v>
      </c>
      <c r="N943" s="85" t="s">
        <v>15</v>
      </c>
    </row>
    <row r="944" spans="2:14" hidden="1" x14ac:dyDescent="0.25">
      <c r="B944" s="91">
        <v>46112</v>
      </c>
      <c r="C944" s="63">
        <v>2</v>
      </c>
      <c r="D944" s="63" t="s">
        <v>294</v>
      </c>
      <c r="E944" s="65" t="s">
        <v>295</v>
      </c>
      <c r="F944" s="65" t="s">
        <v>291</v>
      </c>
      <c r="G944" s="63" t="s">
        <v>2595</v>
      </c>
      <c r="H944" s="65">
        <v>203</v>
      </c>
      <c r="I944" s="65" t="s">
        <v>172</v>
      </c>
      <c r="J944" s="63">
        <v>3778</v>
      </c>
      <c r="K944" s="64">
        <v>2837.66</v>
      </c>
      <c r="L944" s="63" t="s">
        <v>2851</v>
      </c>
      <c r="M944" s="65" t="str">
        <f t="shared" si="14"/>
        <v>MINERADORA PORTO FRANCO - MAVALE - PONTE DO 40 ACAILANDIABICA CORRIDA</v>
      </c>
      <c r="N944" s="85" t="s">
        <v>15</v>
      </c>
    </row>
    <row r="945" spans="2:14" hidden="1" x14ac:dyDescent="0.25">
      <c r="B945" s="91">
        <v>46112</v>
      </c>
      <c r="C945" s="63">
        <v>2</v>
      </c>
      <c r="D945" s="63" t="s">
        <v>310</v>
      </c>
      <c r="E945" s="65" t="s">
        <v>311</v>
      </c>
      <c r="F945" s="65" t="s">
        <v>291</v>
      </c>
      <c r="G945" s="63" t="s">
        <v>2595</v>
      </c>
      <c r="H945" s="65">
        <v>203</v>
      </c>
      <c r="I945" s="65" t="s">
        <v>172</v>
      </c>
      <c r="J945" s="63">
        <v>4014</v>
      </c>
      <c r="K945" s="64">
        <v>3014.92</v>
      </c>
      <c r="L945" s="63" t="s">
        <v>2852</v>
      </c>
      <c r="M945" s="65" t="str">
        <f t="shared" si="14"/>
        <v>MINERADORA PORTO FRANCO - MAVALE - PONTE DO 40 ACAILANDIABICA CORRIDA</v>
      </c>
      <c r="N945" s="85" t="s">
        <v>15</v>
      </c>
    </row>
    <row r="946" spans="2:14" hidden="1" x14ac:dyDescent="0.25">
      <c r="B946" s="92">
        <v>46112</v>
      </c>
      <c r="C946" s="93">
        <v>2</v>
      </c>
      <c r="D946" s="93" t="s">
        <v>300</v>
      </c>
      <c r="E946" s="94" t="s">
        <v>301</v>
      </c>
      <c r="F946" s="94" t="s">
        <v>1940</v>
      </c>
      <c r="G946" s="93" t="s">
        <v>1941</v>
      </c>
      <c r="H946" s="94">
        <v>110</v>
      </c>
      <c r="I946" s="94" t="s">
        <v>175</v>
      </c>
      <c r="J946" s="93">
        <v>6216</v>
      </c>
      <c r="K946" s="95">
        <v>2188.0300000000002</v>
      </c>
      <c r="L946" s="93" t="s">
        <v>2853</v>
      </c>
      <c r="M946" s="94" t="str">
        <f t="shared" si="14"/>
        <v>VLI IMPERATRIZIMPERATRIZBRITA 0</v>
      </c>
      <c r="N946" s="96" t="s">
        <v>15</v>
      </c>
    </row>
    <row r="947" spans="2:14" hidden="1" x14ac:dyDescent="0.25">
      <c r="K947" s="107">
        <f>SUM(K4:K946)</f>
        <v>1560327.2900000024</v>
      </c>
    </row>
  </sheetData>
  <autoFilter ref="B3:N947" xr:uid="{2C970800-0ADC-4B47-8C5D-EE0948BEE001}">
    <filterColumn colId="11">
      <filters>
        <filter val="GRANORTEVIADUTO DO CAFEBICA CORRIDA"/>
        <filter val="GRANORTEVIADUTO DO CAFEPULMÃOZINHO"/>
        <filter val="GRANORTEVIADUTO DO CAFERACHÃOZINHO"/>
      </filters>
    </filterColumn>
  </autoFilter>
  <mergeCells count="1">
    <mergeCell ref="B2:N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C444-8260-48D7-9FDA-CE3CBB9F6AB9}">
  <dimension ref="B1:Q20"/>
  <sheetViews>
    <sheetView showGridLines="0" topLeftCell="D1" workbookViewId="0">
      <selection activeCell="M14" sqref="M14"/>
    </sheetView>
  </sheetViews>
  <sheetFormatPr defaultRowHeight="15" x14ac:dyDescent="0.25"/>
  <cols>
    <col min="1" max="1" width="6.28515625" customWidth="1"/>
    <col min="2" max="2" width="1.5703125" customWidth="1"/>
    <col min="3" max="3" width="6.7109375" customWidth="1"/>
    <col min="4" max="4" width="46.7109375" customWidth="1"/>
    <col min="5" max="5" width="26.42578125" customWidth="1"/>
    <col min="6" max="6" width="1.28515625" customWidth="1"/>
    <col min="15" max="15" width="2.28515625" customWidth="1"/>
    <col min="17" max="17" width="26.140625" customWidth="1"/>
  </cols>
  <sheetData>
    <row r="1" spans="2:17" ht="8.25" customHeight="1" x14ac:dyDescent="0.25"/>
    <row r="2" spans="2:17" ht="8.25" customHeight="1" x14ac:dyDescent="0.25"/>
    <row r="3" spans="2:17" ht="25.5" customHeight="1" x14ac:dyDescent="0.25">
      <c r="B3" s="182" t="s">
        <v>2857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</row>
    <row r="4" spans="2:17" ht="4.5" customHeight="1" thickBot="1" x14ac:dyDescent="0.3"/>
    <row r="5" spans="2:17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2:17" x14ac:dyDescent="0.25">
      <c r="B6" s="10"/>
      <c r="C6" s="111" t="s">
        <v>13</v>
      </c>
      <c r="D6" s="112"/>
      <c r="E6" s="105" t="s">
        <v>16</v>
      </c>
      <c r="O6" s="11"/>
      <c r="Q6" s="63"/>
    </row>
    <row r="7" spans="2:17" x14ac:dyDescent="0.25">
      <c r="B7" s="10"/>
      <c r="C7" s="72" t="b">
        <v>1</v>
      </c>
      <c r="D7" s="110" t="s">
        <v>2859</v>
      </c>
      <c r="E7" s="76">
        <f>'FRETE CARRADAS MAR-26'!K867</f>
        <v>2251.1999999999998</v>
      </c>
      <c r="O7" s="11"/>
      <c r="Q7" s="63"/>
    </row>
    <row r="8" spans="2:17" x14ac:dyDescent="0.25">
      <c r="B8" s="10"/>
      <c r="C8" s="72" t="b">
        <v>1</v>
      </c>
      <c r="D8" s="110" t="s">
        <v>111</v>
      </c>
      <c r="E8" s="76">
        <v>100547.32</v>
      </c>
      <c r="O8" s="11"/>
      <c r="Q8" s="63"/>
    </row>
    <row r="9" spans="2:17" x14ac:dyDescent="0.25">
      <c r="B9" s="10"/>
      <c r="C9" s="72" t="b">
        <v>1</v>
      </c>
      <c r="D9" s="110" t="s">
        <v>2856</v>
      </c>
      <c r="E9" s="76">
        <v>1520.55</v>
      </c>
      <c r="O9" s="11"/>
      <c r="Q9" s="63"/>
    </row>
    <row r="10" spans="2:17" x14ac:dyDescent="0.25">
      <c r="B10" s="10"/>
      <c r="C10" s="72" t="b">
        <v>1</v>
      </c>
      <c r="D10" s="110" t="s">
        <v>11</v>
      </c>
      <c r="E10" s="76">
        <v>69562</v>
      </c>
      <c r="O10" s="11"/>
      <c r="Q10" s="63"/>
    </row>
    <row r="11" spans="2:17" x14ac:dyDescent="0.25">
      <c r="B11" s="10"/>
      <c r="C11" s="72" t="b">
        <v>1</v>
      </c>
      <c r="D11" s="110" t="s">
        <v>15</v>
      </c>
      <c r="E11" s="76">
        <v>541995.13</v>
      </c>
      <c r="O11" s="11"/>
      <c r="Q11" s="63"/>
    </row>
    <row r="12" spans="2:17" x14ac:dyDescent="0.25">
      <c r="B12" s="10"/>
      <c r="C12" s="73" t="b">
        <v>1</v>
      </c>
      <c r="D12" s="110" t="s">
        <v>2858</v>
      </c>
      <c r="E12" s="76">
        <v>3665.98</v>
      </c>
      <c r="O12" s="11"/>
      <c r="Q12" s="63"/>
    </row>
    <row r="13" spans="2:17" x14ac:dyDescent="0.25">
      <c r="B13" s="10"/>
      <c r="C13" s="74" t="b">
        <v>1</v>
      </c>
      <c r="D13" s="110" t="s">
        <v>2861</v>
      </c>
      <c r="E13" s="76">
        <v>272743.96000000002</v>
      </c>
      <c r="O13" s="11"/>
      <c r="Q13" s="63"/>
    </row>
    <row r="14" spans="2:17" x14ac:dyDescent="0.25">
      <c r="B14" s="10"/>
      <c r="C14" s="75" t="b">
        <v>1</v>
      </c>
      <c r="D14" s="110" t="s">
        <v>2860</v>
      </c>
      <c r="E14" s="108">
        <v>34282.75</v>
      </c>
      <c r="O14" s="11"/>
      <c r="Q14" s="63"/>
    </row>
    <row r="15" spans="2:17" x14ac:dyDescent="0.25">
      <c r="B15" s="10"/>
      <c r="C15" s="74" t="b">
        <v>1</v>
      </c>
      <c r="D15" s="110" t="s">
        <v>2854</v>
      </c>
      <c r="E15" s="109">
        <v>40728.28</v>
      </c>
      <c r="O15" s="11"/>
      <c r="Q15" s="63"/>
    </row>
    <row r="16" spans="2:17" x14ac:dyDescent="0.25">
      <c r="B16" s="10"/>
      <c r="C16" s="74" t="b">
        <v>1</v>
      </c>
      <c r="D16" s="110" t="s">
        <v>224</v>
      </c>
      <c r="E16" s="109">
        <v>399691.78</v>
      </c>
      <c r="O16" s="11"/>
      <c r="Q16" s="63"/>
    </row>
    <row r="17" spans="2:17" x14ac:dyDescent="0.25">
      <c r="B17" s="10"/>
      <c r="C17" s="74" t="b">
        <v>1</v>
      </c>
      <c r="D17" s="110" t="s">
        <v>223</v>
      </c>
      <c r="E17" s="109">
        <v>93338.34</v>
      </c>
      <c r="O17" s="11"/>
      <c r="Q17" s="63"/>
    </row>
    <row r="18" spans="2:17" ht="18.75" x14ac:dyDescent="0.25">
      <c r="B18" s="10"/>
      <c r="C18" s="102"/>
      <c r="D18" s="103" t="s">
        <v>1068</v>
      </c>
      <c r="E18" s="104">
        <f>SUM(E7:E17)</f>
        <v>1560327.29</v>
      </c>
      <c r="O18" s="11"/>
    </row>
    <row r="19" spans="2:17" ht="18.75" customHeight="1" x14ac:dyDescent="0.25">
      <c r="B19" s="10"/>
      <c r="O19" s="11"/>
    </row>
    <row r="20" spans="2:17" ht="9" customHeight="1" thickBot="1" x14ac:dyDescent="0.3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</sheetData>
  <mergeCells count="1">
    <mergeCell ref="B3:O3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C831-F207-4481-B3C4-BBAB11F30355}">
  <dimension ref="B2:N852"/>
  <sheetViews>
    <sheetView showGridLines="0" workbookViewId="0">
      <pane xSplit="4" ySplit="3" topLeftCell="I837" activePane="bottomRight" state="frozen"/>
      <selection activeCell="M14" sqref="M14"/>
      <selection pane="topRight" activeCell="M14" sqref="M14"/>
      <selection pane="bottomLeft" activeCell="M14" sqref="M14"/>
      <selection pane="bottomRight" activeCell="B4" sqref="B4:N851"/>
    </sheetView>
  </sheetViews>
  <sheetFormatPr defaultRowHeight="15" x14ac:dyDescent="0.25"/>
  <cols>
    <col min="1" max="1" width="1.85546875" customWidth="1"/>
    <col min="2" max="2" width="10.42578125" style="1" bestFit="1" customWidth="1"/>
    <col min="3" max="3" width="8.42578125" style="1" customWidth="1"/>
    <col min="4" max="4" width="12.140625" style="1" bestFit="1" customWidth="1"/>
    <col min="5" max="5" width="35" style="1" customWidth="1"/>
    <col min="6" max="6" width="21.5703125" style="1" customWidth="1"/>
    <col min="7" max="7" width="21.140625" style="1" customWidth="1"/>
    <col min="8" max="8" width="10.85546875" style="1" bestFit="1" customWidth="1"/>
    <col min="9" max="9" width="14.28515625" style="1" customWidth="1"/>
    <col min="10" max="10" width="17.7109375" style="1" bestFit="1" customWidth="1"/>
    <col min="11" max="11" width="14.42578125" style="106" bestFit="1" customWidth="1"/>
    <col min="12" max="12" width="20.28515625" style="1" bestFit="1" customWidth="1"/>
    <col min="13" max="13" width="62.140625" customWidth="1"/>
    <col min="14" max="14" width="24" customWidth="1"/>
  </cols>
  <sheetData>
    <row r="2" spans="2:14" ht="21" x14ac:dyDescent="0.35">
      <c r="B2" s="170" t="s">
        <v>3728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</row>
    <row r="3" spans="2:14" x14ac:dyDescent="0.25">
      <c r="B3" s="82" t="s">
        <v>0</v>
      </c>
      <c r="C3" s="82" t="s">
        <v>1</v>
      </c>
      <c r="D3" s="82" t="s">
        <v>2</v>
      </c>
      <c r="E3" s="82" t="s">
        <v>3</v>
      </c>
      <c r="F3" s="82" t="s">
        <v>4</v>
      </c>
      <c r="G3" s="82" t="s">
        <v>5</v>
      </c>
      <c r="H3" s="82" t="s">
        <v>6</v>
      </c>
      <c r="I3" s="82" t="s">
        <v>7</v>
      </c>
      <c r="J3" s="82" t="s">
        <v>8</v>
      </c>
      <c r="K3" s="83" t="s">
        <v>9</v>
      </c>
      <c r="L3" s="82" t="s">
        <v>10</v>
      </c>
      <c r="M3" s="82" t="s">
        <v>12</v>
      </c>
      <c r="N3" s="82" t="s">
        <v>13</v>
      </c>
    </row>
    <row r="4" spans="2:14" x14ac:dyDescent="0.25">
      <c r="B4" s="134">
        <v>46143</v>
      </c>
      <c r="C4" s="138">
        <v>1</v>
      </c>
      <c r="D4" s="138" t="s">
        <v>208</v>
      </c>
      <c r="E4" s="135" t="s">
        <v>209</v>
      </c>
      <c r="F4" s="135" t="s">
        <v>163</v>
      </c>
      <c r="G4" s="135" t="s">
        <v>164</v>
      </c>
      <c r="H4" s="135">
        <v>52</v>
      </c>
      <c r="I4" s="135" t="s">
        <v>175</v>
      </c>
      <c r="J4" s="135">
        <v>470</v>
      </c>
      <c r="K4" s="140">
        <v>904.28</v>
      </c>
      <c r="L4" s="135" t="s">
        <v>2876</v>
      </c>
      <c r="M4" s="135" t="str">
        <f>CONCATENATE(F4&amp;G4&amp;I4)</f>
        <v>BRASIL MINERACAOUA SAO LUISBRITA 0</v>
      </c>
      <c r="N4" s="135" t="s">
        <v>224</v>
      </c>
    </row>
    <row r="5" spans="2:14" x14ac:dyDescent="0.25">
      <c r="B5" s="136">
        <v>46143</v>
      </c>
      <c r="C5" s="139">
        <v>1</v>
      </c>
      <c r="D5" s="139" t="s">
        <v>200</v>
      </c>
      <c r="E5" s="137" t="s">
        <v>201</v>
      </c>
      <c r="F5" s="137" t="s">
        <v>163</v>
      </c>
      <c r="G5" s="137" t="s">
        <v>164</v>
      </c>
      <c r="H5" s="137">
        <v>52</v>
      </c>
      <c r="I5" s="137" t="s">
        <v>165</v>
      </c>
      <c r="J5" s="137">
        <v>4606</v>
      </c>
      <c r="K5" s="141">
        <v>886.19</v>
      </c>
      <c r="L5" s="137" t="s">
        <v>2877</v>
      </c>
      <c r="M5" s="135" t="str">
        <f t="shared" ref="M5:M68" si="0">CONCATENATE(F5&amp;G5&amp;I5)</f>
        <v>BRASIL MINERACAOUA SAO LUISPÓ DE BRITA</v>
      </c>
      <c r="N5" s="135" t="s">
        <v>224</v>
      </c>
    </row>
    <row r="6" spans="2:14" x14ac:dyDescent="0.25">
      <c r="B6" s="134">
        <v>46143</v>
      </c>
      <c r="C6" s="138">
        <v>1</v>
      </c>
      <c r="D6" s="138" t="s">
        <v>1129</v>
      </c>
      <c r="E6" s="135" t="s">
        <v>2396</v>
      </c>
      <c r="F6" s="135" t="s">
        <v>163</v>
      </c>
      <c r="G6" s="135" t="s">
        <v>164</v>
      </c>
      <c r="H6" s="135">
        <v>52</v>
      </c>
      <c r="I6" s="135" t="s">
        <v>175</v>
      </c>
      <c r="J6" s="135">
        <v>2698</v>
      </c>
      <c r="K6" s="140">
        <v>519.1</v>
      </c>
      <c r="L6" s="135" t="s">
        <v>2878</v>
      </c>
      <c r="M6" s="135" t="str">
        <f t="shared" si="0"/>
        <v>BRASIL MINERACAOUA SAO LUISBRITA 0</v>
      </c>
      <c r="N6" s="135" t="s">
        <v>224</v>
      </c>
    </row>
    <row r="7" spans="2:14" x14ac:dyDescent="0.25">
      <c r="B7" s="136">
        <v>46143</v>
      </c>
      <c r="C7" s="139">
        <v>1</v>
      </c>
      <c r="D7" s="139" t="s">
        <v>1129</v>
      </c>
      <c r="E7" s="137" t="s">
        <v>2396</v>
      </c>
      <c r="F7" s="137" t="s">
        <v>163</v>
      </c>
      <c r="G7" s="137" t="s">
        <v>164</v>
      </c>
      <c r="H7" s="137">
        <v>52</v>
      </c>
      <c r="I7" s="137" t="s">
        <v>175</v>
      </c>
      <c r="J7" s="137">
        <v>2596</v>
      </c>
      <c r="K7" s="141">
        <v>499.47</v>
      </c>
      <c r="L7" s="137" t="s">
        <v>2879</v>
      </c>
      <c r="M7" s="135" t="str">
        <f t="shared" si="0"/>
        <v>BRASIL MINERACAOUA SAO LUISBRITA 0</v>
      </c>
      <c r="N7" s="135" t="s">
        <v>224</v>
      </c>
    </row>
    <row r="8" spans="2:14" x14ac:dyDescent="0.25">
      <c r="B8" s="134">
        <v>46143</v>
      </c>
      <c r="C8" s="138">
        <v>1</v>
      </c>
      <c r="D8" s="138" t="s">
        <v>208</v>
      </c>
      <c r="E8" s="135" t="s">
        <v>209</v>
      </c>
      <c r="F8" s="135" t="s">
        <v>163</v>
      </c>
      <c r="G8" s="135" t="s">
        <v>164</v>
      </c>
      <c r="H8" s="135">
        <v>52</v>
      </c>
      <c r="I8" s="135" t="s">
        <v>165</v>
      </c>
      <c r="J8" s="135">
        <v>460</v>
      </c>
      <c r="K8" s="140">
        <v>885.04</v>
      </c>
      <c r="L8" s="135" t="s">
        <v>2880</v>
      </c>
      <c r="M8" s="135" t="str">
        <f t="shared" si="0"/>
        <v>BRASIL MINERACAOUA SAO LUISPÓ DE BRITA</v>
      </c>
      <c r="N8" s="135" t="s">
        <v>224</v>
      </c>
    </row>
    <row r="9" spans="2:14" x14ac:dyDescent="0.25">
      <c r="B9" s="136">
        <v>46143</v>
      </c>
      <c r="C9" s="139">
        <v>1</v>
      </c>
      <c r="D9" s="139" t="s">
        <v>1948</v>
      </c>
      <c r="E9" s="137" t="s">
        <v>1949</v>
      </c>
      <c r="F9" s="137" t="s">
        <v>2868</v>
      </c>
      <c r="G9" s="137" t="s">
        <v>2881</v>
      </c>
      <c r="H9" s="137">
        <v>62</v>
      </c>
      <c r="I9" s="137" t="s">
        <v>2869</v>
      </c>
      <c r="J9" s="137">
        <v>538</v>
      </c>
      <c r="K9" s="141">
        <v>1234.17</v>
      </c>
      <c r="L9" s="137" t="s">
        <v>2882</v>
      </c>
      <c r="M9" s="135" t="str">
        <f t="shared" si="0"/>
        <v>FAZENDA PLATAFORMASITIO DO GUTO - SEN. ALEXANDRE COSTASOJA</v>
      </c>
      <c r="N9" s="137" t="s">
        <v>3729</v>
      </c>
    </row>
    <row r="10" spans="2:14" x14ac:dyDescent="0.25">
      <c r="B10" s="134">
        <v>46143</v>
      </c>
      <c r="C10" s="138">
        <v>1</v>
      </c>
      <c r="D10" s="138" t="s">
        <v>183</v>
      </c>
      <c r="E10" s="135" t="s">
        <v>184</v>
      </c>
      <c r="F10" s="135" t="s">
        <v>163</v>
      </c>
      <c r="G10" s="135" t="s">
        <v>164</v>
      </c>
      <c r="H10" s="135">
        <v>52</v>
      </c>
      <c r="I10" s="135" t="s">
        <v>175</v>
      </c>
      <c r="J10" s="135">
        <v>2788</v>
      </c>
      <c r="K10" s="140">
        <v>536.41</v>
      </c>
      <c r="L10" s="135" t="s">
        <v>2883</v>
      </c>
      <c r="M10" s="135" t="str">
        <f t="shared" si="0"/>
        <v>BRASIL MINERACAOUA SAO LUISBRITA 0</v>
      </c>
      <c r="N10" s="135" t="s">
        <v>224</v>
      </c>
    </row>
    <row r="11" spans="2:14" x14ac:dyDescent="0.25">
      <c r="B11" s="136">
        <v>46143</v>
      </c>
      <c r="C11" s="139">
        <v>1</v>
      </c>
      <c r="D11" s="139" t="s">
        <v>183</v>
      </c>
      <c r="E11" s="137" t="s">
        <v>184</v>
      </c>
      <c r="F11" s="137" t="s">
        <v>163</v>
      </c>
      <c r="G11" s="137" t="s">
        <v>164</v>
      </c>
      <c r="H11" s="137">
        <v>52</v>
      </c>
      <c r="I11" s="137" t="s">
        <v>175</v>
      </c>
      <c r="J11" s="137">
        <v>3098</v>
      </c>
      <c r="K11" s="141">
        <v>596.05999999999995</v>
      </c>
      <c r="L11" s="137" t="s">
        <v>2884</v>
      </c>
      <c r="M11" s="135" t="str">
        <f t="shared" si="0"/>
        <v>BRASIL MINERACAOUA SAO LUISBRITA 0</v>
      </c>
      <c r="N11" s="135" t="s">
        <v>224</v>
      </c>
    </row>
    <row r="12" spans="2:14" x14ac:dyDescent="0.25">
      <c r="B12" s="134">
        <v>46143</v>
      </c>
      <c r="C12" s="138">
        <v>1</v>
      </c>
      <c r="D12" s="138" t="s">
        <v>286</v>
      </c>
      <c r="E12" s="135" t="s">
        <v>506</v>
      </c>
      <c r="F12" s="135" t="s">
        <v>163</v>
      </c>
      <c r="G12" s="135" t="s">
        <v>164</v>
      </c>
      <c r="H12" s="135">
        <v>52</v>
      </c>
      <c r="I12" s="135" t="s">
        <v>165</v>
      </c>
      <c r="J12" s="135">
        <v>454</v>
      </c>
      <c r="K12" s="140">
        <v>873.5</v>
      </c>
      <c r="L12" s="135" t="s">
        <v>2885</v>
      </c>
      <c r="M12" s="135" t="str">
        <f t="shared" si="0"/>
        <v>BRASIL MINERACAOUA SAO LUISPÓ DE BRITA</v>
      </c>
      <c r="N12" s="135" t="s">
        <v>224</v>
      </c>
    </row>
    <row r="13" spans="2:14" x14ac:dyDescent="0.25">
      <c r="B13" s="136">
        <v>46143</v>
      </c>
      <c r="C13" s="139">
        <v>1</v>
      </c>
      <c r="D13" s="139" t="s">
        <v>167</v>
      </c>
      <c r="E13" s="137" t="s">
        <v>168</v>
      </c>
      <c r="F13" s="137" t="s">
        <v>166</v>
      </c>
      <c r="G13" s="137" t="s">
        <v>111</v>
      </c>
      <c r="H13" s="137">
        <v>79</v>
      </c>
      <c r="I13" s="137" t="s">
        <v>169</v>
      </c>
      <c r="J13" s="137">
        <v>2562</v>
      </c>
      <c r="K13" s="141">
        <v>748.87</v>
      </c>
      <c r="L13" s="137" t="s">
        <v>2886</v>
      </c>
      <c r="M13" s="135" t="str">
        <f t="shared" si="0"/>
        <v>GRANORTEBEIRA RIOPULMÃOZINHO</v>
      </c>
      <c r="N13" s="137" t="s">
        <v>111</v>
      </c>
    </row>
    <row r="14" spans="2:14" x14ac:dyDescent="0.25">
      <c r="B14" s="134">
        <v>46143</v>
      </c>
      <c r="C14" s="138">
        <v>1</v>
      </c>
      <c r="D14" s="138" t="s">
        <v>192</v>
      </c>
      <c r="E14" s="135" t="s">
        <v>287</v>
      </c>
      <c r="F14" s="135" t="s">
        <v>2868</v>
      </c>
      <c r="G14" s="135" t="s">
        <v>2871</v>
      </c>
      <c r="H14" s="135">
        <v>70</v>
      </c>
      <c r="I14" s="135" t="s">
        <v>2869</v>
      </c>
      <c r="J14" s="135">
        <v>530</v>
      </c>
      <c r="K14" s="140">
        <v>1372.7</v>
      </c>
      <c r="L14" s="135" t="s">
        <v>2887</v>
      </c>
      <c r="M14" s="135" t="str">
        <f t="shared" si="0"/>
        <v>FAZENDA PLATAFORMASILO PRODUCERESSOJA</v>
      </c>
      <c r="N14" s="135" t="s">
        <v>3729</v>
      </c>
    </row>
    <row r="15" spans="2:14" x14ac:dyDescent="0.25">
      <c r="B15" s="136">
        <v>46143</v>
      </c>
      <c r="C15" s="139">
        <v>1</v>
      </c>
      <c r="D15" s="139" t="s">
        <v>176</v>
      </c>
      <c r="E15" s="137" t="s">
        <v>177</v>
      </c>
      <c r="F15" s="137" t="s">
        <v>2868</v>
      </c>
      <c r="G15" s="137" t="s">
        <v>2871</v>
      </c>
      <c r="H15" s="137">
        <v>70</v>
      </c>
      <c r="I15" s="137" t="s">
        <v>2869</v>
      </c>
      <c r="J15" s="137">
        <v>520</v>
      </c>
      <c r="K15" s="141">
        <v>1346.8</v>
      </c>
      <c r="L15" s="137" t="s">
        <v>2888</v>
      </c>
      <c r="M15" s="135" t="str">
        <f t="shared" si="0"/>
        <v>FAZENDA PLATAFORMASILO PRODUCERESSOJA</v>
      </c>
      <c r="N15" s="135" t="s">
        <v>3729</v>
      </c>
    </row>
    <row r="16" spans="2:14" x14ac:dyDescent="0.25">
      <c r="B16" s="134">
        <v>46143</v>
      </c>
      <c r="C16" s="138">
        <v>1</v>
      </c>
      <c r="D16" s="138" t="s">
        <v>203</v>
      </c>
      <c r="E16" s="135" t="s">
        <v>204</v>
      </c>
      <c r="F16" s="135" t="s">
        <v>2868</v>
      </c>
      <c r="G16" s="135" t="s">
        <v>2871</v>
      </c>
      <c r="H16" s="135">
        <v>70</v>
      </c>
      <c r="I16" s="135" t="s">
        <v>2869</v>
      </c>
      <c r="J16" s="135">
        <v>53767</v>
      </c>
      <c r="K16" s="140">
        <v>1392.57</v>
      </c>
      <c r="L16" s="135" t="s">
        <v>2889</v>
      </c>
      <c r="M16" s="135" t="str">
        <f t="shared" si="0"/>
        <v>FAZENDA PLATAFORMASILO PRODUCERESSOJA</v>
      </c>
      <c r="N16" s="135" t="s">
        <v>3729</v>
      </c>
    </row>
    <row r="17" spans="2:14" x14ac:dyDescent="0.25">
      <c r="B17" s="136">
        <v>46143</v>
      </c>
      <c r="C17" s="139">
        <v>1</v>
      </c>
      <c r="D17" s="139" t="s">
        <v>203</v>
      </c>
      <c r="E17" s="137" t="s">
        <v>204</v>
      </c>
      <c r="F17" s="137" t="s">
        <v>2868</v>
      </c>
      <c r="G17" s="137" t="s">
        <v>2871</v>
      </c>
      <c r="H17" s="137">
        <v>70</v>
      </c>
      <c r="I17" s="137" t="s">
        <v>2869</v>
      </c>
      <c r="J17" s="137">
        <v>530</v>
      </c>
      <c r="K17" s="141">
        <v>1372.7</v>
      </c>
      <c r="L17" s="137" t="s">
        <v>2890</v>
      </c>
      <c r="M17" s="135" t="str">
        <f t="shared" si="0"/>
        <v>FAZENDA PLATAFORMASILO PRODUCERESSOJA</v>
      </c>
      <c r="N17" s="135" t="s">
        <v>3729</v>
      </c>
    </row>
    <row r="18" spans="2:14" x14ac:dyDescent="0.25">
      <c r="B18" s="134">
        <v>46144</v>
      </c>
      <c r="C18" s="138">
        <v>1</v>
      </c>
      <c r="D18" s="138" t="s">
        <v>167</v>
      </c>
      <c r="E18" s="135" t="s">
        <v>168</v>
      </c>
      <c r="F18" s="135" t="s">
        <v>166</v>
      </c>
      <c r="G18" s="135" t="s">
        <v>111</v>
      </c>
      <c r="H18" s="135">
        <v>79</v>
      </c>
      <c r="I18" s="135" t="s">
        <v>169</v>
      </c>
      <c r="J18" s="135">
        <v>267</v>
      </c>
      <c r="K18" s="140">
        <v>780.44</v>
      </c>
      <c r="L18" s="135" t="s">
        <v>2891</v>
      </c>
      <c r="M18" s="135" t="str">
        <f t="shared" si="0"/>
        <v>GRANORTEBEIRA RIOPULMÃOZINHO</v>
      </c>
      <c r="N18" s="135" t="s">
        <v>111</v>
      </c>
    </row>
    <row r="19" spans="2:14" x14ac:dyDescent="0.25">
      <c r="B19" s="136">
        <v>46144</v>
      </c>
      <c r="C19" s="139">
        <v>1</v>
      </c>
      <c r="D19" s="139" t="s">
        <v>210</v>
      </c>
      <c r="E19" s="137" t="s">
        <v>211</v>
      </c>
      <c r="F19" s="137" t="s">
        <v>2868</v>
      </c>
      <c r="G19" s="137" t="s">
        <v>2871</v>
      </c>
      <c r="H19" s="137">
        <v>70</v>
      </c>
      <c r="I19" s="137" t="s">
        <v>2869</v>
      </c>
      <c r="J19" s="137">
        <v>8108</v>
      </c>
      <c r="K19" s="141">
        <v>2099.9699999999998</v>
      </c>
      <c r="L19" s="137" t="s">
        <v>2892</v>
      </c>
      <c r="M19" s="135" t="str">
        <f t="shared" si="0"/>
        <v>FAZENDA PLATAFORMASILO PRODUCERESSOJA</v>
      </c>
      <c r="N19" s="135" t="s">
        <v>3729</v>
      </c>
    </row>
    <row r="20" spans="2:14" x14ac:dyDescent="0.25">
      <c r="B20" s="134">
        <v>46144</v>
      </c>
      <c r="C20" s="138">
        <v>1</v>
      </c>
      <c r="D20" s="138" t="s">
        <v>208</v>
      </c>
      <c r="E20" s="135" t="s">
        <v>209</v>
      </c>
      <c r="F20" s="135" t="s">
        <v>163</v>
      </c>
      <c r="G20" s="135" t="s">
        <v>164</v>
      </c>
      <c r="H20" s="135">
        <v>52</v>
      </c>
      <c r="I20" s="135" t="s">
        <v>165</v>
      </c>
      <c r="J20" s="135">
        <v>470</v>
      </c>
      <c r="K20" s="140">
        <v>904.28</v>
      </c>
      <c r="L20" s="135" t="s">
        <v>2893</v>
      </c>
      <c r="M20" s="135" t="str">
        <f t="shared" si="0"/>
        <v>BRASIL MINERACAOUA SAO LUISPÓ DE BRITA</v>
      </c>
      <c r="N20" s="135" t="s">
        <v>224</v>
      </c>
    </row>
    <row r="21" spans="2:14" x14ac:dyDescent="0.25">
      <c r="B21" s="136">
        <v>46144</v>
      </c>
      <c r="C21" s="139">
        <v>1</v>
      </c>
      <c r="D21" s="139" t="s">
        <v>179</v>
      </c>
      <c r="E21" s="137" t="s">
        <v>2863</v>
      </c>
      <c r="F21" s="137" t="s">
        <v>166</v>
      </c>
      <c r="G21" s="137" t="s">
        <v>164</v>
      </c>
      <c r="H21" s="137">
        <v>58</v>
      </c>
      <c r="I21" s="137" t="s">
        <v>175</v>
      </c>
      <c r="J21" s="137">
        <v>258</v>
      </c>
      <c r="K21" s="141">
        <v>553.66999999999996</v>
      </c>
      <c r="L21" s="137" t="s">
        <v>2894</v>
      </c>
      <c r="M21" s="135" t="str">
        <f t="shared" si="0"/>
        <v>GRANORTEUA SAO LUISBRITA 0</v>
      </c>
      <c r="N21" s="135" t="s">
        <v>224</v>
      </c>
    </row>
    <row r="22" spans="2:14" x14ac:dyDescent="0.25">
      <c r="B22" s="134">
        <v>46144</v>
      </c>
      <c r="C22" s="138">
        <v>1</v>
      </c>
      <c r="D22" s="138" t="s">
        <v>192</v>
      </c>
      <c r="E22" s="135" t="s">
        <v>287</v>
      </c>
      <c r="F22" s="135" t="s">
        <v>2868</v>
      </c>
      <c r="G22" s="135" t="s">
        <v>2871</v>
      </c>
      <c r="H22" s="135">
        <v>70</v>
      </c>
      <c r="I22" s="135" t="s">
        <v>2869</v>
      </c>
      <c r="J22" s="135">
        <v>553</v>
      </c>
      <c r="K22" s="140">
        <v>1432.27</v>
      </c>
      <c r="L22" s="135" t="s">
        <v>2895</v>
      </c>
      <c r="M22" s="135" t="str">
        <f t="shared" si="0"/>
        <v>FAZENDA PLATAFORMASILO PRODUCERESSOJA</v>
      </c>
      <c r="N22" s="135" t="s">
        <v>3729</v>
      </c>
    </row>
    <row r="23" spans="2:14" x14ac:dyDescent="0.25">
      <c r="B23" s="136">
        <v>46144</v>
      </c>
      <c r="C23" s="139">
        <v>1</v>
      </c>
      <c r="D23" s="139" t="s">
        <v>210</v>
      </c>
      <c r="E23" s="137" t="s">
        <v>211</v>
      </c>
      <c r="F23" s="137" t="s">
        <v>2868</v>
      </c>
      <c r="G23" s="137" t="s">
        <v>2871</v>
      </c>
      <c r="H23" s="137">
        <v>70</v>
      </c>
      <c r="I23" s="137" t="s">
        <v>2869</v>
      </c>
      <c r="J23" s="137">
        <v>455</v>
      </c>
      <c r="K23" s="141">
        <v>1178.45</v>
      </c>
      <c r="L23" s="137" t="s">
        <v>2896</v>
      </c>
      <c r="M23" s="135" t="str">
        <f t="shared" si="0"/>
        <v>FAZENDA PLATAFORMASILO PRODUCERESSOJA</v>
      </c>
      <c r="N23" s="135" t="s">
        <v>3729</v>
      </c>
    </row>
    <row r="24" spans="2:14" x14ac:dyDescent="0.25">
      <c r="B24" s="134">
        <v>46144</v>
      </c>
      <c r="C24" s="138">
        <v>1</v>
      </c>
      <c r="D24" s="138" t="s">
        <v>176</v>
      </c>
      <c r="E24" s="135" t="s">
        <v>177</v>
      </c>
      <c r="F24" s="135" t="s">
        <v>2868</v>
      </c>
      <c r="G24" s="135" t="s">
        <v>2871</v>
      </c>
      <c r="H24" s="135">
        <v>70</v>
      </c>
      <c r="I24" s="135" t="s">
        <v>2869</v>
      </c>
      <c r="J24" s="135">
        <v>5428</v>
      </c>
      <c r="K24" s="140">
        <v>1405.85</v>
      </c>
      <c r="L24" s="135" t="s">
        <v>2897</v>
      </c>
      <c r="M24" s="135" t="str">
        <f t="shared" si="0"/>
        <v>FAZENDA PLATAFORMASILO PRODUCERESSOJA</v>
      </c>
      <c r="N24" s="135" t="s">
        <v>3729</v>
      </c>
    </row>
    <row r="25" spans="2:14" x14ac:dyDescent="0.25">
      <c r="B25" s="136">
        <v>46144</v>
      </c>
      <c r="C25" s="139">
        <v>1</v>
      </c>
      <c r="D25" s="139" t="s">
        <v>183</v>
      </c>
      <c r="E25" s="137" t="s">
        <v>184</v>
      </c>
      <c r="F25" s="137" t="s">
        <v>163</v>
      </c>
      <c r="G25" s="137" t="s">
        <v>164</v>
      </c>
      <c r="H25" s="137">
        <v>52</v>
      </c>
      <c r="I25" s="137" t="s">
        <v>175</v>
      </c>
      <c r="J25" s="137">
        <v>2756</v>
      </c>
      <c r="K25" s="141">
        <v>530.25</v>
      </c>
      <c r="L25" s="137" t="s">
        <v>2898</v>
      </c>
      <c r="M25" s="135" t="str">
        <f t="shared" si="0"/>
        <v>BRASIL MINERACAOUA SAO LUISBRITA 0</v>
      </c>
      <c r="N25" s="135" t="s">
        <v>224</v>
      </c>
    </row>
    <row r="26" spans="2:14" x14ac:dyDescent="0.25">
      <c r="B26" s="134">
        <v>46144</v>
      </c>
      <c r="C26" s="138">
        <v>1</v>
      </c>
      <c r="D26" s="138" t="s">
        <v>193</v>
      </c>
      <c r="E26" s="135" t="s">
        <v>285</v>
      </c>
      <c r="F26" s="135" t="s">
        <v>166</v>
      </c>
      <c r="G26" s="135" t="s">
        <v>111</v>
      </c>
      <c r="H26" s="135">
        <v>79</v>
      </c>
      <c r="I26" s="135" t="s">
        <v>169</v>
      </c>
      <c r="J26" s="135">
        <v>2622</v>
      </c>
      <c r="K26" s="140">
        <v>766.41</v>
      </c>
      <c r="L26" s="135" t="s">
        <v>2899</v>
      </c>
      <c r="M26" s="135" t="str">
        <f t="shared" si="0"/>
        <v>GRANORTEBEIRA RIOPULMÃOZINHO</v>
      </c>
      <c r="N26" s="135" t="s">
        <v>111</v>
      </c>
    </row>
    <row r="27" spans="2:14" x14ac:dyDescent="0.25">
      <c r="B27" s="136">
        <v>46144</v>
      </c>
      <c r="C27" s="139">
        <v>1</v>
      </c>
      <c r="D27" s="139" t="s">
        <v>286</v>
      </c>
      <c r="E27" s="137" t="s">
        <v>506</v>
      </c>
      <c r="F27" s="137" t="s">
        <v>163</v>
      </c>
      <c r="G27" s="137" t="s">
        <v>164</v>
      </c>
      <c r="H27" s="137">
        <v>52</v>
      </c>
      <c r="I27" s="137" t="s">
        <v>175</v>
      </c>
      <c r="J27" s="137">
        <v>4594</v>
      </c>
      <c r="K27" s="141">
        <v>883.89</v>
      </c>
      <c r="L27" s="137" t="s">
        <v>2900</v>
      </c>
      <c r="M27" s="135" t="str">
        <f t="shared" si="0"/>
        <v>BRASIL MINERACAOUA SAO LUISBRITA 0</v>
      </c>
      <c r="N27" s="135" t="s">
        <v>224</v>
      </c>
    </row>
    <row r="28" spans="2:14" x14ac:dyDescent="0.25">
      <c r="B28" s="134">
        <v>46144</v>
      </c>
      <c r="C28" s="138">
        <v>1</v>
      </c>
      <c r="D28" s="138" t="s">
        <v>173</v>
      </c>
      <c r="E28" s="135" t="s">
        <v>174</v>
      </c>
      <c r="F28" s="135" t="s">
        <v>163</v>
      </c>
      <c r="G28" s="135" t="s">
        <v>164</v>
      </c>
      <c r="H28" s="135">
        <v>52</v>
      </c>
      <c r="I28" s="135" t="s">
        <v>165</v>
      </c>
      <c r="J28" s="135">
        <v>2988</v>
      </c>
      <c r="K28" s="140">
        <v>574.89</v>
      </c>
      <c r="L28" s="135" t="s">
        <v>2901</v>
      </c>
      <c r="M28" s="135" t="str">
        <f t="shared" si="0"/>
        <v>BRASIL MINERACAOUA SAO LUISPÓ DE BRITA</v>
      </c>
      <c r="N28" s="135" t="s">
        <v>224</v>
      </c>
    </row>
    <row r="29" spans="2:14" x14ac:dyDescent="0.25">
      <c r="B29" s="136">
        <v>46144</v>
      </c>
      <c r="C29" s="139">
        <v>1</v>
      </c>
      <c r="D29" s="139" t="s">
        <v>1948</v>
      </c>
      <c r="E29" s="137" t="s">
        <v>1949</v>
      </c>
      <c r="F29" s="137" t="s">
        <v>2868</v>
      </c>
      <c r="G29" s="137" t="s">
        <v>2871</v>
      </c>
      <c r="H29" s="137">
        <v>70</v>
      </c>
      <c r="I29" s="137" t="s">
        <v>2869</v>
      </c>
      <c r="J29" s="137">
        <v>521</v>
      </c>
      <c r="K29" s="141">
        <v>1349.39</v>
      </c>
      <c r="L29" s="137" t="s">
        <v>2902</v>
      </c>
      <c r="M29" s="135" t="str">
        <f t="shared" si="0"/>
        <v>FAZENDA PLATAFORMASILO PRODUCERESSOJA</v>
      </c>
      <c r="N29" s="135" t="s">
        <v>3729</v>
      </c>
    </row>
    <row r="30" spans="2:14" x14ac:dyDescent="0.25">
      <c r="B30" s="134">
        <v>46146</v>
      </c>
      <c r="C30" s="138">
        <v>1</v>
      </c>
      <c r="D30" s="138" t="s">
        <v>199</v>
      </c>
      <c r="E30" s="135" t="s">
        <v>180</v>
      </c>
      <c r="F30" s="135" t="s">
        <v>166</v>
      </c>
      <c r="G30" s="135" t="s">
        <v>164</v>
      </c>
      <c r="H30" s="135">
        <v>58</v>
      </c>
      <c r="I30" s="135" t="s">
        <v>165</v>
      </c>
      <c r="J30" s="135">
        <v>290</v>
      </c>
      <c r="K30" s="140">
        <v>622.34</v>
      </c>
      <c r="L30" s="135" t="s">
        <v>2903</v>
      </c>
      <c r="M30" s="135" t="str">
        <f t="shared" si="0"/>
        <v>GRANORTEUA SAO LUISPÓ DE BRITA</v>
      </c>
      <c r="N30" s="135" t="s">
        <v>224</v>
      </c>
    </row>
    <row r="31" spans="2:14" x14ac:dyDescent="0.25">
      <c r="B31" s="136">
        <v>46146</v>
      </c>
      <c r="C31" s="139">
        <v>1</v>
      </c>
      <c r="D31" s="139" t="s">
        <v>167</v>
      </c>
      <c r="E31" s="137" t="s">
        <v>168</v>
      </c>
      <c r="F31" s="137" t="s">
        <v>166</v>
      </c>
      <c r="G31" s="137" t="s">
        <v>111</v>
      </c>
      <c r="H31" s="137">
        <v>79</v>
      </c>
      <c r="I31" s="137" t="s">
        <v>169</v>
      </c>
      <c r="J31" s="137">
        <v>2582</v>
      </c>
      <c r="K31" s="141">
        <v>754.72</v>
      </c>
      <c r="L31" s="137" t="s">
        <v>2904</v>
      </c>
      <c r="M31" s="135" t="str">
        <f t="shared" si="0"/>
        <v>GRANORTEBEIRA RIOPULMÃOZINHO</v>
      </c>
      <c r="N31" s="137" t="s">
        <v>111</v>
      </c>
    </row>
    <row r="32" spans="2:14" x14ac:dyDescent="0.25">
      <c r="B32" s="134">
        <v>46146</v>
      </c>
      <c r="C32" s="138">
        <v>1</v>
      </c>
      <c r="D32" s="138" t="s">
        <v>300</v>
      </c>
      <c r="E32" s="135" t="s">
        <v>1536</v>
      </c>
      <c r="F32" s="135" t="s">
        <v>276</v>
      </c>
      <c r="G32" s="135" t="s">
        <v>2870</v>
      </c>
      <c r="H32" s="135">
        <v>190</v>
      </c>
      <c r="I32" s="135" t="s">
        <v>279</v>
      </c>
      <c r="J32" s="135">
        <v>4836</v>
      </c>
      <c r="K32" s="140">
        <v>2940.29</v>
      </c>
      <c r="L32" s="135" t="s">
        <v>2905</v>
      </c>
      <c r="M32" s="135" t="str">
        <f t="shared" si="0"/>
        <v>MINERADORA PORTO FRANCOVALE ACAILANDIA KM522MATACO</v>
      </c>
      <c r="N32" s="135" t="s">
        <v>15</v>
      </c>
    </row>
    <row r="33" spans="2:14" x14ac:dyDescent="0.25">
      <c r="B33" s="136">
        <v>46146</v>
      </c>
      <c r="C33" s="139">
        <v>1</v>
      </c>
      <c r="D33" s="139" t="s">
        <v>2866</v>
      </c>
      <c r="E33" s="137" t="s">
        <v>281</v>
      </c>
      <c r="F33" s="137" t="s">
        <v>163</v>
      </c>
      <c r="G33" s="137" t="s">
        <v>164</v>
      </c>
      <c r="H33" s="137">
        <v>52</v>
      </c>
      <c r="I33" s="137" t="s">
        <v>165</v>
      </c>
      <c r="J33" s="137">
        <v>2644</v>
      </c>
      <c r="K33" s="141">
        <v>508.71</v>
      </c>
      <c r="L33" s="137" t="s">
        <v>2906</v>
      </c>
      <c r="M33" s="135" t="str">
        <f t="shared" si="0"/>
        <v>BRASIL MINERACAOUA SAO LUISPÓ DE BRITA</v>
      </c>
      <c r="N33" s="135" t="s">
        <v>224</v>
      </c>
    </row>
    <row r="34" spans="2:14" x14ac:dyDescent="0.25">
      <c r="B34" s="134">
        <v>46146</v>
      </c>
      <c r="C34" s="138">
        <v>1</v>
      </c>
      <c r="D34" s="138" t="s">
        <v>208</v>
      </c>
      <c r="E34" s="135" t="s">
        <v>209</v>
      </c>
      <c r="F34" s="135" t="s">
        <v>163</v>
      </c>
      <c r="G34" s="135" t="s">
        <v>164</v>
      </c>
      <c r="H34" s="135">
        <v>52</v>
      </c>
      <c r="I34" s="135" t="s">
        <v>165</v>
      </c>
      <c r="J34" s="135">
        <v>450</v>
      </c>
      <c r="K34" s="140">
        <v>865.8</v>
      </c>
      <c r="L34" s="135" t="s">
        <v>2907</v>
      </c>
      <c r="M34" s="135" t="str">
        <f t="shared" si="0"/>
        <v>BRASIL MINERACAOUA SAO LUISPÓ DE BRITA</v>
      </c>
      <c r="N34" s="135" t="s">
        <v>224</v>
      </c>
    </row>
    <row r="35" spans="2:14" x14ac:dyDescent="0.25">
      <c r="B35" s="136">
        <v>46146</v>
      </c>
      <c r="C35" s="139">
        <v>1</v>
      </c>
      <c r="D35" s="139" t="s">
        <v>199</v>
      </c>
      <c r="E35" s="137" t="s">
        <v>180</v>
      </c>
      <c r="F35" s="137" t="s">
        <v>166</v>
      </c>
      <c r="G35" s="137" t="s">
        <v>111</v>
      </c>
      <c r="H35" s="137">
        <v>79</v>
      </c>
      <c r="I35" s="137" t="s">
        <v>169</v>
      </c>
      <c r="J35" s="137">
        <v>2858</v>
      </c>
      <c r="K35" s="141">
        <v>835.39</v>
      </c>
      <c r="L35" s="137" t="s">
        <v>2908</v>
      </c>
      <c r="M35" s="135" t="str">
        <f t="shared" si="0"/>
        <v>GRANORTEBEIRA RIOPULMÃOZINHO</v>
      </c>
      <c r="N35" s="137" t="s">
        <v>111</v>
      </c>
    </row>
    <row r="36" spans="2:14" x14ac:dyDescent="0.25">
      <c r="B36" s="134">
        <v>46146</v>
      </c>
      <c r="C36" s="138">
        <v>1</v>
      </c>
      <c r="D36" s="138" t="s">
        <v>202</v>
      </c>
      <c r="E36" s="135" t="s">
        <v>214</v>
      </c>
      <c r="F36" s="135" t="s">
        <v>163</v>
      </c>
      <c r="G36" s="135" t="s">
        <v>164</v>
      </c>
      <c r="H36" s="135">
        <v>52</v>
      </c>
      <c r="I36" s="135" t="s">
        <v>165</v>
      </c>
      <c r="J36" s="135">
        <v>4984</v>
      </c>
      <c r="K36" s="140">
        <v>958.92</v>
      </c>
      <c r="L36" s="135" t="s">
        <v>2909</v>
      </c>
      <c r="M36" s="135" t="str">
        <f t="shared" si="0"/>
        <v>BRASIL MINERACAOUA SAO LUISPÓ DE BRITA</v>
      </c>
      <c r="N36" s="135" t="s">
        <v>224</v>
      </c>
    </row>
    <row r="37" spans="2:14" x14ac:dyDescent="0.25">
      <c r="B37" s="136">
        <v>46146</v>
      </c>
      <c r="C37" s="139">
        <v>1</v>
      </c>
      <c r="D37" s="139" t="s">
        <v>202</v>
      </c>
      <c r="E37" s="137" t="s">
        <v>214</v>
      </c>
      <c r="F37" s="137" t="s">
        <v>163</v>
      </c>
      <c r="G37" s="137" t="s">
        <v>164</v>
      </c>
      <c r="H37" s="137">
        <v>52</v>
      </c>
      <c r="I37" s="137" t="s">
        <v>165</v>
      </c>
      <c r="J37" s="137">
        <v>4986</v>
      </c>
      <c r="K37" s="141">
        <v>959.31</v>
      </c>
      <c r="L37" s="137" t="s">
        <v>2910</v>
      </c>
      <c r="M37" s="135" t="str">
        <f t="shared" si="0"/>
        <v>BRASIL MINERACAOUA SAO LUISPÓ DE BRITA</v>
      </c>
      <c r="N37" s="135" t="s">
        <v>224</v>
      </c>
    </row>
    <row r="38" spans="2:14" x14ac:dyDescent="0.25">
      <c r="B38" s="134">
        <v>46146</v>
      </c>
      <c r="C38" s="138">
        <v>1</v>
      </c>
      <c r="D38" s="138" t="s">
        <v>2866</v>
      </c>
      <c r="E38" s="135" t="s">
        <v>281</v>
      </c>
      <c r="F38" s="135" t="s">
        <v>163</v>
      </c>
      <c r="G38" s="135" t="s">
        <v>164</v>
      </c>
      <c r="H38" s="135">
        <v>52</v>
      </c>
      <c r="I38" s="135" t="s">
        <v>165</v>
      </c>
      <c r="J38" s="135">
        <v>2564</v>
      </c>
      <c r="K38" s="140">
        <v>493.31</v>
      </c>
      <c r="L38" s="135" t="s">
        <v>2911</v>
      </c>
      <c r="M38" s="135" t="str">
        <f t="shared" si="0"/>
        <v>BRASIL MINERACAOUA SAO LUISPÓ DE BRITA</v>
      </c>
      <c r="N38" s="135" t="s">
        <v>224</v>
      </c>
    </row>
    <row r="39" spans="2:14" x14ac:dyDescent="0.25">
      <c r="B39" s="136">
        <v>46146</v>
      </c>
      <c r="C39" s="139">
        <v>1</v>
      </c>
      <c r="D39" s="139" t="s">
        <v>173</v>
      </c>
      <c r="E39" s="137" t="s">
        <v>174</v>
      </c>
      <c r="F39" s="137" t="s">
        <v>163</v>
      </c>
      <c r="G39" s="137" t="s">
        <v>164</v>
      </c>
      <c r="H39" s="137">
        <v>52</v>
      </c>
      <c r="I39" s="137" t="s">
        <v>165</v>
      </c>
      <c r="J39" s="137">
        <v>3024</v>
      </c>
      <c r="K39" s="141">
        <v>581.82000000000005</v>
      </c>
      <c r="L39" s="137" t="s">
        <v>2912</v>
      </c>
      <c r="M39" s="135" t="str">
        <f t="shared" si="0"/>
        <v>BRASIL MINERACAOUA SAO LUISPÓ DE BRITA</v>
      </c>
      <c r="N39" s="135" t="s">
        <v>224</v>
      </c>
    </row>
    <row r="40" spans="2:14" x14ac:dyDescent="0.25">
      <c r="B40" s="134">
        <v>46146</v>
      </c>
      <c r="C40" s="138">
        <v>1</v>
      </c>
      <c r="D40" s="138" t="s">
        <v>1129</v>
      </c>
      <c r="E40" s="135" t="s">
        <v>2396</v>
      </c>
      <c r="F40" s="135" t="s">
        <v>166</v>
      </c>
      <c r="G40" s="135" t="s">
        <v>164</v>
      </c>
      <c r="H40" s="135">
        <v>58</v>
      </c>
      <c r="I40" s="135" t="s">
        <v>175</v>
      </c>
      <c r="J40" s="135">
        <v>259</v>
      </c>
      <c r="K40" s="140">
        <v>555.80999999999995</v>
      </c>
      <c r="L40" s="135" t="s">
        <v>2913</v>
      </c>
      <c r="M40" s="135" t="str">
        <f t="shared" si="0"/>
        <v>GRANORTEUA SAO LUISBRITA 0</v>
      </c>
      <c r="N40" s="135" t="s">
        <v>224</v>
      </c>
    </row>
    <row r="41" spans="2:14" x14ac:dyDescent="0.25">
      <c r="B41" s="136">
        <v>46146</v>
      </c>
      <c r="C41" s="139">
        <v>1</v>
      </c>
      <c r="D41" s="139" t="s">
        <v>1129</v>
      </c>
      <c r="E41" s="137" t="s">
        <v>2396</v>
      </c>
      <c r="F41" s="137" t="s">
        <v>163</v>
      </c>
      <c r="G41" s="137" t="s">
        <v>164</v>
      </c>
      <c r="H41" s="137">
        <v>52</v>
      </c>
      <c r="I41" s="137" t="s">
        <v>175</v>
      </c>
      <c r="J41" s="137">
        <v>2638</v>
      </c>
      <c r="K41" s="141">
        <v>507.55</v>
      </c>
      <c r="L41" s="137" t="s">
        <v>2914</v>
      </c>
      <c r="M41" s="135" t="str">
        <f t="shared" si="0"/>
        <v>BRASIL MINERACAOUA SAO LUISBRITA 0</v>
      </c>
      <c r="N41" s="135" t="s">
        <v>224</v>
      </c>
    </row>
    <row r="42" spans="2:14" x14ac:dyDescent="0.25">
      <c r="B42" s="134">
        <v>46146</v>
      </c>
      <c r="C42" s="138">
        <v>1</v>
      </c>
      <c r="D42" s="138" t="s">
        <v>1129</v>
      </c>
      <c r="E42" s="135" t="s">
        <v>2396</v>
      </c>
      <c r="F42" s="135" t="s">
        <v>163</v>
      </c>
      <c r="G42" s="135" t="s">
        <v>164</v>
      </c>
      <c r="H42" s="135">
        <v>52</v>
      </c>
      <c r="I42" s="135" t="s">
        <v>175</v>
      </c>
      <c r="J42" s="135">
        <v>2532</v>
      </c>
      <c r="K42" s="140">
        <v>487.16</v>
      </c>
      <c r="L42" s="135" t="s">
        <v>2915</v>
      </c>
      <c r="M42" s="135" t="str">
        <f t="shared" si="0"/>
        <v>BRASIL MINERACAOUA SAO LUISBRITA 0</v>
      </c>
      <c r="N42" s="135" t="s">
        <v>224</v>
      </c>
    </row>
    <row r="43" spans="2:14" x14ac:dyDescent="0.25">
      <c r="B43" s="136">
        <v>46146</v>
      </c>
      <c r="C43" s="139">
        <v>1</v>
      </c>
      <c r="D43" s="139" t="s">
        <v>200</v>
      </c>
      <c r="E43" s="137" t="s">
        <v>201</v>
      </c>
      <c r="F43" s="137" t="s">
        <v>163</v>
      </c>
      <c r="G43" s="137" t="s">
        <v>164</v>
      </c>
      <c r="H43" s="137">
        <v>52</v>
      </c>
      <c r="I43" s="137" t="s">
        <v>165</v>
      </c>
      <c r="J43" s="137">
        <v>4522</v>
      </c>
      <c r="K43" s="141">
        <v>870.03</v>
      </c>
      <c r="L43" s="137" t="s">
        <v>2916</v>
      </c>
      <c r="M43" s="135" t="str">
        <f t="shared" si="0"/>
        <v>BRASIL MINERACAOUA SAO LUISPÓ DE BRITA</v>
      </c>
      <c r="N43" s="135" t="s">
        <v>224</v>
      </c>
    </row>
    <row r="44" spans="2:14" x14ac:dyDescent="0.25">
      <c r="B44" s="134">
        <v>46146</v>
      </c>
      <c r="C44" s="138">
        <v>1</v>
      </c>
      <c r="D44" s="138" t="s">
        <v>286</v>
      </c>
      <c r="E44" s="135" t="s">
        <v>506</v>
      </c>
      <c r="F44" s="135" t="s">
        <v>166</v>
      </c>
      <c r="G44" s="135" t="s">
        <v>164</v>
      </c>
      <c r="H44" s="135">
        <v>58</v>
      </c>
      <c r="I44" s="135" t="s">
        <v>165</v>
      </c>
      <c r="J44" s="135">
        <v>4688</v>
      </c>
      <c r="K44" s="140">
        <v>1006.04</v>
      </c>
      <c r="L44" s="135" t="s">
        <v>2917</v>
      </c>
      <c r="M44" s="135" t="str">
        <f t="shared" si="0"/>
        <v>GRANORTEUA SAO LUISPÓ DE BRITA</v>
      </c>
      <c r="N44" s="135" t="s">
        <v>224</v>
      </c>
    </row>
    <row r="45" spans="2:14" x14ac:dyDescent="0.25">
      <c r="B45" s="136">
        <v>46146</v>
      </c>
      <c r="C45" s="139">
        <v>1</v>
      </c>
      <c r="D45" s="139" t="s">
        <v>286</v>
      </c>
      <c r="E45" s="137" t="s">
        <v>506</v>
      </c>
      <c r="F45" s="137" t="s">
        <v>163</v>
      </c>
      <c r="G45" s="137" t="s">
        <v>164</v>
      </c>
      <c r="H45" s="137">
        <v>52</v>
      </c>
      <c r="I45" s="137" t="s">
        <v>165</v>
      </c>
      <c r="J45" s="137">
        <v>4592</v>
      </c>
      <c r="K45" s="141">
        <v>883.5</v>
      </c>
      <c r="L45" s="137" t="s">
        <v>2918</v>
      </c>
      <c r="M45" s="135" t="str">
        <f t="shared" si="0"/>
        <v>BRASIL MINERACAOUA SAO LUISPÓ DE BRITA</v>
      </c>
      <c r="N45" s="135" t="s">
        <v>224</v>
      </c>
    </row>
    <row r="46" spans="2:14" x14ac:dyDescent="0.25">
      <c r="B46" s="134">
        <v>46146</v>
      </c>
      <c r="C46" s="138">
        <v>1</v>
      </c>
      <c r="D46" s="138" t="s">
        <v>199</v>
      </c>
      <c r="E46" s="135" t="s">
        <v>180</v>
      </c>
      <c r="F46" s="135" t="s">
        <v>163</v>
      </c>
      <c r="G46" s="135" t="s">
        <v>164</v>
      </c>
      <c r="H46" s="135">
        <v>52</v>
      </c>
      <c r="I46" s="135" t="s">
        <v>175</v>
      </c>
      <c r="J46" s="135">
        <v>3054</v>
      </c>
      <c r="K46" s="140">
        <v>587.59</v>
      </c>
      <c r="L46" s="135" t="s">
        <v>2919</v>
      </c>
      <c r="M46" s="135" t="str">
        <f t="shared" si="0"/>
        <v>BRASIL MINERACAOUA SAO LUISBRITA 0</v>
      </c>
      <c r="N46" s="135" t="s">
        <v>224</v>
      </c>
    </row>
    <row r="47" spans="2:14" x14ac:dyDescent="0.25">
      <c r="B47" s="136">
        <v>46146</v>
      </c>
      <c r="C47" s="139">
        <v>1</v>
      </c>
      <c r="D47" s="139" t="s">
        <v>208</v>
      </c>
      <c r="E47" s="137" t="s">
        <v>209</v>
      </c>
      <c r="F47" s="137" t="s">
        <v>163</v>
      </c>
      <c r="G47" s="137" t="s">
        <v>164</v>
      </c>
      <c r="H47" s="137">
        <v>52</v>
      </c>
      <c r="I47" s="137" t="s">
        <v>165</v>
      </c>
      <c r="J47" s="137">
        <v>450</v>
      </c>
      <c r="K47" s="141">
        <v>865.8</v>
      </c>
      <c r="L47" s="137" t="s">
        <v>2920</v>
      </c>
      <c r="M47" s="135" t="str">
        <f t="shared" si="0"/>
        <v>BRASIL MINERACAOUA SAO LUISPÓ DE BRITA</v>
      </c>
      <c r="N47" s="135" t="s">
        <v>224</v>
      </c>
    </row>
    <row r="48" spans="2:14" x14ac:dyDescent="0.25">
      <c r="B48" s="134">
        <v>46146</v>
      </c>
      <c r="C48" s="138">
        <v>1</v>
      </c>
      <c r="D48" s="138" t="s">
        <v>173</v>
      </c>
      <c r="E48" s="135" t="s">
        <v>174</v>
      </c>
      <c r="F48" s="135" t="s">
        <v>163</v>
      </c>
      <c r="G48" s="135" t="s">
        <v>164</v>
      </c>
      <c r="H48" s="135">
        <v>52</v>
      </c>
      <c r="I48" s="135" t="s">
        <v>165</v>
      </c>
      <c r="J48" s="135">
        <v>3498</v>
      </c>
      <c r="K48" s="140">
        <v>673.02</v>
      </c>
      <c r="L48" s="135" t="s">
        <v>2921</v>
      </c>
      <c r="M48" s="135" t="str">
        <f t="shared" si="0"/>
        <v>BRASIL MINERACAOUA SAO LUISPÓ DE BRITA</v>
      </c>
      <c r="N48" s="135" t="s">
        <v>224</v>
      </c>
    </row>
    <row r="49" spans="2:14" x14ac:dyDescent="0.25">
      <c r="B49" s="136">
        <v>46146</v>
      </c>
      <c r="C49" s="139">
        <v>1</v>
      </c>
      <c r="D49" s="139" t="s">
        <v>193</v>
      </c>
      <c r="E49" s="137" t="s">
        <v>285</v>
      </c>
      <c r="F49" s="137" t="s">
        <v>166</v>
      </c>
      <c r="G49" s="137" t="s">
        <v>164</v>
      </c>
      <c r="H49" s="137">
        <v>58</v>
      </c>
      <c r="I49" s="137" t="s">
        <v>165</v>
      </c>
      <c r="J49" s="137">
        <v>2622</v>
      </c>
      <c r="K49" s="141">
        <v>562.67999999999995</v>
      </c>
      <c r="L49" s="137" t="s">
        <v>2922</v>
      </c>
      <c r="M49" s="135" t="str">
        <f t="shared" si="0"/>
        <v>GRANORTEUA SAO LUISPÓ DE BRITA</v>
      </c>
      <c r="N49" s="135" t="s">
        <v>224</v>
      </c>
    </row>
    <row r="50" spans="2:14" x14ac:dyDescent="0.25">
      <c r="B50" s="134">
        <v>46146</v>
      </c>
      <c r="C50" s="138">
        <v>1</v>
      </c>
      <c r="D50" s="138" t="s">
        <v>193</v>
      </c>
      <c r="E50" s="135" t="s">
        <v>285</v>
      </c>
      <c r="F50" s="135" t="s">
        <v>166</v>
      </c>
      <c r="G50" s="135" t="s">
        <v>164</v>
      </c>
      <c r="H50" s="135">
        <v>58</v>
      </c>
      <c r="I50" s="135" t="s">
        <v>165</v>
      </c>
      <c r="J50" s="135">
        <v>259</v>
      </c>
      <c r="K50" s="140">
        <v>555.80999999999995</v>
      </c>
      <c r="L50" s="135" t="s">
        <v>2923</v>
      </c>
      <c r="M50" s="135" t="str">
        <f t="shared" si="0"/>
        <v>GRANORTEUA SAO LUISPÓ DE BRITA</v>
      </c>
      <c r="N50" s="135" t="s">
        <v>224</v>
      </c>
    </row>
    <row r="51" spans="2:14" x14ac:dyDescent="0.25">
      <c r="B51" s="136">
        <v>46146</v>
      </c>
      <c r="C51" s="139">
        <v>1</v>
      </c>
      <c r="D51" s="139" t="s">
        <v>193</v>
      </c>
      <c r="E51" s="137" t="s">
        <v>285</v>
      </c>
      <c r="F51" s="137" t="s">
        <v>163</v>
      </c>
      <c r="G51" s="137" t="s">
        <v>164</v>
      </c>
      <c r="H51" s="137">
        <v>52</v>
      </c>
      <c r="I51" s="137" t="s">
        <v>165</v>
      </c>
      <c r="J51" s="137">
        <v>254</v>
      </c>
      <c r="K51" s="141">
        <v>488.7</v>
      </c>
      <c r="L51" s="137" t="s">
        <v>2924</v>
      </c>
      <c r="M51" s="135" t="str">
        <f t="shared" si="0"/>
        <v>BRASIL MINERACAOUA SAO LUISPÓ DE BRITA</v>
      </c>
      <c r="N51" s="135" t="s">
        <v>224</v>
      </c>
    </row>
    <row r="52" spans="2:14" x14ac:dyDescent="0.25">
      <c r="B52" s="134">
        <v>46146</v>
      </c>
      <c r="C52" s="138">
        <v>1</v>
      </c>
      <c r="D52" s="138" t="s">
        <v>179</v>
      </c>
      <c r="E52" s="135" t="s">
        <v>2863</v>
      </c>
      <c r="F52" s="135" t="s">
        <v>166</v>
      </c>
      <c r="G52" s="135" t="s">
        <v>164</v>
      </c>
      <c r="H52" s="135">
        <v>58</v>
      </c>
      <c r="I52" s="135" t="s">
        <v>175</v>
      </c>
      <c r="J52" s="135">
        <v>2676</v>
      </c>
      <c r="K52" s="140">
        <v>574.27</v>
      </c>
      <c r="L52" s="135" t="s">
        <v>2925</v>
      </c>
      <c r="M52" s="135" t="str">
        <f t="shared" si="0"/>
        <v>GRANORTEUA SAO LUISBRITA 0</v>
      </c>
      <c r="N52" s="135" t="s">
        <v>224</v>
      </c>
    </row>
    <row r="53" spans="2:14" x14ac:dyDescent="0.25">
      <c r="B53" s="136">
        <v>46146</v>
      </c>
      <c r="C53" s="139">
        <v>1</v>
      </c>
      <c r="D53" s="139" t="s">
        <v>179</v>
      </c>
      <c r="E53" s="137" t="s">
        <v>2863</v>
      </c>
      <c r="F53" s="137" t="s">
        <v>166</v>
      </c>
      <c r="G53" s="137" t="s">
        <v>111</v>
      </c>
      <c r="H53" s="137">
        <v>79</v>
      </c>
      <c r="I53" s="137" t="s">
        <v>169</v>
      </c>
      <c r="J53" s="137">
        <v>2714</v>
      </c>
      <c r="K53" s="141">
        <v>793.3</v>
      </c>
      <c r="L53" s="137" t="s">
        <v>2926</v>
      </c>
      <c r="M53" s="135" t="str">
        <f t="shared" si="0"/>
        <v>GRANORTEBEIRA RIOPULMÃOZINHO</v>
      </c>
      <c r="N53" s="137" t="s">
        <v>111</v>
      </c>
    </row>
    <row r="54" spans="2:14" x14ac:dyDescent="0.25">
      <c r="B54" s="134">
        <v>46146</v>
      </c>
      <c r="C54" s="138">
        <v>1</v>
      </c>
      <c r="D54" s="138" t="s">
        <v>183</v>
      </c>
      <c r="E54" s="135" t="s">
        <v>184</v>
      </c>
      <c r="F54" s="135" t="s">
        <v>163</v>
      </c>
      <c r="G54" s="135" t="s">
        <v>164</v>
      </c>
      <c r="H54" s="135">
        <v>52</v>
      </c>
      <c r="I54" s="135" t="s">
        <v>175</v>
      </c>
      <c r="J54" s="135">
        <v>272</v>
      </c>
      <c r="K54" s="140">
        <v>523.33000000000004</v>
      </c>
      <c r="L54" s="135" t="s">
        <v>2927</v>
      </c>
      <c r="M54" s="135" t="str">
        <f t="shared" si="0"/>
        <v>BRASIL MINERACAOUA SAO LUISBRITA 0</v>
      </c>
      <c r="N54" s="135" t="s">
        <v>224</v>
      </c>
    </row>
    <row r="55" spans="2:14" x14ac:dyDescent="0.25">
      <c r="B55" s="136">
        <v>46146</v>
      </c>
      <c r="C55" s="139">
        <v>1</v>
      </c>
      <c r="D55" s="139" t="s">
        <v>167</v>
      </c>
      <c r="E55" s="137" t="s">
        <v>168</v>
      </c>
      <c r="F55" s="137" t="s">
        <v>166</v>
      </c>
      <c r="G55" s="137" t="s">
        <v>111</v>
      </c>
      <c r="H55" s="137">
        <v>79</v>
      </c>
      <c r="I55" s="137" t="s">
        <v>172</v>
      </c>
      <c r="J55" s="137">
        <v>268</v>
      </c>
      <c r="K55" s="141">
        <v>783.36</v>
      </c>
      <c r="L55" s="137" t="s">
        <v>2928</v>
      </c>
      <c r="M55" s="135" t="str">
        <f t="shared" si="0"/>
        <v>GRANORTEBEIRA RIOBICA CORRIDA</v>
      </c>
      <c r="N55" s="137" t="s">
        <v>111</v>
      </c>
    </row>
    <row r="56" spans="2:14" x14ac:dyDescent="0.25">
      <c r="B56" s="134">
        <v>46146</v>
      </c>
      <c r="C56" s="138">
        <v>1</v>
      </c>
      <c r="D56" s="138" t="s">
        <v>186</v>
      </c>
      <c r="E56" s="135" t="s">
        <v>187</v>
      </c>
      <c r="F56" s="135" t="s">
        <v>291</v>
      </c>
      <c r="G56" s="135" t="s">
        <v>2595</v>
      </c>
      <c r="H56" s="135">
        <v>203</v>
      </c>
      <c r="I56" s="135" t="s">
        <v>185</v>
      </c>
      <c r="J56" s="135">
        <v>720</v>
      </c>
      <c r="K56" s="140">
        <v>5407.92</v>
      </c>
      <c r="L56" s="135" t="s">
        <v>2929</v>
      </c>
      <c r="M56" s="135" t="str">
        <f t="shared" si="0"/>
        <v>MINERADORA PORTO FRANCO - MAVALE - PONTE DO 40 ACAILANDIARACHÃOZINHO</v>
      </c>
      <c r="N56" s="135" t="s">
        <v>15</v>
      </c>
    </row>
    <row r="57" spans="2:14" x14ac:dyDescent="0.25">
      <c r="B57" s="136">
        <v>46147</v>
      </c>
      <c r="C57" s="139">
        <v>1</v>
      </c>
      <c r="D57" s="139" t="s">
        <v>183</v>
      </c>
      <c r="E57" s="137" t="s">
        <v>184</v>
      </c>
      <c r="F57" s="137" t="s">
        <v>163</v>
      </c>
      <c r="G57" s="137" t="s">
        <v>164</v>
      </c>
      <c r="H57" s="137">
        <v>52</v>
      </c>
      <c r="I57" s="137" t="s">
        <v>175</v>
      </c>
      <c r="J57" s="137">
        <v>2756</v>
      </c>
      <c r="K57" s="141">
        <v>530.25</v>
      </c>
      <c r="L57" s="137" t="s">
        <v>2930</v>
      </c>
      <c r="M57" s="135" t="str">
        <f t="shared" si="0"/>
        <v>BRASIL MINERACAOUA SAO LUISBRITA 0</v>
      </c>
      <c r="N57" s="135" t="s">
        <v>224</v>
      </c>
    </row>
    <row r="58" spans="2:14" x14ac:dyDescent="0.25">
      <c r="B58" s="134">
        <v>46147</v>
      </c>
      <c r="C58" s="138">
        <v>1</v>
      </c>
      <c r="D58" s="138" t="s">
        <v>167</v>
      </c>
      <c r="E58" s="135" t="s">
        <v>168</v>
      </c>
      <c r="F58" s="135" t="s">
        <v>166</v>
      </c>
      <c r="G58" s="135" t="s">
        <v>111</v>
      </c>
      <c r="H58" s="135">
        <v>79</v>
      </c>
      <c r="I58" s="135" t="s">
        <v>169</v>
      </c>
      <c r="J58" s="135">
        <v>2618</v>
      </c>
      <c r="K58" s="140">
        <v>765.24</v>
      </c>
      <c r="L58" s="135" t="s">
        <v>2931</v>
      </c>
      <c r="M58" s="135" t="str">
        <f t="shared" si="0"/>
        <v>GRANORTEBEIRA RIOPULMÃOZINHO</v>
      </c>
      <c r="N58" s="135" t="s">
        <v>111</v>
      </c>
    </row>
    <row r="59" spans="2:14" x14ac:dyDescent="0.25">
      <c r="B59" s="136">
        <v>46147</v>
      </c>
      <c r="C59" s="139">
        <v>1</v>
      </c>
      <c r="D59" s="139" t="s">
        <v>202</v>
      </c>
      <c r="E59" s="137" t="s">
        <v>214</v>
      </c>
      <c r="F59" s="137" t="s">
        <v>163</v>
      </c>
      <c r="G59" s="137" t="s">
        <v>164</v>
      </c>
      <c r="H59" s="137">
        <v>52</v>
      </c>
      <c r="I59" s="137" t="s">
        <v>165</v>
      </c>
      <c r="J59" s="137">
        <v>6862</v>
      </c>
      <c r="K59" s="141">
        <v>1320.25</v>
      </c>
      <c r="L59" s="137" t="s">
        <v>2932</v>
      </c>
      <c r="M59" s="135" t="str">
        <f t="shared" si="0"/>
        <v>BRASIL MINERACAOUA SAO LUISPÓ DE BRITA</v>
      </c>
      <c r="N59" s="135" t="s">
        <v>224</v>
      </c>
    </row>
    <row r="60" spans="2:14" x14ac:dyDescent="0.25">
      <c r="B60" s="134">
        <v>46147</v>
      </c>
      <c r="C60" s="138">
        <v>1</v>
      </c>
      <c r="D60" s="138" t="s">
        <v>2866</v>
      </c>
      <c r="E60" s="135" t="s">
        <v>281</v>
      </c>
      <c r="F60" s="135" t="s">
        <v>163</v>
      </c>
      <c r="G60" s="135" t="s">
        <v>164</v>
      </c>
      <c r="H60" s="135">
        <v>52</v>
      </c>
      <c r="I60" s="135" t="s">
        <v>165</v>
      </c>
      <c r="J60" s="135">
        <v>2666</v>
      </c>
      <c r="K60" s="140">
        <v>512.94000000000005</v>
      </c>
      <c r="L60" s="135" t="s">
        <v>2933</v>
      </c>
      <c r="M60" s="135" t="str">
        <f t="shared" si="0"/>
        <v>BRASIL MINERACAOUA SAO LUISPÓ DE BRITA</v>
      </c>
      <c r="N60" s="135" t="s">
        <v>224</v>
      </c>
    </row>
    <row r="61" spans="2:14" x14ac:dyDescent="0.25">
      <c r="B61" s="136">
        <v>46147</v>
      </c>
      <c r="C61" s="139">
        <v>1</v>
      </c>
      <c r="D61" s="139" t="s">
        <v>199</v>
      </c>
      <c r="E61" s="137" t="s">
        <v>180</v>
      </c>
      <c r="F61" s="137" t="s">
        <v>166</v>
      </c>
      <c r="G61" s="137" t="s">
        <v>111</v>
      </c>
      <c r="H61" s="137">
        <v>79</v>
      </c>
      <c r="I61" s="137" t="s">
        <v>169</v>
      </c>
      <c r="J61" s="137">
        <v>2972</v>
      </c>
      <c r="K61" s="141">
        <v>868.72</v>
      </c>
      <c r="L61" s="137" t="s">
        <v>2934</v>
      </c>
      <c r="M61" s="135" t="str">
        <f t="shared" si="0"/>
        <v>GRANORTEBEIRA RIOPULMÃOZINHO</v>
      </c>
      <c r="N61" s="137" t="s">
        <v>111</v>
      </c>
    </row>
    <row r="62" spans="2:14" x14ac:dyDescent="0.25">
      <c r="B62" s="134">
        <v>46147</v>
      </c>
      <c r="C62" s="138">
        <v>1</v>
      </c>
      <c r="D62" s="138" t="s">
        <v>2866</v>
      </c>
      <c r="E62" s="135" t="s">
        <v>281</v>
      </c>
      <c r="F62" s="135" t="s">
        <v>163</v>
      </c>
      <c r="G62" s="135" t="s">
        <v>164</v>
      </c>
      <c r="H62" s="135">
        <v>52</v>
      </c>
      <c r="I62" s="135" t="s">
        <v>165</v>
      </c>
      <c r="J62" s="135">
        <v>2538</v>
      </c>
      <c r="K62" s="140">
        <v>488.31</v>
      </c>
      <c r="L62" s="135" t="s">
        <v>2935</v>
      </c>
      <c r="M62" s="135" t="str">
        <f t="shared" si="0"/>
        <v>BRASIL MINERACAOUA SAO LUISPÓ DE BRITA</v>
      </c>
      <c r="N62" s="135" t="s">
        <v>224</v>
      </c>
    </row>
    <row r="63" spans="2:14" x14ac:dyDescent="0.25">
      <c r="B63" s="136">
        <v>46147</v>
      </c>
      <c r="C63" s="139">
        <v>1</v>
      </c>
      <c r="D63" s="139" t="s">
        <v>208</v>
      </c>
      <c r="E63" s="137" t="s">
        <v>209</v>
      </c>
      <c r="F63" s="137" t="s">
        <v>163</v>
      </c>
      <c r="G63" s="137" t="s">
        <v>164</v>
      </c>
      <c r="H63" s="137">
        <v>52</v>
      </c>
      <c r="I63" s="137" t="s">
        <v>165</v>
      </c>
      <c r="J63" s="137">
        <v>460</v>
      </c>
      <c r="K63" s="141">
        <v>885.04</v>
      </c>
      <c r="L63" s="137" t="s">
        <v>2936</v>
      </c>
      <c r="M63" s="135" t="str">
        <f t="shared" si="0"/>
        <v>BRASIL MINERACAOUA SAO LUISPÓ DE BRITA</v>
      </c>
      <c r="N63" s="135" t="s">
        <v>224</v>
      </c>
    </row>
    <row r="64" spans="2:14" x14ac:dyDescent="0.25">
      <c r="B64" s="134">
        <v>46147</v>
      </c>
      <c r="C64" s="138">
        <v>1</v>
      </c>
      <c r="D64" s="138" t="s">
        <v>202</v>
      </c>
      <c r="E64" s="135" t="s">
        <v>214</v>
      </c>
      <c r="F64" s="135" t="s">
        <v>163</v>
      </c>
      <c r="G64" s="135" t="s">
        <v>164</v>
      </c>
      <c r="H64" s="135">
        <v>52</v>
      </c>
      <c r="I64" s="135" t="s">
        <v>165</v>
      </c>
      <c r="J64" s="135">
        <v>4966</v>
      </c>
      <c r="K64" s="140">
        <v>955.46</v>
      </c>
      <c r="L64" s="135" t="s">
        <v>2937</v>
      </c>
      <c r="M64" s="135" t="str">
        <f t="shared" si="0"/>
        <v>BRASIL MINERACAOUA SAO LUISPÓ DE BRITA</v>
      </c>
      <c r="N64" s="135" t="s">
        <v>224</v>
      </c>
    </row>
    <row r="65" spans="2:14" x14ac:dyDescent="0.25">
      <c r="B65" s="136">
        <v>46147</v>
      </c>
      <c r="C65" s="139">
        <v>1</v>
      </c>
      <c r="D65" s="139" t="s">
        <v>167</v>
      </c>
      <c r="E65" s="137" t="s">
        <v>168</v>
      </c>
      <c r="F65" s="137" t="s">
        <v>166</v>
      </c>
      <c r="G65" s="137" t="s">
        <v>111</v>
      </c>
      <c r="H65" s="137">
        <v>79</v>
      </c>
      <c r="I65" s="137" t="s">
        <v>169</v>
      </c>
      <c r="J65" s="137">
        <v>2588</v>
      </c>
      <c r="K65" s="141">
        <v>756.47</v>
      </c>
      <c r="L65" s="137" t="s">
        <v>2938</v>
      </c>
      <c r="M65" s="135" t="str">
        <f t="shared" si="0"/>
        <v>GRANORTEBEIRA RIOPULMÃOZINHO</v>
      </c>
      <c r="N65" s="137" t="s">
        <v>111</v>
      </c>
    </row>
    <row r="66" spans="2:14" x14ac:dyDescent="0.25">
      <c r="B66" s="134">
        <v>46147</v>
      </c>
      <c r="C66" s="138">
        <v>1</v>
      </c>
      <c r="D66" s="138" t="s">
        <v>196</v>
      </c>
      <c r="E66" s="135" t="s">
        <v>197</v>
      </c>
      <c r="F66" s="135" t="s">
        <v>276</v>
      </c>
      <c r="G66" s="135" t="s">
        <v>2033</v>
      </c>
      <c r="H66" s="135">
        <v>323</v>
      </c>
      <c r="I66" s="135" t="s">
        <v>172</v>
      </c>
      <c r="J66" s="135">
        <v>6822</v>
      </c>
      <c r="K66" s="140">
        <v>7051.22</v>
      </c>
      <c r="L66" s="135" t="s">
        <v>2939</v>
      </c>
      <c r="M66" s="135" t="str">
        <f t="shared" si="0"/>
        <v>MINERADORA PORTO FRANCOVALE KM 386BICA CORRIDA</v>
      </c>
      <c r="N66" s="135" t="s">
        <v>15</v>
      </c>
    </row>
    <row r="67" spans="2:14" x14ac:dyDescent="0.25">
      <c r="B67" s="136">
        <v>46147</v>
      </c>
      <c r="C67" s="139">
        <v>1</v>
      </c>
      <c r="D67" s="139" t="s">
        <v>2866</v>
      </c>
      <c r="E67" s="137" t="s">
        <v>281</v>
      </c>
      <c r="F67" s="137" t="s">
        <v>166</v>
      </c>
      <c r="G67" s="137" t="s">
        <v>164</v>
      </c>
      <c r="H67" s="137">
        <v>58</v>
      </c>
      <c r="I67" s="137" t="s">
        <v>165</v>
      </c>
      <c r="J67" s="137">
        <v>2676</v>
      </c>
      <c r="K67" s="141">
        <v>574.27</v>
      </c>
      <c r="L67" s="137" t="s">
        <v>2940</v>
      </c>
      <c r="M67" s="135" t="str">
        <f t="shared" si="0"/>
        <v>GRANORTEUA SAO LUISPÓ DE BRITA</v>
      </c>
      <c r="N67" s="135" t="s">
        <v>224</v>
      </c>
    </row>
    <row r="68" spans="2:14" x14ac:dyDescent="0.25">
      <c r="B68" s="134">
        <v>46147</v>
      </c>
      <c r="C68" s="138">
        <v>1</v>
      </c>
      <c r="D68" s="138" t="s">
        <v>167</v>
      </c>
      <c r="E68" s="135" t="s">
        <v>168</v>
      </c>
      <c r="F68" s="135" t="s">
        <v>166</v>
      </c>
      <c r="G68" s="135" t="s">
        <v>164</v>
      </c>
      <c r="H68" s="135">
        <v>58</v>
      </c>
      <c r="I68" s="135" t="s">
        <v>175</v>
      </c>
      <c r="J68" s="135">
        <v>2624</v>
      </c>
      <c r="K68" s="140">
        <v>563.11</v>
      </c>
      <c r="L68" s="135" t="s">
        <v>2941</v>
      </c>
      <c r="M68" s="135" t="str">
        <f t="shared" si="0"/>
        <v>GRANORTEUA SAO LUISBRITA 0</v>
      </c>
      <c r="N68" s="135" t="s">
        <v>224</v>
      </c>
    </row>
    <row r="69" spans="2:14" x14ac:dyDescent="0.25">
      <c r="B69" s="136">
        <v>46147</v>
      </c>
      <c r="C69" s="139">
        <v>1</v>
      </c>
      <c r="D69" s="139" t="s">
        <v>286</v>
      </c>
      <c r="E69" s="137" t="s">
        <v>506</v>
      </c>
      <c r="F69" s="137" t="s">
        <v>163</v>
      </c>
      <c r="G69" s="137" t="s">
        <v>164</v>
      </c>
      <c r="H69" s="137">
        <v>52</v>
      </c>
      <c r="I69" s="137" t="s">
        <v>165</v>
      </c>
      <c r="J69" s="137">
        <v>447</v>
      </c>
      <c r="K69" s="141">
        <v>860.03</v>
      </c>
      <c r="L69" s="137" t="s">
        <v>2942</v>
      </c>
      <c r="M69" s="135" t="str">
        <f t="shared" ref="M69:M132" si="1">CONCATENATE(F69&amp;G69&amp;I69)</f>
        <v>BRASIL MINERACAOUA SAO LUISPÓ DE BRITA</v>
      </c>
      <c r="N69" s="135" t="s">
        <v>224</v>
      </c>
    </row>
    <row r="70" spans="2:14" x14ac:dyDescent="0.25">
      <c r="B70" s="134">
        <v>46147</v>
      </c>
      <c r="C70" s="138">
        <v>1</v>
      </c>
      <c r="D70" s="138" t="s">
        <v>286</v>
      </c>
      <c r="E70" s="135" t="s">
        <v>506</v>
      </c>
      <c r="F70" s="135" t="s">
        <v>166</v>
      </c>
      <c r="G70" s="135" t="s">
        <v>164</v>
      </c>
      <c r="H70" s="135">
        <v>58</v>
      </c>
      <c r="I70" s="135" t="s">
        <v>165</v>
      </c>
      <c r="J70" s="135">
        <v>4746</v>
      </c>
      <c r="K70" s="140">
        <v>1018.49</v>
      </c>
      <c r="L70" s="135" t="s">
        <v>2943</v>
      </c>
      <c r="M70" s="135" t="str">
        <f t="shared" si="1"/>
        <v>GRANORTEUA SAO LUISPÓ DE BRITA</v>
      </c>
      <c r="N70" s="135" t="s">
        <v>224</v>
      </c>
    </row>
    <row r="71" spans="2:14" x14ac:dyDescent="0.25">
      <c r="B71" s="136">
        <v>46147</v>
      </c>
      <c r="C71" s="139">
        <v>1</v>
      </c>
      <c r="D71" s="139" t="s">
        <v>202</v>
      </c>
      <c r="E71" s="137" t="s">
        <v>214</v>
      </c>
      <c r="F71" s="137" t="s">
        <v>163</v>
      </c>
      <c r="G71" s="137" t="s">
        <v>164</v>
      </c>
      <c r="H71" s="137">
        <v>52</v>
      </c>
      <c r="I71" s="137" t="s">
        <v>175</v>
      </c>
      <c r="J71" s="137">
        <v>5016</v>
      </c>
      <c r="K71" s="141">
        <v>965.08</v>
      </c>
      <c r="L71" s="137" t="s">
        <v>2944</v>
      </c>
      <c r="M71" s="135" t="str">
        <f t="shared" si="1"/>
        <v>BRASIL MINERACAOUA SAO LUISBRITA 0</v>
      </c>
      <c r="N71" s="135" t="s">
        <v>224</v>
      </c>
    </row>
    <row r="72" spans="2:14" x14ac:dyDescent="0.25">
      <c r="B72" s="134">
        <v>46147</v>
      </c>
      <c r="C72" s="138">
        <v>1</v>
      </c>
      <c r="D72" s="138" t="s">
        <v>192</v>
      </c>
      <c r="E72" s="135" t="s">
        <v>287</v>
      </c>
      <c r="F72" s="135" t="s">
        <v>2868</v>
      </c>
      <c r="G72" s="135" t="s">
        <v>2871</v>
      </c>
      <c r="H72" s="135">
        <v>70</v>
      </c>
      <c r="I72" s="135" t="s">
        <v>2869</v>
      </c>
      <c r="J72" s="135">
        <v>52548</v>
      </c>
      <c r="K72" s="140">
        <v>1360.99</v>
      </c>
      <c r="L72" s="135" t="s">
        <v>2945</v>
      </c>
      <c r="M72" s="135" t="str">
        <f t="shared" si="1"/>
        <v>FAZENDA PLATAFORMASILO PRODUCERESSOJA</v>
      </c>
      <c r="N72" s="135" t="s">
        <v>3729</v>
      </c>
    </row>
    <row r="73" spans="2:14" x14ac:dyDescent="0.25">
      <c r="B73" s="136">
        <v>46147</v>
      </c>
      <c r="C73" s="139">
        <v>1</v>
      </c>
      <c r="D73" s="139" t="s">
        <v>1129</v>
      </c>
      <c r="E73" s="137" t="s">
        <v>2396</v>
      </c>
      <c r="F73" s="137" t="s">
        <v>166</v>
      </c>
      <c r="G73" s="137" t="s">
        <v>111</v>
      </c>
      <c r="H73" s="137">
        <v>79</v>
      </c>
      <c r="I73" s="137" t="s">
        <v>169</v>
      </c>
      <c r="J73" s="137">
        <v>2662</v>
      </c>
      <c r="K73" s="141">
        <v>778.1</v>
      </c>
      <c r="L73" s="137" t="s">
        <v>2946</v>
      </c>
      <c r="M73" s="135" t="str">
        <f t="shared" si="1"/>
        <v>GRANORTEBEIRA RIOPULMÃOZINHO</v>
      </c>
      <c r="N73" s="137" t="s">
        <v>111</v>
      </c>
    </row>
    <row r="74" spans="2:14" x14ac:dyDescent="0.25">
      <c r="B74" s="134">
        <v>46147</v>
      </c>
      <c r="C74" s="138">
        <v>1</v>
      </c>
      <c r="D74" s="138" t="s">
        <v>1129</v>
      </c>
      <c r="E74" s="135" t="s">
        <v>2396</v>
      </c>
      <c r="F74" s="135" t="s">
        <v>166</v>
      </c>
      <c r="G74" s="135" t="s">
        <v>111</v>
      </c>
      <c r="H74" s="135">
        <v>79</v>
      </c>
      <c r="I74" s="135" t="s">
        <v>169</v>
      </c>
      <c r="J74" s="135">
        <v>2754</v>
      </c>
      <c r="K74" s="140">
        <v>804.99</v>
      </c>
      <c r="L74" s="135" t="s">
        <v>2947</v>
      </c>
      <c r="M74" s="135" t="str">
        <f t="shared" si="1"/>
        <v>GRANORTEBEIRA RIOPULMÃOZINHO</v>
      </c>
      <c r="N74" s="135" t="s">
        <v>111</v>
      </c>
    </row>
    <row r="75" spans="2:14" x14ac:dyDescent="0.25">
      <c r="B75" s="136">
        <v>46147</v>
      </c>
      <c r="C75" s="139">
        <v>1</v>
      </c>
      <c r="D75" s="139" t="s">
        <v>1129</v>
      </c>
      <c r="E75" s="137" t="s">
        <v>2396</v>
      </c>
      <c r="F75" s="137" t="s">
        <v>166</v>
      </c>
      <c r="G75" s="137" t="s">
        <v>164</v>
      </c>
      <c r="H75" s="137">
        <v>58</v>
      </c>
      <c r="I75" s="137" t="s">
        <v>175</v>
      </c>
      <c r="J75" s="137">
        <v>2724</v>
      </c>
      <c r="K75" s="141">
        <v>584.57000000000005</v>
      </c>
      <c r="L75" s="137" t="s">
        <v>2948</v>
      </c>
      <c r="M75" s="135" t="str">
        <f t="shared" si="1"/>
        <v>GRANORTEUA SAO LUISBRITA 0</v>
      </c>
      <c r="N75" s="135" t="s">
        <v>224</v>
      </c>
    </row>
    <row r="76" spans="2:14" x14ac:dyDescent="0.25">
      <c r="B76" s="134">
        <v>46147</v>
      </c>
      <c r="C76" s="138">
        <v>1</v>
      </c>
      <c r="D76" s="138" t="s">
        <v>188</v>
      </c>
      <c r="E76" s="135" t="s">
        <v>189</v>
      </c>
      <c r="F76" s="135" t="s">
        <v>276</v>
      </c>
      <c r="G76" s="135" t="s">
        <v>2033</v>
      </c>
      <c r="H76" s="135">
        <v>323</v>
      </c>
      <c r="I76" s="135" t="s">
        <v>172</v>
      </c>
      <c r="J76" s="135">
        <v>697</v>
      </c>
      <c r="K76" s="140">
        <v>7204.19</v>
      </c>
      <c r="L76" s="135" t="s">
        <v>2949</v>
      </c>
      <c r="M76" s="135" t="str">
        <f t="shared" si="1"/>
        <v>MINERADORA PORTO FRANCOVALE KM 386BICA CORRIDA</v>
      </c>
      <c r="N76" s="135" t="s">
        <v>15</v>
      </c>
    </row>
    <row r="77" spans="2:14" x14ac:dyDescent="0.25">
      <c r="B77" s="136">
        <v>46147</v>
      </c>
      <c r="C77" s="139">
        <v>1</v>
      </c>
      <c r="D77" s="139" t="s">
        <v>210</v>
      </c>
      <c r="E77" s="137" t="s">
        <v>211</v>
      </c>
      <c r="F77" s="137" t="s">
        <v>2868</v>
      </c>
      <c r="G77" s="137" t="s">
        <v>2871</v>
      </c>
      <c r="H77" s="137">
        <v>70</v>
      </c>
      <c r="I77" s="137" t="s">
        <v>2869</v>
      </c>
      <c r="J77" s="137">
        <v>49649</v>
      </c>
      <c r="K77" s="141">
        <v>1285.9100000000001</v>
      </c>
      <c r="L77" s="137" t="s">
        <v>2950</v>
      </c>
      <c r="M77" s="135" t="str">
        <f t="shared" si="1"/>
        <v>FAZENDA PLATAFORMASILO PRODUCERESSOJA</v>
      </c>
      <c r="N77" s="135" t="s">
        <v>3729</v>
      </c>
    </row>
    <row r="78" spans="2:14" x14ac:dyDescent="0.25">
      <c r="B78" s="134">
        <v>46147</v>
      </c>
      <c r="C78" s="138">
        <v>1</v>
      </c>
      <c r="D78" s="138" t="s">
        <v>183</v>
      </c>
      <c r="E78" s="135" t="s">
        <v>184</v>
      </c>
      <c r="F78" s="135" t="s">
        <v>163</v>
      </c>
      <c r="G78" s="135" t="s">
        <v>164</v>
      </c>
      <c r="H78" s="135">
        <v>52</v>
      </c>
      <c r="I78" s="135" t="s">
        <v>175</v>
      </c>
      <c r="J78" s="135">
        <v>2648</v>
      </c>
      <c r="K78" s="140">
        <v>509.48</v>
      </c>
      <c r="L78" s="135" t="s">
        <v>2951</v>
      </c>
      <c r="M78" s="135" t="str">
        <f t="shared" si="1"/>
        <v>BRASIL MINERACAOUA SAO LUISBRITA 0</v>
      </c>
      <c r="N78" s="135" t="s">
        <v>224</v>
      </c>
    </row>
    <row r="79" spans="2:14" x14ac:dyDescent="0.25">
      <c r="B79" s="136">
        <v>46147</v>
      </c>
      <c r="C79" s="139">
        <v>1</v>
      </c>
      <c r="D79" s="139" t="s">
        <v>183</v>
      </c>
      <c r="E79" s="137" t="s">
        <v>184</v>
      </c>
      <c r="F79" s="137" t="s">
        <v>163</v>
      </c>
      <c r="G79" s="137" t="s">
        <v>164</v>
      </c>
      <c r="H79" s="137">
        <v>52</v>
      </c>
      <c r="I79" s="137" t="s">
        <v>175</v>
      </c>
      <c r="J79" s="137">
        <v>2694</v>
      </c>
      <c r="K79" s="141">
        <v>518.33000000000004</v>
      </c>
      <c r="L79" s="137" t="s">
        <v>2952</v>
      </c>
      <c r="M79" s="135" t="str">
        <f t="shared" si="1"/>
        <v>BRASIL MINERACAOUA SAO LUISBRITA 0</v>
      </c>
      <c r="N79" s="135" t="s">
        <v>224</v>
      </c>
    </row>
    <row r="80" spans="2:14" x14ac:dyDescent="0.25">
      <c r="B80" s="134">
        <v>46147</v>
      </c>
      <c r="C80" s="138">
        <v>1</v>
      </c>
      <c r="D80" s="138" t="s">
        <v>183</v>
      </c>
      <c r="E80" s="135" t="s">
        <v>184</v>
      </c>
      <c r="F80" s="135" t="s">
        <v>166</v>
      </c>
      <c r="G80" s="135" t="s">
        <v>111</v>
      </c>
      <c r="H80" s="135">
        <v>79</v>
      </c>
      <c r="I80" s="135" t="s">
        <v>169</v>
      </c>
      <c r="J80" s="135">
        <v>255</v>
      </c>
      <c r="K80" s="140">
        <v>745.37</v>
      </c>
      <c r="L80" s="135" t="s">
        <v>2953</v>
      </c>
      <c r="M80" s="135" t="str">
        <f t="shared" si="1"/>
        <v>GRANORTEBEIRA RIOPULMÃOZINHO</v>
      </c>
      <c r="N80" s="135" t="s">
        <v>111</v>
      </c>
    </row>
    <row r="81" spans="2:14" x14ac:dyDescent="0.25">
      <c r="B81" s="136">
        <v>46147</v>
      </c>
      <c r="C81" s="139">
        <v>1</v>
      </c>
      <c r="D81" s="139" t="s">
        <v>179</v>
      </c>
      <c r="E81" s="137" t="s">
        <v>2863</v>
      </c>
      <c r="F81" s="137" t="s">
        <v>166</v>
      </c>
      <c r="G81" s="137" t="s">
        <v>111</v>
      </c>
      <c r="H81" s="137">
        <v>79</v>
      </c>
      <c r="I81" s="137" t="s">
        <v>169</v>
      </c>
      <c r="J81" s="137">
        <v>2752</v>
      </c>
      <c r="K81" s="141">
        <v>804.41</v>
      </c>
      <c r="L81" s="137" t="s">
        <v>2954</v>
      </c>
      <c r="M81" s="135" t="str">
        <f t="shared" si="1"/>
        <v>GRANORTEBEIRA RIOPULMÃOZINHO</v>
      </c>
      <c r="N81" s="137" t="s">
        <v>111</v>
      </c>
    </row>
    <row r="82" spans="2:14" x14ac:dyDescent="0.25">
      <c r="B82" s="134">
        <v>46147</v>
      </c>
      <c r="C82" s="138">
        <v>1</v>
      </c>
      <c r="D82" s="138" t="s">
        <v>179</v>
      </c>
      <c r="E82" s="135" t="s">
        <v>2863</v>
      </c>
      <c r="F82" s="135" t="s">
        <v>166</v>
      </c>
      <c r="G82" s="135" t="s">
        <v>111</v>
      </c>
      <c r="H82" s="135">
        <v>79</v>
      </c>
      <c r="I82" s="135" t="s">
        <v>169</v>
      </c>
      <c r="J82" s="135">
        <v>2694</v>
      </c>
      <c r="K82" s="140">
        <v>787.46</v>
      </c>
      <c r="L82" s="135" t="s">
        <v>2955</v>
      </c>
      <c r="M82" s="135" t="str">
        <f t="shared" si="1"/>
        <v>GRANORTEBEIRA RIOPULMÃOZINHO</v>
      </c>
      <c r="N82" s="135" t="s">
        <v>111</v>
      </c>
    </row>
    <row r="83" spans="2:14" x14ac:dyDescent="0.25">
      <c r="B83" s="136">
        <v>46147</v>
      </c>
      <c r="C83" s="139">
        <v>1</v>
      </c>
      <c r="D83" s="139" t="s">
        <v>193</v>
      </c>
      <c r="E83" s="137" t="s">
        <v>285</v>
      </c>
      <c r="F83" s="137" t="s">
        <v>166</v>
      </c>
      <c r="G83" s="137" t="s">
        <v>164</v>
      </c>
      <c r="H83" s="137">
        <v>58</v>
      </c>
      <c r="I83" s="137" t="s">
        <v>165</v>
      </c>
      <c r="J83" s="137">
        <v>2612</v>
      </c>
      <c r="K83" s="141">
        <v>560.54</v>
      </c>
      <c r="L83" s="137" t="s">
        <v>2956</v>
      </c>
      <c r="M83" s="135" t="str">
        <f t="shared" si="1"/>
        <v>GRANORTEUA SAO LUISPÓ DE BRITA</v>
      </c>
      <c r="N83" s="135" t="s">
        <v>224</v>
      </c>
    </row>
    <row r="84" spans="2:14" x14ac:dyDescent="0.25">
      <c r="B84" s="134">
        <v>46147</v>
      </c>
      <c r="C84" s="138">
        <v>1</v>
      </c>
      <c r="D84" s="138" t="s">
        <v>193</v>
      </c>
      <c r="E84" s="135" t="s">
        <v>285</v>
      </c>
      <c r="F84" s="135" t="s">
        <v>166</v>
      </c>
      <c r="G84" s="135" t="s">
        <v>111</v>
      </c>
      <c r="H84" s="135">
        <v>79</v>
      </c>
      <c r="I84" s="135" t="s">
        <v>169</v>
      </c>
      <c r="J84" s="135">
        <v>2678</v>
      </c>
      <c r="K84" s="140">
        <v>782.78</v>
      </c>
      <c r="L84" s="135" t="s">
        <v>2957</v>
      </c>
      <c r="M84" s="135" t="str">
        <f t="shared" si="1"/>
        <v>GRANORTEBEIRA RIOPULMÃOZINHO</v>
      </c>
      <c r="N84" s="135" t="s">
        <v>111</v>
      </c>
    </row>
    <row r="85" spans="2:14" x14ac:dyDescent="0.25">
      <c r="B85" s="136">
        <v>46147</v>
      </c>
      <c r="C85" s="139">
        <v>1</v>
      </c>
      <c r="D85" s="139" t="s">
        <v>200</v>
      </c>
      <c r="E85" s="137" t="s">
        <v>201</v>
      </c>
      <c r="F85" s="137" t="s">
        <v>163</v>
      </c>
      <c r="G85" s="137" t="s">
        <v>164</v>
      </c>
      <c r="H85" s="137">
        <v>52</v>
      </c>
      <c r="I85" s="137" t="s">
        <v>165</v>
      </c>
      <c r="J85" s="137">
        <v>4542</v>
      </c>
      <c r="K85" s="141">
        <v>873.88</v>
      </c>
      <c r="L85" s="137" t="s">
        <v>2958</v>
      </c>
      <c r="M85" s="135" t="str">
        <f t="shared" si="1"/>
        <v>BRASIL MINERACAOUA SAO LUISPÓ DE BRITA</v>
      </c>
      <c r="N85" s="135" t="s">
        <v>224</v>
      </c>
    </row>
    <row r="86" spans="2:14" x14ac:dyDescent="0.25">
      <c r="B86" s="134">
        <v>46147</v>
      </c>
      <c r="C86" s="138">
        <v>1</v>
      </c>
      <c r="D86" s="138" t="s">
        <v>1948</v>
      </c>
      <c r="E86" s="135" t="s">
        <v>1949</v>
      </c>
      <c r="F86" s="135" t="s">
        <v>2868</v>
      </c>
      <c r="G86" s="135" t="s">
        <v>2871</v>
      </c>
      <c r="H86" s="135">
        <v>70</v>
      </c>
      <c r="I86" s="135" t="s">
        <v>2869</v>
      </c>
      <c r="J86" s="135">
        <v>515</v>
      </c>
      <c r="K86" s="140">
        <v>1333.85</v>
      </c>
      <c r="L86" s="135" t="s">
        <v>2959</v>
      </c>
      <c r="M86" s="135" t="str">
        <f t="shared" si="1"/>
        <v>FAZENDA PLATAFORMASILO PRODUCERESSOJA</v>
      </c>
      <c r="N86" s="135" t="s">
        <v>3729</v>
      </c>
    </row>
    <row r="87" spans="2:14" x14ac:dyDescent="0.25">
      <c r="B87" s="136">
        <v>46147</v>
      </c>
      <c r="C87" s="139">
        <v>1</v>
      </c>
      <c r="D87" s="139" t="s">
        <v>173</v>
      </c>
      <c r="E87" s="137" t="s">
        <v>174</v>
      </c>
      <c r="F87" s="137" t="s">
        <v>166</v>
      </c>
      <c r="G87" s="137" t="s">
        <v>111</v>
      </c>
      <c r="H87" s="137">
        <v>79</v>
      </c>
      <c r="I87" s="137" t="s">
        <v>169</v>
      </c>
      <c r="J87" s="137">
        <v>3404</v>
      </c>
      <c r="K87" s="141">
        <v>994.99</v>
      </c>
      <c r="L87" s="137" t="s">
        <v>2960</v>
      </c>
      <c r="M87" s="135" t="str">
        <f t="shared" si="1"/>
        <v>GRANORTEBEIRA RIOPULMÃOZINHO</v>
      </c>
      <c r="N87" s="137" t="s">
        <v>111</v>
      </c>
    </row>
    <row r="88" spans="2:14" x14ac:dyDescent="0.25">
      <c r="B88" s="134">
        <v>46147</v>
      </c>
      <c r="C88" s="138">
        <v>1</v>
      </c>
      <c r="D88" s="138" t="s">
        <v>173</v>
      </c>
      <c r="E88" s="135" t="s">
        <v>174</v>
      </c>
      <c r="F88" s="135" t="s">
        <v>166</v>
      </c>
      <c r="G88" s="135" t="s">
        <v>164</v>
      </c>
      <c r="H88" s="135">
        <v>58</v>
      </c>
      <c r="I88" s="135" t="s">
        <v>169</v>
      </c>
      <c r="J88" s="135">
        <v>243</v>
      </c>
      <c r="K88" s="140">
        <v>521.48</v>
      </c>
      <c r="L88" s="135" t="s">
        <v>2961</v>
      </c>
      <c r="M88" s="135" t="str">
        <f t="shared" si="1"/>
        <v>GRANORTEUA SAO LUISPULMÃOZINHO</v>
      </c>
      <c r="N88" s="135" t="s">
        <v>224</v>
      </c>
    </row>
    <row r="89" spans="2:14" x14ac:dyDescent="0.25">
      <c r="B89" s="136">
        <v>46147</v>
      </c>
      <c r="C89" s="139">
        <v>1</v>
      </c>
      <c r="D89" s="139" t="s">
        <v>173</v>
      </c>
      <c r="E89" s="137" t="s">
        <v>174</v>
      </c>
      <c r="F89" s="137" t="s">
        <v>166</v>
      </c>
      <c r="G89" s="137" t="s">
        <v>111</v>
      </c>
      <c r="H89" s="137">
        <v>79</v>
      </c>
      <c r="I89" s="137" t="s">
        <v>169</v>
      </c>
      <c r="J89" s="137">
        <v>3538</v>
      </c>
      <c r="K89" s="141">
        <v>1034.1600000000001</v>
      </c>
      <c r="L89" s="137" t="s">
        <v>2962</v>
      </c>
      <c r="M89" s="135" t="str">
        <f t="shared" si="1"/>
        <v>GRANORTEBEIRA RIOPULMÃOZINHO</v>
      </c>
      <c r="N89" s="137" t="s">
        <v>111</v>
      </c>
    </row>
    <row r="90" spans="2:14" x14ac:dyDescent="0.25">
      <c r="B90" s="134">
        <v>46147</v>
      </c>
      <c r="C90" s="138">
        <v>1</v>
      </c>
      <c r="D90" s="138" t="s">
        <v>186</v>
      </c>
      <c r="E90" s="135" t="s">
        <v>187</v>
      </c>
      <c r="F90" s="135" t="s">
        <v>2757</v>
      </c>
      <c r="G90" s="135" t="s">
        <v>2963</v>
      </c>
      <c r="H90" s="135">
        <v>493</v>
      </c>
      <c r="I90" s="135" t="s">
        <v>207</v>
      </c>
      <c r="J90" s="135">
        <v>6874</v>
      </c>
      <c r="K90" s="140">
        <v>10844.42</v>
      </c>
      <c r="L90" s="135" t="s">
        <v>2964</v>
      </c>
      <c r="M90" s="135" t="str">
        <f t="shared" si="1"/>
        <v>MINERADORA PORTO FRANCO MABARROLANDIA VLIRACHÃO</v>
      </c>
      <c r="N90" s="135" t="s">
        <v>15</v>
      </c>
    </row>
    <row r="91" spans="2:14" x14ac:dyDescent="0.25">
      <c r="B91" s="136">
        <v>46148</v>
      </c>
      <c r="C91" s="139">
        <v>1</v>
      </c>
      <c r="D91" s="139" t="s">
        <v>203</v>
      </c>
      <c r="E91" s="137" t="s">
        <v>204</v>
      </c>
      <c r="F91" s="137" t="s">
        <v>2868</v>
      </c>
      <c r="G91" s="137" t="s">
        <v>2871</v>
      </c>
      <c r="H91" s="137">
        <v>70</v>
      </c>
      <c r="I91" s="137" t="s">
        <v>2869</v>
      </c>
      <c r="J91" s="137">
        <v>540</v>
      </c>
      <c r="K91" s="141">
        <v>1398.6</v>
      </c>
      <c r="L91" s="137" t="s">
        <v>2965</v>
      </c>
      <c r="M91" s="135" t="str">
        <f t="shared" si="1"/>
        <v>FAZENDA PLATAFORMASILO PRODUCERESSOJA</v>
      </c>
      <c r="N91" s="135" t="s">
        <v>3729</v>
      </c>
    </row>
    <row r="92" spans="2:14" x14ac:dyDescent="0.25">
      <c r="B92" s="134">
        <v>46148</v>
      </c>
      <c r="C92" s="138">
        <v>1</v>
      </c>
      <c r="D92" s="138" t="s">
        <v>200</v>
      </c>
      <c r="E92" s="135" t="s">
        <v>201</v>
      </c>
      <c r="F92" s="135" t="s">
        <v>166</v>
      </c>
      <c r="G92" s="135" t="s">
        <v>164</v>
      </c>
      <c r="H92" s="135">
        <v>58</v>
      </c>
      <c r="I92" s="135" t="s">
        <v>165</v>
      </c>
      <c r="J92" s="135">
        <v>4852</v>
      </c>
      <c r="K92" s="140">
        <v>1041.24</v>
      </c>
      <c r="L92" s="135" t="s">
        <v>2966</v>
      </c>
      <c r="M92" s="135" t="str">
        <f t="shared" si="1"/>
        <v>GRANORTEUA SAO LUISPÓ DE BRITA</v>
      </c>
      <c r="N92" s="135" t="s">
        <v>224</v>
      </c>
    </row>
    <row r="93" spans="2:14" x14ac:dyDescent="0.25">
      <c r="B93" s="136">
        <v>46148</v>
      </c>
      <c r="C93" s="139">
        <v>1</v>
      </c>
      <c r="D93" s="139" t="s">
        <v>208</v>
      </c>
      <c r="E93" s="137" t="s">
        <v>209</v>
      </c>
      <c r="F93" s="137" t="s">
        <v>166</v>
      </c>
      <c r="G93" s="137" t="s">
        <v>164</v>
      </c>
      <c r="H93" s="137">
        <v>58</v>
      </c>
      <c r="I93" s="137" t="s">
        <v>165</v>
      </c>
      <c r="J93" s="137">
        <v>520</v>
      </c>
      <c r="K93" s="141">
        <v>1115.92</v>
      </c>
      <c r="L93" s="137" t="s">
        <v>2967</v>
      </c>
      <c r="M93" s="135" t="str">
        <f t="shared" si="1"/>
        <v>GRANORTEUA SAO LUISPÓ DE BRITA</v>
      </c>
      <c r="N93" s="135" t="s">
        <v>224</v>
      </c>
    </row>
    <row r="94" spans="2:14" x14ac:dyDescent="0.25">
      <c r="B94" s="134">
        <v>46148</v>
      </c>
      <c r="C94" s="138">
        <v>1</v>
      </c>
      <c r="D94" s="138" t="s">
        <v>167</v>
      </c>
      <c r="E94" s="135" t="s">
        <v>168</v>
      </c>
      <c r="F94" s="135" t="s">
        <v>166</v>
      </c>
      <c r="G94" s="135" t="s">
        <v>111</v>
      </c>
      <c r="H94" s="135">
        <v>79</v>
      </c>
      <c r="I94" s="135" t="s">
        <v>169</v>
      </c>
      <c r="J94" s="135">
        <v>262</v>
      </c>
      <c r="K94" s="140">
        <v>765.83</v>
      </c>
      <c r="L94" s="135" t="s">
        <v>2968</v>
      </c>
      <c r="M94" s="135" t="str">
        <f t="shared" si="1"/>
        <v>GRANORTEBEIRA RIOPULMÃOZINHO</v>
      </c>
      <c r="N94" s="135" t="s">
        <v>111</v>
      </c>
    </row>
    <row r="95" spans="2:14" x14ac:dyDescent="0.25">
      <c r="B95" s="136">
        <v>46148</v>
      </c>
      <c r="C95" s="139">
        <v>1</v>
      </c>
      <c r="D95" s="139" t="s">
        <v>176</v>
      </c>
      <c r="E95" s="137" t="s">
        <v>177</v>
      </c>
      <c r="F95" s="137" t="s">
        <v>2868</v>
      </c>
      <c r="G95" s="137" t="s">
        <v>2871</v>
      </c>
      <c r="H95" s="137">
        <v>70</v>
      </c>
      <c r="I95" s="137" t="s">
        <v>2869</v>
      </c>
      <c r="J95" s="137">
        <v>49481</v>
      </c>
      <c r="K95" s="141">
        <v>1281.56</v>
      </c>
      <c r="L95" s="137" t="s">
        <v>2969</v>
      </c>
      <c r="M95" s="135" t="str">
        <f t="shared" si="1"/>
        <v>FAZENDA PLATAFORMASILO PRODUCERESSOJA</v>
      </c>
      <c r="N95" s="135" t="s">
        <v>3729</v>
      </c>
    </row>
    <row r="96" spans="2:14" x14ac:dyDescent="0.25">
      <c r="B96" s="134">
        <v>46148</v>
      </c>
      <c r="C96" s="138">
        <v>1</v>
      </c>
      <c r="D96" s="138" t="s">
        <v>199</v>
      </c>
      <c r="E96" s="135" t="s">
        <v>180</v>
      </c>
      <c r="F96" s="135" t="s">
        <v>166</v>
      </c>
      <c r="G96" s="135" t="s">
        <v>111</v>
      </c>
      <c r="H96" s="135">
        <v>79</v>
      </c>
      <c r="I96" s="135" t="s">
        <v>169</v>
      </c>
      <c r="J96" s="135">
        <v>291</v>
      </c>
      <c r="K96" s="140">
        <v>850.59</v>
      </c>
      <c r="L96" s="135" t="s">
        <v>2970</v>
      </c>
      <c r="M96" s="135" t="str">
        <f t="shared" si="1"/>
        <v>GRANORTEBEIRA RIOPULMÃOZINHO</v>
      </c>
      <c r="N96" s="135" t="s">
        <v>111</v>
      </c>
    </row>
    <row r="97" spans="2:14" x14ac:dyDescent="0.25">
      <c r="B97" s="136">
        <v>46148</v>
      </c>
      <c r="C97" s="139">
        <v>1</v>
      </c>
      <c r="D97" s="139" t="s">
        <v>2866</v>
      </c>
      <c r="E97" s="137" t="s">
        <v>281</v>
      </c>
      <c r="F97" s="137" t="s">
        <v>163</v>
      </c>
      <c r="G97" s="137" t="s">
        <v>164</v>
      </c>
      <c r="H97" s="137">
        <v>52</v>
      </c>
      <c r="I97" s="137" t="s">
        <v>165</v>
      </c>
      <c r="J97" s="137">
        <v>2818</v>
      </c>
      <c r="K97" s="141">
        <v>542.17999999999995</v>
      </c>
      <c r="L97" s="137" t="s">
        <v>2971</v>
      </c>
      <c r="M97" s="135" t="str">
        <f t="shared" si="1"/>
        <v>BRASIL MINERACAOUA SAO LUISPÓ DE BRITA</v>
      </c>
      <c r="N97" s="135" t="s">
        <v>224</v>
      </c>
    </row>
    <row r="98" spans="2:14" x14ac:dyDescent="0.25">
      <c r="B98" s="134">
        <v>46148</v>
      </c>
      <c r="C98" s="138">
        <v>1</v>
      </c>
      <c r="D98" s="138" t="s">
        <v>173</v>
      </c>
      <c r="E98" s="135" t="s">
        <v>174</v>
      </c>
      <c r="F98" s="135" t="s">
        <v>166</v>
      </c>
      <c r="G98" s="135" t="s">
        <v>218</v>
      </c>
      <c r="H98" s="135">
        <v>71</v>
      </c>
      <c r="I98" s="135" t="s">
        <v>169</v>
      </c>
      <c r="J98" s="135">
        <v>2612</v>
      </c>
      <c r="K98" s="140">
        <v>686.17</v>
      </c>
      <c r="L98" s="135" t="s">
        <v>2972</v>
      </c>
      <c r="M98" s="135" t="str">
        <f t="shared" si="1"/>
        <v>GRANORTEEXPOEMAPULMÃOZINHO</v>
      </c>
      <c r="N98" s="135" t="s">
        <v>111</v>
      </c>
    </row>
    <row r="99" spans="2:14" x14ac:dyDescent="0.25">
      <c r="B99" s="136">
        <v>46148</v>
      </c>
      <c r="C99" s="139">
        <v>1</v>
      </c>
      <c r="D99" s="139" t="s">
        <v>219</v>
      </c>
      <c r="E99" s="137" t="s">
        <v>220</v>
      </c>
      <c r="F99" s="137" t="s">
        <v>166</v>
      </c>
      <c r="G99" s="137" t="s">
        <v>164</v>
      </c>
      <c r="H99" s="137">
        <v>58</v>
      </c>
      <c r="I99" s="137" t="s">
        <v>175</v>
      </c>
      <c r="J99" s="137">
        <v>482</v>
      </c>
      <c r="K99" s="141">
        <v>1034.3699999999999</v>
      </c>
      <c r="L99" s="137" t="s">
        <v>2973</v>
      </c>
      <c r="M99" s="135" t="str">
        <f t="shared" si="1"/>
        <v>GRANORTEUA SAO LUISBRITA 0</v>
      </c>
      <c r="N99" s="135" t="s">
        <v>224</v>
      </c>
    </row>
    <row r="100" spans="2:14" x14ac:dyDescent="0.25">
      <c r="B100" s="134">
        <v>46148</v>
      </c>
      <c r="C100" s="138">
        <v>1</v>
      </c>
      <c r="D100" s="138" t="s">
        <v>200</v>
      </c>
      <c r="E100" s="135" t="s">
        <v>201</v>
      </c>
      <c r="F100" s="135" t="s">
        <v>190</v>
      </c>
      <c r="G100" s="135" t="s">
        <v>198</v>
      </c>
      <c r="H100" s="135">
        <v>70</v>
      </c>
      <c r="I100" s="135" t="s">
        <v>165</v>
      </c>
      <c r="J100" s="135">
        <v>5176</v>
      </c>
      <c r="K100" s="140">
        <v>1340.58</v>
      </c>
      <c r="L100" s="135" t="s">
        <v>2974</v>
      </c>
      <c r="M100" s="135" t="str">
        <f t="shared" si="1"/>
        <v>SERVENGUSINA SAO LUISPÓ DE BRITA</v>
      </c>
      <c r="N100" s="135" t="s">
        <v>224</v>
      </c>
    </row>
    <row r="101" spans="2:14" x14ac:dyDescent="0.25">
      <c r="B101" s="136">
        <v>46148</v>
      </c>
      <c r="C101" s="139">
        <v>1</v>
      </c>
      <c r="D101" s="139" t="s">
        <v>173</v>
      </c>
      <c r="E101" s="137" t="s">
        <v>174</v>
      </c>
      <c r="F101" s="137" t="s">
        <v>166</v>
      </c>
      <c r="G101" s="137" t="s">
        <v>218</v>
      </c>
      <c r="H101" s="137">
        <v>71</v>
      </c>
      <c r="I101" s="137" t="s">
        <v>169</v>
      </c>
      <c r="J101" s="137">
        <v>259</v>
      </c>
      <c r="K101" s="141">
        <v>680.39</v>
      </c>
      <c r="L101" s="137" t="s">
        <v>2975</v>
      </c>
      <c r="M101" s="135" t="str">
        <f t="shared" si="1"/>
        <v>GRANORTEEXPOEMAPULMÃOZINHO</v>
      </c>
      <c r="N101" s="137" t="s">
        <v>111</v>
      </c>
    </row>
    <row r="102" spans="2:14" x14ac:dyDescent="0.25">
      <c r="B102" s="134">
        <v>46148</v>
      </c>
      <c r="C102" s="138">
        <v>1</v>
      </c>
      <c r="D102" s="138" t="s">
        <v>199</v>
      </c>
      <c r="E102" s="135" t="s">
        <v>180</v>
      </c>
      <c r="F102" s="135" t="s">
        <v>166</v>
      </c>
      <c r="G102" s="135" t="s">
        <v>111</v>
      </c>
      <c r="H102" s="135">
        <v>79</v>
      </c>
      <c r="I102" s="135" t="s">
        <v>169</v>
      </c>
      <c r="J102" s="135">
        <v>2848</v>
      </c>
      <c r="K102" s="140">
        <v>832.47</v>
      </c>
      <c r="L102" s="135" t="s">
        <v>2976</v>
      </c>
      <c r="M102" s="135" t="str">
        <f t="shared" si="1"/>
        <v>GRANORTEBEIRA RIOPULMÃOZINHO</v>
      </c>
      <c r="N102" s="135" t="s">
        <v>111</v>
      </c>
    </row>
    <row r="103" spans="2:14" x14ac:dyDescent="0.25">
      <c r="B103" s="136">
        <v>46148</v>
      </c>
      <c r="C103" s="139">
        <v>1</v>
      </c>
      <c r="D103" s="139" t="s">
        <v>342</v>
      </c>
      <c r="E103" s="137" t="s">
        <v>171</v>
      </c>
      <c r="F103" s="137" t="s">
        <v>166</v>
      </c>
      <c r="G103" s="137" t="s">
        <v>164</v>
      </c>
      <c r="H103" s="137">
        <v>58</v>
      </c>
      <c r="I103" s="137" t="s">
        <v>169</v>
      </c>
      <c r="J103" s="137">
        <v>4692</v>
      </c>
      <c r="K103" s="141">
        <v>1006.9</v>
      </c>
      <c r="L103" s="137" t="s">
        <v>2977</v>
      </c>
      <c r="M103" s="135" t="str">
        <f t="shared" si="1"/>
        <v>GRANORTEUA SAO LUISPULMÃOZINHO</v>
      </c>
      <c r="N103" s="135" t="s">
        <v>224</v>
      </c>
    </row>
    <row r="104" spans="2:14" x14ac:dyDescent="0.25">
      <c r="B104" s="134">
        <v>46148</v>
      </c>
      <c r="C104" s="138">
        <v>1</v>
      </c>
      <c r="D104" s="138" t="s">
        <v>208</v>
      </c>
      <c r="E104" s="135" t="s">
        <v>209</v>
      </c>
      <c r="F104" s="135" t="s">
        <v>190</v>
      </c>
      <c r="G104" s="135" t="s">
        <v>198</v>
      </c>
      <c r="H104" s="135">
        <v>70</v>
      </c>
      <c r="I104" s="135" t="s">
        <v>165</v>
      </c>
      <c r="J104" s="135">
        <v>540</v>
      </c>
      <c r="K104" s="140">
        <v>1398.6</v>
      </c>
      <c r="L104" s="135" t="s">
        <v>2978</v>
      </c>
      <c r="M104" s="135" t="str">
        <f t="shared" si="1"/>
        <v>SERVENGUSINA SAO LUISPÓ DE BRITA</v>
      </c>
      <c r="N104" s="135" t="s">
        <v>224</v>
      </c>
    </row>
    <row r="105" spans="2:14" x14ac:dyDescent="0.25">
      <c r="B105" s="136">
        <v>46148</v>
      </c>
      <c r="C105" s="139">
        <v>1</v>
      </c>
      <c r="D105" s="139" t="s">
        <v>270</v>
      </c>
      <c r="E105" s="137" t="s">
        <v>1153</v>
      </c>
      <c r="F105" s="137" t="s">
        <v>190</v>
      </c>
      <c r="G105" s="137" t="s">
        <v>198</v>
      </c>
      <c r="H105" s="137">
        <v>70</v>
      </c>
      <c r="I105" s="137" t="s">
        <v>165</v>
      </c>
      <c r="J105" s="137">
        <v>5246</v>
      </c>
      <c r="K105" s="141">
        <v>1358.71</v>
      </c>
      <c r="L105" s="137" t="s">
        <v>2979</v>
      </c>
      <c r="M105" s="135" t="str">
        <f t="shared" si="1"/>
        <v>SERVENGUSINA SAO LUISPÓ DE BRITA</v>
      </c>
      <c r="N105" s="135" t="s">
        <v>224</v>
      </c>
    </row>
    <row r="106" spans="2:14" x14ac:dyDescent="0.25">
      <c r="B106" s="134">
        <v>46148</v>
      </c>
      <c r="C106" s="138">
        <v>1</v>
      </c>
      <c r="D106" s="138" t="s">
        <v>179</v>
      </c>
      <c r="E106" s="135" t="s">
        <v>2863</v>
      </c>
      <c r="F106" s="135" t="s">
        <v>166</v>
      </c>
      <c r="G106" s="135" t="s">
        <v>111</v>
      </c>
      <c r="H106" s="135">
        <v>79</v>
      </c>
      <c r="I106" s="135" t="s">
        <v>169</v>
      </c>
      <c r="J106" s="135">
        <v>2642</v>
      </c>
      <c r="K106" s="140">
        <v>772.26</v>
      </c>
      <c r="L106" s="135" t="s">
        <v>2980</v>
      </c>
      <c r="M106" s="135" t="str">
        <f t="shared" si="1"/>
        <v>GRANORTEBEIRA RIOPULMÃOZINHO</v>
      </c>
      <c r="N106" s="135" t="s">
        <v>111</v>
      </c>
    </row>
    <row r="107" spans="2:14" x14ac:dyDescent="0.25">
      <c r="B107" s="136">
        <v>46148</v>
      </c>
      <c r="C107" s="139">
        <v>1</v>
      </c>
      <c r="D107" s="139" t="s">
        <v>179</v>
      </c>
      <c r="E107" s="137" t="s">
        <v>2863</v>
      </c>
      <c r="F107" s="137" t="s">
        <v>166</v>
      </c>
      <c r="G107" s="137" t="s">
        <v>111</v>
      </c>
      <c r="H107" s="137">
        <v>79</v>
      </c>
      <c r="I107" s="137" t="s">
        <v>169</v>
      </c>
      <c r="J107" s="137">
        <v>2716</v>
      </c>
      <c r="K107" s="141">
        <v>793.89</v>
      </c>
      <c r="L107" s="137" t="s">
        <v>2981</v>
      </c>
      <c r="M107" s="135" t="str">
        <f t="shared" si="1"/>
        <v>GRANORTEBEIRA RIOPULMÃOZINHO</v>
      </c>
      <c r="N107" s="137" t="s">
        <v>111</v>
      </c>
    </row>
    <row r="108" spans="2:14" x14ac:dyDescent="0.25">
      <c r="B108" s="134">
        <v>46148</v>
      </c>
      <c r="C108" s="138">
        <v>1</v>
      </c>
      <c r="D108" s="138" t="s">
        <v>183</v>
      </c>
      <c r="E108" s="135" t="s">
        <v>184</v>
      </c>
      <c r="F108" s="135" t="s">
        <v>166</v>
      </c>
      <c r="G108" s="135" t="s">
        <v>111</v>
      </c>
      <c r="H108" s="135">
        <v>79</v>
      </c>
      <c r="I108" s="135" t="s">
        <v>169</v>
      </c>
      <c r="J108" s="135">
        <v>2552</v>
      </c>
      <c r="K108" s="140">
        <v>745.95</v>
      </c>
      <c r="L108" s="135" t="s">
        <v>2982</v>
      </c>
      <c r="M108" s="135" t="str">
        <f t="shared" si="1"/>
        <v>GRANORTEBEIRA RIOPULMÃOZINHO</v>
      </c>
      <c r="N108" s="135" t="s">
        <v>111</v>
      </c>
    </row>
    <row r="109" spans="2:14" x14ac:dyDescent="0.25">
      <c r="B109" s="136">
        <v>46148</v>
      </c>
      <c r="C109" s="139">
        <v>1</v>
      </c>
      <c r="D109" s="139" t="s">
        <v>183</v>
      </c>
      <c r="E109" s="137" t="s">
        <v>184</v>
      </c>
      <c r="F109" s="137" t="s">
        <v>166</v>
      </c>
      <c r="G109" s="137" t="s">
        <v>111</v>
      </c>
      <c r="H109" s="137">
        <v>79</v>
      </c>
      <c r="I109" s="137" t="s">
        <v>169</v>
      </c>
      <c r="J109" s="137">
        <v>2694</v>
      </c>
      <c r="K109" s="141">
        <v>787.46</v>
      </c>
      <c r="L109" s="137" t="s">
        <v>2983</v>
      </c>
      <c r="M109" s="135" t="str">
        <f t="shared" si="1"/>
        <v>GRANORTEBEIRA RIOPULMÃOZINHO</v>
      </c>
      <c r="N109" s="137" t="s">
        <v>111</v>
      </c>
    </row>
    <row r="110" spans="2:14" x14ac:dyDescent="0.25">
      <c r="B110" s="134">
        <v>46148</v>
      </c>
      <c r="C110" s="138">
        <v>1</v>
      </c>
      <c r="D110" s="138" t="s">
        <v>183</v>
      </c>
      <c r="E110" s="135" t="s">
        <v>184</v>
      </c>
      <c r="F110" s="135" t="s">
        <v>166</v>
      </c>
      <c r="G110" s="135" t="s">
        <v>111</v>
      </c>
      <c r="H110" s="135">
        <v>79</v>
      </c>
      <c r="I110" s="135" t="s">
        <v>169</v>
      </c>
      <c r="J110" s="135">
        <v>2702</v>
      </c>
      <c r="K110" s="140">
        <v>789.79</v>
      </c>
      <c r="L110" s="135" t="s">
        <v>2984</v>
      </c>
      <c r="M110" s="135" t="str">
        <f t="shared" si="1"/>
        <v>GRANORTEBEIRA RIOPULMÃOZINHO</v>
      </c>
      <c r="N110" s="135" t="s">
        <v>111</v>
      </c>
    </row>
    <row r="111" spans="2:14" x14ac:dyDescent="0.25">
      <c r="B111" s="136">
        <v>46148</v>
      </c>
      <c r="C111" s="139">
        <v>1</v>
      </c>
      <c r="D111" s="139" t="s">
        <v>1129</v>
      </c>
      <c r="E111" s="137" t="s">
        <v>2396</v>
      </c>
      <c r="F111" s="137" t="s">
        <v>166</v>
      </c>
      <c r="G111" s="137" t="s">
        <v>111</v>
      </c>
      <c r="H111" s="137">
        <v>79</v>
      </c>
      <c r="I111" s="137" t="s">
        <v>169</v>
      </c>
      <c r="J111" s="137">
        <v>2636</v>
      </c>
      <c r="K111" s="141">
        <v>770.5</v>
      </c>
      <c r="L111" s="137" t="s">
        <v>2985</v>
      </c>
      <c r="M111" s="135" t="str">
        <f t="shared" si="1"/>
        <v>GRANORTEBEIRA RIOPULMÃOZINHO</v>
      </c>
      <c r="N111" s="137" t="s">
        <v>111</v>
      </c>
    </row>
    <row r="112" spans="2:14" x14ac:dyDescent="0.25">
      <c r="B112" s="134">
        <v>46148</v>
      </c>
      <c r="C112" s="138">
        <v>1</v>
      </c>
      <c r="D112" s="138" t="s">
        <v>286</v>
      </c>
      <c r="E112" s="135" t="s">
        <v>506</v>
      </c>
      <c r="F112" s="135" t="s">
        <v>163</v>
      </c>
      <c r="G112" s="135" t="s">
        <v>164</v>
      </c>
      <c r="H112" s="135">
        <v>52</v>
      </c>
      <c r="I112" s="135" t="s">
        <v>175</v>
      </c>
      <c r="J112" s="135">
        <v>4616</v>
      </c>
      <c r="K112" s="140">
        <v>888.12</v>
      </c>
      <c r="L112" s="135" t="s">
        <v>2986</v>
      </c>
      <c r="M112" s="135" t="str">
        <f t="shared" si="1"/>
        <v>BRASIL MINERACAOUA SAO LUISBRITA 0</v>
      </c>
      <c r="N112" s="135" t="s">
        <v>224</v>
      </c>
    </row>
    <row r="113" spans="2:14" x14ac:dyDescent="0.25">
      <c r="B113" s="136">
        <v>46148</v>
      </c>
      <c r="C113" s="139">
        <v>1</v>
      </c>
      <c r="D113" s="139" t="s">
        <v>167</v>
      </c>
      <c r="E113" s="137" t="s">
        <v>168</v>
      </c>
      <c r="F113" s="137" t="s">
        <v>166</v>
      </c>
      <c r="G113" s="137" t="s">
        <v>111</v>
      </c>
      <c r="H113" s="137">
        <v>79</v>
      </c>
      <c r="I113" s="137" t="s">
        <v>169</v>
      </c>
      <c r="J113" s="137">
        <v>267</v>
      </c>
      <c r="K113" s="141">
        <v>780.44</v>
      </c>
      <c r="L113" s="137" t="s">
        <v>2987</v>
      </c>
      <c r="M113" s="135" t="str">
        <f t="shared" si="1"/>
        <v>GRANORTEBEIRA RIOPULMÃOZINHO</v>
      </c>
      <c r="N113" s="137" t="s">
        <v>111</v>
      </c>
    </row>
    <row r="114" spans="2:14" x14ac:dyDescent="0.25">
      <c r="B114" s="134">
        <v>46148</v>
      </c>
      <c r="C114" s="138">
        <v>1</v>
      </c>
      <c r="D114" s="138" t="s">
        <v>193</v>
      </c>
      <c r="E114" s="135" t="s">
        <v>285</v>
      </c>
      <c r="F114" s="135" t="s">
        <v>166</v>
      </c>
      <c r="G114" s="135" t="s">
        <v>111</v>
      </c>
      <c r="H114" s="135">
        <v>79</v>
      </c>
      <c r="I114" s="135" t="s">
        <v>169</v>
      </c>
      <c r="J114" s="135">
        <v>252</v>
      </c>
      <c r="K114" s="140">
        <v>736.6</v>
      </c>
      <c r="L114" s="135" t="s">
        <v>2988</v>
      </c>
      <c r="M114" s="135" t="str">
        <f t="shared" si="1"/>
        <v>GRANORTEBEIRA RIOPULMÃOZINHO</v>
      </c>
      <c r="N114" s="135" t="s">
        <v>111</v>
      </c>
    </row>
    <row r="115" spans="2:14" x14ac:dyDescent="0.25">
      <c r="B115" s="136">
        <v>46148</v>
      </c>
      <c r="C115" s="139">
        <v>1</v>
      </c>
      <c r="D115" s="139" t="s">
        <v>193</v>
      </c>
      <c r="E115" s="137" t="s">
        <v>285</v>
      </c>
      <c r="F115" s="137" t="s">
        <v>166</v>
      </c>
      <c r="G115" s="137" t="s">
        <v>111</v>
      </c>
      <c r="H115" s="137">
        <v>79</v>
      </c>
      <c r="I115" s="137" t="s">
        <v>169</v>
      </c>
      <c r="J115" s="137">
        <v>2528</v>
      </c>
      <c r="K115" s="141">
        <v>738.93</v>
      </c>
      <c r="L115" s="137" t="s">
        <v>2989</v>
      </c>
      <c r="M115" s="135" t="str">
        <f t="shared" si="1"/>
        <v>GRANORTEBEIRA RIOPULMÃOZINHO</v>
      </c>
      <c r="N115" s="137" t="s">
        <v>111</v>
      </c>
    </row>
    <row r="116" spans="2:14" x14ac:dyDescent="0.25">
      <c r="B116" s="134">
        <v>46148</v>
      </c>
      <c r="C116" s="138">
        <v>1</v>
      </c>
      <c r="D116" s="138" t="s">
        <v>192</v>
      </c>
      <c r="E116" s="135" t="s">
        <v>287</v>
      </c>
      <c r="F116" s="135" t="s">
        <v>2868</v>
      </c>
      <c r="G116" s="135" t="s">
        <v>2871</v>
      </c>
      <c r="H116" s="135">
        <v>70</v>
      </c>
      <c r="I116" s="135" t="s">
        <v>2869</v>
      </c>
      <c r="J116" s="135">
        <v>53305</v>
      </c>
      <c r="K116" s="140">
        <v>1380.6</v>
      </c>
      <c r="L116" s="135" t="s">
        <v>2990</v>
      </c>
      <c r="M116" s="135" t="str">
        <f t="shared" si="1"/>
        <v>FAZENDA PLATAFORMASILO PRODUCERESSOJA</v>
      </c>
      <c r="N116" s="135" t="s">
        <v>3729</v>
      </c>
    </row>
    <row r="117" spans="2:14" x14ac:dyDescent="0.25">
      <c r="B117" s="136">
        <v>46148</v>
      </c>
      <c r="C117" s="139">
        <v>1</v>
      </c>
      <c r="D117" s="139" t="s">
        <v>300</v>
      </c>
      <c r="E117" s="137" t="s">
        <v>1536</v>
      </c>
      <c r="F117" s="137" t="s">
        <v>2757</v>
      </c>
      <c r="G117" s="137" t="s">
        <v>2867</v>
      </c>
      <c r="H117" s="137">
        <v>383</v>
      </c>
      <c r="I117" s="137" t="s">
        <v>279</v>
      </c>
      <c r="J117" s="137">
        <v>508</v>
      </c>
      <c r="K117" s="141">
        <v>6226.05</v>
      </c>
      <c r="L117" s="137" t="s">
        <v>2991</v>
      </c>
      <c r="M117" s="135" t="str">
        <f t="shared" si="1"/>
        <v>MINERADORA PORTO FRANCO MAVALE KM324MATACO</v>
      </c>
      <c r="N117" s="135" t="s">
        <v>15</v>
      </c>
    </row>
    <row r="118" spans="2:14" x14ac:dyDescent="0.25">
      <c r="B118" s="134">
        <v>46148</v>
      </c>
      <c r="C118" s="138">
        <v>1</v>
      </c>
      <c r="D118" s="138" t="s">
        <v>1948</v>
      </c>
      <c r="E118" s="135" t="s">
        <v>1949</v>
      </c>
      <c r="F118" s="135" t="s">
        <v>2868</v>
      </c>
      <c r="G118" s="135" t="s">
        <v>2871</v>
      </c>
      <c r="H118" s="135">
        <v>70</v>
      </c>
      <c r="I118" s="135" t="s">
        <v>2869</v>
      </c>
      <c r="J118" s="135">
        <v>524</v>
      </c>
      <c r="K118" s="140">
        <v>1357.16</v>
      </c>
      <c r="L118" s="135" t="s">
        <v>2992</v>
      </c>
      <c r="M118" s="135" t="str">
        <f t="shared" si="1"/>
        <v>FAZENDA PLATAFORMASILO PRODUCERESSOJA</v>
      </c>
      <c r="N118" s="135" t="s">
        <v>3729</v>
      </c>
    </row>
    <row r="119" spans="2:14" x14ac:dyDescent="0.25">
      <c r="B119" s="136">
        <v>46149</v>
      </c>
      <c r="C119" s="139">
        <v>1</v>
      </c>
      <c r="D119" s="139" t="s">
        <v>1129</v>
      </c>
      <c r="E119" s="137" t="s">
        <v>2396</v>
      </c>
      <c r="F119" s="137" t="s">
        <v>166</v>
      </c>
      <c r="G119" s="137" t="s">
        <v>111</v>
      </c>
      <c r="H119" s="137">
        <v>79</v>
      </c>
      <c r="I119" s="137" t="s">
        <v>169</v>
      </c>
      <c r="J119" s="137">
        <v>2564</v>
      </c>
      <c r="K119" s="141">
        <v>749.46</v>
      </c>
      <c r="L119" s="137" t="s">
        <v>2993</v>
      </c>
      <c r="M119" s="135" t="str">
        <f t="shared" si="1"/>
        <v>GRANORTEBEIRA RIOPULMÃOZINHO</v>
      </c>
      <c r="N119" s="137" t="s">
        <v>111</v>
      </c>
    </row>
    <row r="120" spans="2:14" x14ac:dyDescent="0.25">
      <c r="B120" s="134">
        <v>46149</v>
      </c>
      <c r="C120" s="138">
        <v>1</v>
      </c>
      <c r="D120" s="138" t="s">
        <v>167</v>
      </c>
      <c r="E120" s="135" t="s">
        <v>168</v>
      </c>
      <c r="F120" s="135" t="s">
        <v>166</v>
      </c>
      <c r="G120" s="135" t="s">
        <v>111</v>
      </c>
      <c r="H120" s="135">
        <v>79</v>
      </c>
      <c r="I120" s="135" t="s">
        <v>169</v>
      </c>
      <c r="J120" s="135">
        <v>2662</v>
      </c>
      <c r="K120" s="140">
        <v>778.1</v>
      </c>
      <c r="L120" s="135" t="s">
        <v>2994</v>
      </c>
      <c r="M120" s="135" t="str">
        <f t="shared" si="1"/>
        <v>GRANORTEBEIRA RIOPULMÃOZINHO</v>
      </c>
      <c r="N120" s="135" t="s">
        <v>111</v>
      </c>
    </row>
    <row r="121" spans="2:14" x14ac:dyDescent="0.25">
      <c r="B121" s="136">
        <v>46149</v>
      </c>
      <c r="C121" s="139">
        <v>1</v>
      </c>
      <c r="D121" s="139" t="s">
        <v>202</v>
      </c>
      <c r="E121" s="137" t="s">
        <v>214</v>
      </c>
      <c r="F121" s="137" t="s">
        <v>166</v>
      </c>
      <c r="G121" s="137" t="s">
        <v>164</v>
      </c>
      <c r="H121" s="137">
        <v>58</v>
      </c>
      <c r="I121" s="137" t="s">
        <v>165</v>
      </c>
      <c r="J121" s="137">
        <v>8672</v>
      </c>
      <c r="K121" s="141">
        <v>1861.01</v>
      </c>
      <c r="L121" s="137" t="s">
        <v>2995</v>
      </c>
      <c r="M121" s="135" t="str">
        <f t="shared" si="1"/>
        <v>GRANORTEUA SAO LUISPÓ DE BRITA</v>
      </c>
      <c r="N121" s="135" t="s">
        <v>224</v>
      </c>
    </row>
    <row r="122" spans="2:14" x14ac:dyDescent="0.25">
      <c r="B122" s="134">
        <v>46149</v>
      </c>
      <c r="C122" s="138">
        <v>1</v>
      </c>
      <c r="D122" s="138" t="s">
        <v>342</v>
      </c>
      <c r="E122" s="135" t="s">
        <v>171</v>
      </c>
      <c r="F122" s="135" t="s">
        <v>166</v>
      </c>
      <c r="G122" s="135" t="s">
        <v>164</v>
      </c>
      <c r="H122" s="135">
        <v>58</v>
      </c>
      <c r="I122" s="135" t="s">
        <v>169</v>
      </c>
      <c r="J122" s="135">
        <v>4606</v>
      </c>
      <c r="K122" s="140">
        <v>988.45</v>
      </c>
      <c r="L122" s="135" t="s">
        <v>2996</v>
      </c>
      <c r="M122" s="135" t="str">
        <f t="shared" si="1"/>
        <v>GRANORTEUA SAO LUISPULMÃOZINHO</v>
      </c>
      <c r="N122" s="135" t="s">
        <v>224</v>
      </c>
    </row>
    <row r="123" spans="2:14" x14ac:dyDescent="0.25">
      <c r="B123" s="136">
        <v>46149</v>
      </c>
      <c r="C123" s="139">
        <v>1</v>
      </c>
      <c r="D123" s="139" t="s">
        <v>219</v>
      </c>
      <c r="E123" s="137" t="s">
        <v>220</v>
      </c>
      <c r="F123" s="137" t="s">
        <v>166</v>
      </c>
      <c r="G123" s="137" t="s">
        <v>164</v>
      </c>
      <c r="H123" s="137">
        <v>58</v>
      </c>
      <c r="I123" s="137" t="s">
        <v>165</v>
      </c>
      <c r="J123" s="137">
        <v>387</v>
      </c>
      <c r="K123" s="141">
        <v>830.5</v>
      </c>
      <c r="L123" s="137" t="s">
        <v>2997</v>
      </c>
      <c r="M123" s="135" t="str">
        <f t="shared" si="1"/>
        <v>GRANORTEUA SAO LUISPÓ DE BRITA</v>
      </c>
      <c r="N123" s="135" t="s">
        <v>224</v>
      </c>
    </row>
    <row r="124" spans="2:14" x14ac:dyDescent="0.25">
      <c r="B124" s="134">
        <v>46149</v>
      </c>
      <c r="C124" s="138">
        <v>1</v>
      </c>
      <c r="D124" s="138" t="s">
        <v>219</v>
      </c>
      <c r="E124" s="135" t="s">
        <v>220</v>
      </c>
      <c r="F124" s="135" t="s">
        <v>163</v>
      </c>
      <c r="G124" s="135" t="s">
        <v>164</v>
      </c>
      <c r="H124" s="135">
        <v>52</v>
      </c>
      <c r="I124" s="135" t="s">
        <v>165</v>
      </c>
      <c r="J124" s="135">
        <v>472</v>
      </c>
      <c r="K124" s="140">
        <v>908.13</v>
      </c>
      <c r="L124" s="135" t="s">
        <v>2998</v>
      </c>
      <c r="M124" s="135" t="str">
        <f t="shared" si="1"/>
        <v>BRASIL MINERACAOUA SAO LUISPÓ DE BRITA</v>
      </c>
      <c r="N124" s="135" t="s">
        <v>224</v>
      </c>
    </row>
    <row r="125" spans="2:14" x14ac:dyDescent="0.25">
      <c r="B125" s="136">
        <v>46149</v>
      </c>
      <c r="C125" s="139">
        <v>1</v>
      </c>
      <c r="D125" s="139" t="s">
        <v>199</v>
      </c>
      <c r="E125" s="137" t="s">
        <v>180</v>
      </c>
      <c r="F125" s="137" t="s">
        <v>166</v>
      </c>
      <c r="G125" s="137" t="s">
        <v>824</v>
      </c>
      <c r="H125" s="137">
        <v>78</v>
      </c>
      <c r="I125" s="137" t="s">
        <v>169</v>
      </c>
      <c r="J125" s="137">
        <v>2664</v>
      </c>
      <c r="K125" s="141">
        <v>768.83</v>
      </c>
      <c r="L125" s="137" t="s">
        <v>2999</v>
      </c>
      <c r="M125" s="135" t="str">
        <f t="shared" si="1"/>
        <v>GRANORTECRUZAMENTO MA 201/202 (METROPOLITANA)PULMÃOZINHO</v>
      </c>
      <c r="N125" s="137" t="s">
        <v>108</v>
      </c>
    </row>
    <row r="126" spans="2:14" x14ac:dyDescent="0.25">
      <c r="B126" s="134">
        <v>46149</v>
      </c>
      <c r="C126" s="138">
        <v>1</v>
      </c>
      <c r="D126" s="138" t="s">
        <v>202</v>
      </c>
      <c r="E126" s="135" t="s">
        <v>214</v>
      </c>
      <c r="F126" s="135" t="s">
        <v>190</v>
      </c>
      <c r="G126" s="135" t="s">
        <v>198</v>
      </c>
      <c r="H126" s="135">
        <v>70</v>
      </c>
      <c r="I126" s="135" t="s">
        <v>165</v>
      </c>
      <c r="J126" s="135">
        <v>5142</v>
      </c>
      <c r="K126" s="140">
        <v>1331.78</v>
      </c>
      <c r="L126" s="135" t="s">
        <v>3000</v>
      </c>
      <c r="M126" s="135" t="str">
        <f t="shared" si="1"/>
        <v>SERVENGUSINA SAO LUISPÓ DE BRITA</v>
      </c>
      <c r="N126" s="135" t="s">
        <v>224</v>
      </c>
    </row>
    <row r="127" spans="2:14" x14ac:dyDescent="0.25">
      <c r="B127" s="136">
        <v>46149</v>
      </c>
      <c r="C127" s="139">
        <v>1</v>
      </c>
      <c r="D127" s="139" t="s">
        <v>270</v>
      </c>
      <c r="E127" s="137" t="s">
        <v>1153</v>
      </c>
      <c r="F127" s="137" t="s">
        <v>190</v>
      </c>
      <c r="G127" s="137" t="s">
        <v>198</v>
      </c>
      <c r="H127" s="137">
        <v>70</v>
      </c>
      <c r="I127" s="137" t="s">
        <v>165</v>
      </c>
      <c r="J127" s="137">
        <v>487</v>
      </c>
      <c r="K127" s="141">
        <v>1261.33</v>
      </c>
      <c r="L127" s="137" t="s">
        <v>3001</v>
      </c>
      <c r="M127" s="135" t="str">
        <f t="shared" si="1"/>
        <v>SERVENGUSINA SAO LUISPÓ DE BRITA</v>
      </c>
      <c r="N127" s="135" t="s">
        <v>224</v>
      </c>
    </row>
    <row r="128" spans="2:14" x14ac:dyDescent="0.25">
      <c r="B128" s="134">
        <v>46149</v>
      </c>
      <c r="C128" s="138">
        <v>1</v>
      </c>
      <c r="D128" s="138" t="s">
        <v>167</v>
      </c>
      <c r="E128" s="135" t="s">
        <v>168</v>
      </c>
      <c r="F128" s="135" t="s">
        <v>166</v>
      </c>
      <c r="G128" s="135" t="s">
        <v>111</v>
      </c>
      <c r="H128" s="135">
        <v>79</v>
      </c>
      <c r="I128" s="135" t="s">
        <v>169</v>
      </c>
      <c r="J128" s="135">
        <v>2634</v>
      </c>
      <c r="K128" s="140">
        <v>769.92</v>
      </c>
      <c r="L128" s="135" t="s">
        <v>3002</v>
      </c>
      <c r="M128" s="135" t="str">
        <f t="shared" si="1"/>
        <v>GRANORTEBEIRA RIOPULMÃOZINHO</v>
      </c>
      <c r="N128" s="135" t="s">
        <v>111</v>
      </c>
    </row>
    <row r="129" spans="2:14" x14ac:dyDescent="0.25">
      <c r="B129" s="136">
        <v>46149</v>
      </c>
      <c r="C129" s="139">
        <v>1</v>
      </c>
      <c r="D129" s="139" t="s">
        <v>208</v>
      </c>
      <c r="E129" s="137" t="s">
        <v>209</v>
      </c>
      <c r="F129" s="137" t="s">
        <v>190</v>
      </c>
      <c r="G129" s="137" t="s">
        <v>198</v>
      </c>
      <c r="H129" s="137">
        <v>70</v>
      </c>
      <c r="I129" s="137" t="s">
        <v>165</v>
      </c>
      <c r="J129" s="137">
        <v>460</v>
      </c>
      <c r="K129" s="141">
        <v>1191.4000000000001</v>
      </c>
      <c r="L129" s="137" t="s">
        <v>3003</v>
      </c>
      <c r="M129" s="135" t="str">
        <f t="shared" si="1"/>
        <v>SERVENGUSINA SAO LUISPÓ DE BRITA</v>
      </c>
      <c r="N129" s="135" t="s">
        <v>224</v>
      </c>
    </row>
    <row r="130" spans="2:14" x14ac:dyDescent="0.25">
      <c r="B130" s="134">
        <v>46149</v>
      </c>
      <c r="C130" s="138">
        <v>1</v>
      </c>
      <c r="D130" s="138" t="s">
        <v>199</v>
      </c>
      <c r="E130" s="135" t="s">
        <v>180</v>
      </c>
      <c r="F130" s="135" t="s">
        <v>166</v>
      </c>
      <c r="G130" s="135" t="s">
        <v>824</v>
      </c>
      <c r="H130" s="135">
        <v>78</v>
      </c>
      <c r="I130" s="135" t="s">
        <v>169</v>
      </c>
      <c r="J130" s="135">
        <v>2838</v>
      </c>
      <c r="K130" s="140">
        <v>819.05</v>
      </c>
      <c r="L130" s="135" t="s">
        <v>3004</v>
      </c>
      <c r="M130" s="135" t="str">
        <f t="shared" si="1"/>
        <v>GRANORTECRUZAMENTO MA 201/202 (METROPOLITANA)PULMÃOZINHO</v>
      </c>
      <c r="N130" s="137" t="s">
        <v>108</v>
      </c>
    </row>
    <row r="131" spans="2:14" x14ac:dyDescent="0.25">
      <c r="B131" s="136">
        <v>46149</v>
      </c>
      <c r="C131" s="139">
        <v>1</v>
      </c>
      <c r="D131" s="139" t="s">
        <v>342</v>
      </c>
      <c r="E131" s="137" t="s">
        <v>171</v>
      </c>
      <c r="F131" s="137" t="s">
        <v>190</v>
      </c>
      <c r="G131" s="137" t="s">
        <v>198</v>
      </c>
      <c r="H131" s="137">
        <v>70</v>
      </c>
      <c r="I131" s="137" t="s">
        <v>165</v>
      </c>
      <c r="J131" s="137">
        <v>2338</v>
      </c>
      <c r="K131" s="141">
        <v>605.54</v>
      </c>
      <c r="L131" s="137" t="s">
        <v>3005</v>
      </c>
      <c r="M131" s="135" t="str">
        <f t="shared" si="1"/>
        <v>SERVENGUSINA SAO LUISPÓ DE BRITA</v>
      </c>
      <c r="N131" s="135" t="s">
        <v>224</v>
      </c>
    </row>
    <row r="132" spans="2:14" x14ac:dyDescent="0.25">
      <c r="B132" s="134">
        <v>46149</v>
      </c>
      <c r="C132" s="138">
        <v>1</v>
      </c>
      <c r="D132" s="138" t="s">
        <v>342</v>
      </c>
      <c r="E132" s="135" t="s">
        <v>171</v>
      </c>
      <c r="F132" s="135" t="s">
        <v>190</v>
      </c>
      <c r="G132" s="135" t="s">
        <v>198</v>
      </c>
      <c r="H132" s="135">
        <v>70</v>
      </c>
      <c r="I132" s="135" t="s">
        <v>165</v>
      </c>
      <c r="J132" s="135">
        <v>2644</v>
      </c>
      <c r="K132" s="140">
        <v>684.8</v>
      </c>
      <c r="L132" s="135" t="s">
        <v>3006</v>
      </c>
      <c r="M132" s="135" t="str">
        <f t="shared" si="1"/>
        <v>SERVENGUSINA SAO LUISPÓ DE BRITA</v>
      </c>
      <c r="N132" s="135" t="s">
        <v>224</v>
      </c>
    </row>
    <row r="133" spans="2:14" x14ac:dyDescent="0.25">
      <c r="B133" s="136">
        <v>46149</v>
      </c>
      <c r="C133" s="139">
        <v>1</v>
      </c>
      <c r="D133" s="139" t="s">
        <v>1129</v>
      </c>
      <c r="E133" s="137" t="s">
        <v>2396</v>
      </c>
      <c r="F133" s="137" t="s">
        <v>166</v>
      </c>
      <c r="G133" s="137" t="s">
        <v>111</v>
      </c>
      <c r="H133" s="137">
        <v>79</v>
      </c>
      <c r="I133" s="137" t="s">
        <v>169</v>
      </c>
      <c r="J133" s="137">
        <v>2674</v>
      </c>
      <c r="K133" s="141">
        <v>781.61</v>
      </c>
      <c r="L133" s="137" t="s">
        <v>3007</v>
      </c>
      <c r="M133" s="135" t="str">
        <f t="shared" ref="M133:M196" si="2">CONCATENATE(F133&amp;G133&amp;I133)</f>
        <v>GRANORTEBEIRA RIOPULMÃOZINHO</v>
      </c>
      <c r="N133" s="137" t="s">
        <v>111</v>
      </c>
    </row>
    <row r="134" spans="2:14" x14ac:dyDescent="0.25">
      <c r="B134" s="134">
        <v>46149</v>
      </c>
      <c r="C134" s="138">
        <v>1</v>
      </c>
      <c r="D134" s="138" t="s">
        <v>1129</v>
      </c>
      <c r="E134" s="135" t="s">
        <v>2396</v>
      </c>
      <c r="F134" s="135" t="s">
        <v>166</v>
      </c>
      <c r="G134" s="135" t="s">
        <v>111</v>
      </c>
      <c r="H134" s="135">
        <v>79</v>
      </c>
      <c r="I134" s="135" t="s">
        <v>169</v>
      </c>
      <c r="J134" s="135">
        <v>2684</v>
      </c>
      <c r="K134" s="140">
        <v>784.53</v>
      </c>
      <c r="L134" s="135" t="s">
        <v>3008</v>
      </c>
      <c r="M134" s="135" t="str">
        <f t="shared" si="2"/>
        <v>GRANORTEBEIRA RIOPULMÃOZINHO</v>
      </c>
      <c r="N134" s="135" t="s">
        <v>111</v>
      </c>
    </row>
    <row r="135" spans="2:14" x14ac:dyDescent="0.25">
      <c r="B135" s="136">
        <v>46149</v>
      </c>
      <c r="C135" s="139">
        <v>1</v>
      </c>
      <c r="D135" s="139" t="s">
        <v>173</v>
      </c>
      <c r="E135" s="137" t="s">
        <v>174</v>
      </c>
      <c r="F135" s="137" t="s">
        <v>166</v>
      </c>
      <c r="G135" s="137" t="s">
        <v>218</v>
      </c>
      <c r="H135" s="137">
        <v>71</v>
      </c>
      <c r="I135" s="137" t="s">
        <v>169</v>
      </c>
      <c r="J135" s="137">
        <v>2596</v>
      </c>
      <c r="K135" s="141">
        <v>681.97</v>
      </c>
      <c r="L135" s="137" t="s">
        <v>3009</v>
      </c>
      <c r="M135" s="135" t="str">
        <f t="shared" si="2"/>
        <v>GRANORTEEXPOEMAPULMÃOZINHO</v>
      </c>
      <c r="N135" s="137" t="s">
        <v>111</v>
      </c>
    </row>
    <row r="136" spans="2:14" x14ac:dyDescent="0.25">
      <c r="B136" s="134">
        <v>46149</v>
      </c>
      <c r="C136" s="138">
        <v>1</v>
      </c>
      <c r="D136" s="138" t="s">
        <v>173</v>
      </c>
      <c r="E136" s="135" t="s">
        <v>174</v>
      </c>
      <c r="F136" s="135" t="s">
        <v>166</v>
      </c>
      <c r="G136" s="135" t="s">
        <v>111</v>
      </c>
      <c r="H136" s="135">
        <v>79</v>
      </c>
      <c r="I136" s="135" t="s">
        <v>169</v>
      </c>
      <c r="J136" s="135">
        <v>2822</v>
      </c>
      <c r="K136" s="140">
        <v>824.87</v>
      </c>
      <c r="L136" s="135" t="s">
        <v>3010</v>
      </c>
      <c r="M136" s="135" t="str">
        <f t="shared" si="2"/>
        <v>GRANORTEBEIRA RIOPULMÃOZINHO</v>
      </c>
      <c r="N136" s="135" t="s">
        <v>111</v>
      </c>
    </row>
    <row r="137" spans="2:14" x14ac:dyDescent="0.25">
      <c r="B137" s="136">
        <v>46149</v>
      </c>
      <c r="C137" s="139">
        <v>1</v>
      </c>
      <c r="D137" s="139" t="s">
        <v>173</v>
      </c>
      <c r="E137" s="137" t="s">
        <v>174</v>
      </c>
      <c r="F137" s="137" t="s">
        <v>166</v>
      </c>
      <c r="G137" s="137" t="s">
        <v>164</v>
      </c>
      <c r="H137" s="137">
        <v>58</v>
      </c>
      <c r="I137" s="137" t="s">
        <v>165</v>
      </c>
      <c r="J137" s="137">
        <v>3228</v>
      </c>
      <c r="K137" s="141">
        <v>692.73</v>
      </c>
      <c r="L137" s="137" t="s">
        <v>3011</v>
      </c>
      <c r="M137" s="135" t="str">
        <f t="shared" si="2"/>
        <v>GRANORTEUA SAO LUISPÓ DE BRITA</v>
      </c>
      <c r="N137" s="135" t="s">
        <v>224</v>
      </c>
    </row>
    <row r="138" spans="2:14" x14ac:dyDescent="0.25">
      <c r="B138" s="134">
        <v>46149</v>
      </c>
      <c r="C138" s="138">
        <v>1</v>
      </c>
      <c r="D138" s="138" t="s">
        <v>286</v>
      </c>
      <c r="E138" s="135" t="s">
        <v>506</v>
      </c>
      <c r="F138" s="135" t="s">
        <v>190</v>
      </c>
      <c r="G138" s="135" t="s">
        <v>198</v>
      </c>
      <c r="H138" s="135">
        <v>70</v>
      </c>
      <c r="I138" s="135" t="s">
        <v>165</v>
      </c>
      <c r="J138" s="135">
        <v>479</v>
      </c>
      <c r="K138" s="140">
        <v>1240.6099999999999</v>
      </c>
      <c r="L138" s="135" t="s">
        <v>3012</v>
      </c>
      <c r="M138" s="135" t="str">
        <f t="shared" si="2"/>
        <v>SERVENGUSINA SAO LUISPÓ DE BRITA</v>
      </c>
      <c r="N138" s="135" t="s">
        <v>224</v>
      </c>
    </row>
    <row r="139" spans="2:14" x14ac:dyDescent="0.25">
      <c r="B139" s="136">
        <v>46149</v>
      </c>
      <c r="C139" s="139">
        <v>1</v>
      </c>
      <c r="D139" s="139" t="s">
        <v>208</v>
      </c>
      <c r="E139" s="137" t="s">
        <v>209</v>
      </c>
      <c r="F139" s="137" t="s">
        <v>190</v>
      </c>
      <c r="G139" s="137" t="s">
        <v>198</v>
      </c>
      <c r="H139" s="137">
        <v>70</v>
      </c>
      <c r="I139" s="137" t="s">
        <v>165</v>
      </c>
      <c r="J139" s="137">
        <v>450</v>
      </c>
      <c r="K139" s="141">
        <v>1165.5</v>
      </c>
      <c r="L139" s="137" t="s">
        <v>3013</v>
      </c>
      <c r="M139" s="135" t="str">
        <f t="shared" si="2"/>
        <v>SERVENGUSINA SAO LUISPÓ DE BRITA</v>
      </c>
      <c r="N139" s="135" t="s">
        <v>224</v>
      </c>
    </row>
    <row r="140" spans="2:14" x14ac:dyDescent="0.25">
      <c r="B140" s="134">
        <v>46149</v>
      </c>
      <c r="C140" s="138">
        <v>1</v>
      </c>
      <c r="D140" s="138" t="s">
        <v>203</v>
      </c>
      <c r="E140" s="135" t="s">
        <v>204</v>
      </c>
      <c r="F140" s="135" t="s">
        <v>2868</v>
      </c>
      <c r="G140" s="135" t="s">
        <v>2871</v>
      </c>
      <c r="H140" s="135">
        <v>70</v>
      </c>
      <c r="I140" s="135" t="s">
        <v>2869</v>
      </c>
      <c r="J140" s="135">
        <v>5382</v>
      </c>
      <c r="K140" s="140">
        <v>1393.94</v>
      </c>
      <c r="L140" s="135" t="s">
        <v>3014</v>
      </c>
      <c r="M140" s="135" t="str">
        <f t="shared" si="2"/>
        <v>FAZENDA PLATAFORMASILO PRODUCERESSOJA</v>
      </c>
      <c r="N140" s="135" t="s">
        <v>3729</v>
      </c>
    </row>
    <row r="141" spans="2:14" x14ac:dyDescent="0.25">
      <c r="B141" s="136">
        <v>46149</v>
      </c>
      <c r="C141" s="139">
        <v>1</v>
      </c>
      <c r="D141" s="139" t="s">
        <v>176</v>
      </c>
      <c r="E141" s="137" t="s">
        <v>177</v>
      </c>
      <c r="F141" s="137" t="s">
        <v>2868</v>
      </c>
      <c r="G141" s="137" t="s">
        <v>2871</v>
      </c>
      <c r="H141" s="137">
        <v>70</v>
      </c>
      <c r="I141" s="137" t="s">
        <v>2869</v>
      </c>
      <c r="J141" s="137">
        <v>54571</v>
      </c>
      <c r="K141" s="141">
        <v>1413.39</v>
      </c>
      <c r="L141" s="137" t="s">
        <v>3015</v>
      </c>
      <c r="M141" s="135" t="str">
        <f t="shared" si="2"/>
        <v>FAZENDA PLATAFORMASILO PRODUCERESSOJA</v>
      </c>
      <c r="N141" s="135" t="s">
        <v>3729</v>
      </c>
    </row>
    <row r="142" spans="2:14" x14ac:dyDescent="0.25">
      <c r="B142" s="134">
        <v>46149</v>
      </c>
      <c r="C142" s="138">
        <v>1</v>
      </c>
      <c r="D142" s="138" t="s">
        <v>210</v>
      </c>
      <c r="E142" s="135" t="s">
        <v>211</v>
      </c>
      <c r="F142" s="135" t="s">
        <v>2868</v>
      </c>
      <c r="G142" s="135" t="s">
        <v>2871</v>
      </c>
      <c r="H142" s="135">
        <v>70</v>
      </c>
      <c r="I142" s="135" t="s">
        <v>2869</v>
      </c>
      <c r="J142" s="135">
        <v>52016</v>
      </c>
      <c r="K142" s="140">
        <v>1347.21</v>
      </c>
      <c r="L142" s="135" t="s">
        <v>3016</v>
      </c>
      <c r="M142" s="135" t="str">
        <f t="shared" si="2"/>
        <v>FAZENDA PLATAFORMASILO PRODUCERESSOJA</v>
      </c>
      <c r="N142" s="135" t="s">
        <v>3729</v>
      </c>
    </row>
    <row r="143" spans="2:14" x14ac:dyDescent="0.25">
      <c r="B143" s="136">
        <v>46149</v>
      </c>
      <c r="C143" s="139">
        <v>1</v>
      </c>
      <c r="D143" s="139" t="s">
        <v>183</v>
      </c>
      <c r="E143" s="137" t="s">
        <v>184</v>
      </c>
      <c r="F143" s="137" t="s">
        <v>166</v>
      </c>
      <c r="G143" s="137" t="s">
        <v>111</v>
      </c>
      <c r="H143" s="137">
        <v>79</v>
      </c>
      <c r="I143" s="137" t="s">
        <v>169</v>
      </c>
      <c r="J143" s="137">
        <v>2526</v>
      </c>
      <c r="K143" s="141">
        <v>738.35</v>
      </c>
      <c r="L143" s="137" t="s">
        <v>3017</v>
      </c>
      <c r="M143" s="135" t="str">
        <f t="shared" si="2"/>
        <v>GRANORTEBEIRA RIOPULMÃOZINHO</v>
      </c>
      <c r="N143" s="137" t="s">
        <v>111</v>
      </c>
    </row>
    <row r="144" spans="2:14" x14ac:dyDescent="0.25">
      <c r="B144" s="134">
        <v>46149</v>
      </c>
      <c r="C144" s="138">
        <v>1</v>
      </c>
      <c r="D144" s="138" t="s">
        <v>183</v>
      </c>
      <c r="E144" s="135" t="s">
        <v>184</v>
      </c>
      <c r="F144" s="135" t="s">
        <v>166</v>
      </c>
      <c r="G144" s="135" t="s">
        <v>111</v>
      </c>
      <c r="H144" s="135">
        <v>79</v>
      </c>
      <c r="I144" s="135" t="s">
        <v>169</v>
      </c>
      <c r="J144" s="135">
        <v>246</v>
      </c>
      <c r="K144" s="140">
        <v>719.06</v>
      </c>
      <c r="L144" s="135" t="s">
        <v>3018</v>
      </c>
      <c r="M144" s="135" t="str">
        <f t="shared" si="2"/>
        <v>GRANORTEBEIRA RIOPULMÃOZINHO</v>
      </c>
      <c r="N144" s="135" t="s">
        <v>111</v>
      </c>
    </row>
    <row r="145" spans="2:14" x14ac:dyDescent="0.25">
      <c r="B145" s="136">
        <v>46149</v>
      </c>
      <c r="C145" s="139">
        <v>1</v>
      </c>
      <c r="D145" s="139" t="s">
        <v>186</v>
      </c>
      <c r="E145" s="137" t="s">
        <v>187</v>
      </c>
      <c r="F145" s="137" t="s">
        <v>276</v>
      </c>
      <c r="G145" s="137" t="s">
        <v>2143</v>
      </c>
      <c r="H145" s="137">
        <v>281</v>
      </c>
      <c r="I145" s="137" t="s">
        <v>207</v>
      </c>
      <c r="J145" s="137">
        <v>695</v>
      </c>
      <c r="K145" s="141">
        <v>6249.44</v>
      </c>
      <c r="L145" s="137" t="s">
        <v>3019</v>
      </c>
      <c r="M145" s="135" t="str">
        <f t="shared" si="2"/>
        <v>MINERADORA PORTO FRANCOSAO PEDRO DA AGUA BRANCARACHÃO</v>
      </c>
      <c r="N145" s="135" t="s">
        <v>15</v>
      </c>
    </row>
    <row r="146" spans="2:14" x14ac:dyDescent="0.25">
      <c r="B146" s="134">
        <v>46149</v>
      </c>
      <c r="C146" s="138">
        <v>1</v>
      </c>
      <c r="D146" s="138" t="s">
        <v>200</v>
      </c>
      <c r="E146" s="135" t="s">
        <v>201</v>
      </c>
      <c r="F146" s="135" t="s">
        <v>190</v>
      </c>
      <c r="G146" s="135" t="s">
        <v>198</v>
      </c>
      <c r="H146" s="135">
        <v>70</v>
      </c>
      <c r="I146" s="135" t="s">
        <v>165</v>
      </c>
      <c r="J146" s="135">
        <v>5072</v>
      </c>
      <c r="K146" s="140">
        <v>1313.65</v>
      </c>
      <c r="L146" s="135" t="s">
        <v>3020</v>
      </c>
      <c r="M146" s="135" t="str">
        <f t="shared" si="2"/>
        <v>SERVENGUSINA SAO LUISPÓ DE BRITA</v>
      </c>
      <c r="N146" s="135" t="s">
        <v>224</v>
      </c>
    </row>
    <row r="147" spans="2:14" x14ac:dyDescent="0.25">
      <c r="B147" s="136">
        <v>46149</v>
      </c>
      <c r="C147" s="139">
        <v>1</v>
      </c>
      <c r="D147" s="139" t="s">
        <v>200</v>
      </c>
      <c r="E147" s="137" t="s">
        <v>201</v>
      </c>
      <c r="F147" s="137" t="s">
        <v>190</v>
      </c>
      <c r="G147" s="137" t="s">
        <v>198</v>
      </c>
      <c r="H147" s="137">
        <v>70</v>
      </c>
      <c r="I147" s="137" t="s">
        <v>165</v>
      </c>
      <c r="J147" s="137">
        <v>529</v>
      </c>
      <c r="K147" s="141">
        <v>1370.11</v>
      </c>
      <c r="L147" s="137" t="s">
        <v>3021</v>
      </c>
      <c r="M147" s="135" t="str">
        <f t="shared" si="2"/>
        <v>SERVENGUSINA SAO LUISPÓ DE BRITA</v>
      </c>
      <c r="N147" s="135" t="s">
        <v>224</v>
      </c>
    </row>
    <row r="148" spans="2:14" x14ac:dyDescent="0.25">
      <c r="B148" s="134">
        <v>46149</v>
      </c>
      <c r="C148" s="138">
        <v>1</v>
      </c>
      <c r="D148" s="138" t="s">
        <v>193</v>
      </c>
      <c r="E148" s="135" t="s">
        <v>285</v>
      </c>
      <c r="F148" s="135" t="s">
        <v>166</v>
      </c>
      <c r="G148" s="135" t="s">
        <v>111</v>
      </c>
      <c r="H148" s="135">
        <v>79</v>
      </c>
      <c r="I148" s="135" t="s">
        <v>169</v>
      </c>
      <c r="J148" s="135">
        <v>253</v>
      </c>
      <c r="K148" s="140">
        <v>739.52</v>
      </c>
      <c r="L148" s="135" t="s">
        <v>3022</v>
      </c>
      <c r="M148" s="135" t="str">
        <f t="shared" si="2"/>
        <v>GRANORTEBEIRA RIOPULMÃOZINHO</v>
      </c>
      <c r="N148" s="135" t="s">
        <v>111</v>
      </c>
    </row>
    <row r="149" spans="2:14" x14ac:dyDescent="0.25">
      <c r="B149" s="136">
        <v>46149</v>
      </c>
      <c r="C149" s="139">
        <v>1</v>
      </c>
      <c r="D149" s="139" t="s">
        <v>193</v>
      </c>
      <c r="E149" s="137" t="s">
        <v>285</v>
      </c>
      <c r="F149" s="137" t="s">
        <v>166</v>
      </c>
      <c r="G149" s="137" t="s">
        <v>164</v>
      </c>
      <c r="H149" s="137">
        <v>58</v>
      </c>
      <c r="I149" s="137" t="s">
        <v>175</v>
      </c>
      <c r="J149" s="137">
        <v>2422</v>
      </c>
      <c r="K149" s="141">
        <v>519.76</v>
      </c>
      <c r="L149" s="137" t="s">
        <v>3023</v>
      </c>
      <c r="M149" s="135" t="str">
        <f t="shared" si="2"/>
        <v>GRANORTEUA SAO LUISBRITA 0</v>
      </c>
      <c r="N149" s="135" t="s">
        <v>224</v>
      </c>
    </row>
    <row r="150" spans="2:14" x14ac:dyDescent="0.25">
      <c r="B150" s="134">
        <v>46149</v>
      </c>
      <c r="C150" s="138">
        <v>1</v>
      </c>
      <c r="D150" s="138" t="s">
        <v>179</v>
      </c>
      <c r="E150" s="135" t="s">
        <v>2863</v>
      </c>
      <c r="F150" s="135" t="s">
        <v>166</v>
      </c>
      <c r="G150" s="135" t="s">
        <v>111</v>
      </c>
      <c r="H150" s="135">
        <v>79</v>
      </c>
      <c r="I150" s="135" t="s">
        <v>169</v>
      </c>
      <c r="J150" s="135">
        <v>264</v>
      </c>
      <c r="K150" s="140">
        <v>771.67</v>
      </c>
      <c r="L150" s="135" t="s">
        <v>3024</v>
      </c>
      <c r="M150" s="135" t="str">
        <f t="shared" si="2"/>
        <v>GRANORTEBEIRA RIOPULMÃOZINHO</v>
      </c>
      <c r="N150" s="135" t="s">
        <v>111</v>
      </c>
    </row>
    <row r="151" spans="2:14" x14ac:dyDescent="0.25">
      <c r="B151" s="136">
        <v>46149</v>
      </c>
      <c r="C151" s="139">
        <v>1</v>
      </c>
      <c r="D151" s="139" t="s">
        <v>179</v>
      </c>
      <c r="E151" s="137" t="s">
        <v>2863</v>
      </c>
      <c r="F151" s="137" t="s">
        <v>166</v>
      </c>
      <c r="G151" s="137" t="s">
        <v>111</v>
      </c>
      <c r="H151" s="137">
        <v>79</v>
      </c>
      <c r="I151" s="137" t="s">
        <v>169</v>
      </c>
      <c r="J151" s="137">
        <v>2492</v>
      </c>
      <c r="K151" s="141">
        <v>728.41</v>
      </c>
      <c r="L151" s="137" t="s">
        <v>3025</v>
      </c>
      <c r="M151" s="135" t="str">
        <f t="shared" si="2"/>
        <v>GRANORTEBEIRA RIOPULMÃOZINHO</v>
      </c>
      <c r="N151" s="137" t="s">
        <v>111</v>
      </c>
    </row>
    <row r="152" spans="2:14" x14ac:dyDescent="0.25">
      <c r="B152" s="134">
        <v>46149</v>
      </c>
      <c r="C152" s="138">
        <v>1</v>
      </c>
      <c r="D152" s="138" t="s">
        <v>188</v>
      </c>
      <c r="E152" s="135" t="s">
        <v>189</v>
      </c>
      <c r="F152" s="135" t="s">
        <v>2757</v>
      </c>
      <c r="G152" s="135" t="s">
        <v>2963</v>
      </c>
      <c r="H152" s="135">
        <v>493</v>
      </c>
      <c r="I152" s="135" t="s">
        <v>207</v>
      </c>
      <c r="J152" s="135">
        <v>6548</v>
      </c>
      <c r="K152" s="140">
        <v>10330.120000000001</v>
      </c>
      <c r="L152" s="135" t="s">
        <v>3026</v>
      </c>
      <c r="M152" s="135" t="str">
        <f t="shared" si="2"/>
        <v>MINERADORA PORTO FRANCO MABARROLANDIA VLIRACHÃO</v>
      </c>
      <c r="N152" s="135" t="s">
        <v>15</v>
      </c>
    </row>
    <row r="153" spans="2:14" x14ac:dyDescent="0.25">
      <c r="B153" s="136">
        <v>46150</v>
      </c>
      <c r="C153" s="139">
        <v>1</v>
      </c>
      <c r="D153" s="139" t="s">
        <v>202</v>
      </c>
      <c r="E153" s="137" t="s">
        <v>214</v>
      </c>
      <c r="F153" s="137" t="s">
        <v>190</v>
      </c>
      <c r="G153" s="137" t="s">
        <v>198</v>
      </c>
      <c r="H153" s="137">
        <v>70</v>
      </c>
      <c r="I153" s="137" t="s">
        <v>165</v>
      </c>
      <c r="J153" s="137">
        <v>5142</v>
      </c>
      <c r="K153" s="141">
        <v>1331.78</v>
      </c>
      <c r="L153" s="137" t="s">
        <v>3027</v>
      </c>
      <c r="M153" s="135" t="str">
        <f t="shared" si="2"/>
        <v>SERVENGUSINA SAO LUISPÓ DE BRITA</v>
      </c>
      <c r="N153" s="135" t="s">
        <v>224</v>
      </c>
    </row>
    <row r="154" spans="2:14" x14ac:dyDescent="0.25">
      <c r="B154" s="134">
        <v>46150</v>
      </c>
      <c r="C154" s="138">
        <v>1</v>
      </c>
      <c r="D154" s="138" t="s">
        <v>270</v>
      </c>
      <c r="E154" s="135" t="s">
        <v>1153</v>
      </c>
      <c r="F154" s="135" t="s">
        <v>190</v>
      </c>
      <c r="G154" s="135" t="s">
        <v>198</v>
      </c>
      <c r="H154" s="135">
        <v>70</v>
      </c>
      <c r="I154" s="135" t="s">
        <v>165</v>
      </c>
      <c r="J154" s="135">
        <v>482</v>
      </c>
      <c r="K154" s="140">
        <v>1248.3800000000001</v>
      </c>
      <c r="L154" s="135" t="s">
        <v>3028</v>
      </c>
      <c r="M154" s="135" t="str">
        <f t="shared" si="2"/>
        <v>SERVENGUSINA SAO LUISPÓ DE BRITA</v>
      </c>
      <c r="N154" s="135" t="s">
        <v>224</v>
      </c>
    </row>
    <row r="155" spans="2:14" x14ac:dyDescent="0.25">
      <c r="B155" s="136">
        <v>46150</v>
      </c>
      <c r="C155" s="139">
        <v>1</v>
      </c>
      <c r="D155" s="139" t="s">
        <v>199</v>
      </c>
      <c r="E155" s="137" t="s">
        <v>180</v>
      </c>
      <c r="F155" s="137" t="s">
        <v>166</v>
      </c>
      <c r="G155" s="137" t="s">
        <v>111</v>
      </c>
      <c r="H155" s="137">
        <v>79</v>
      </c>
      <c r="I155" s="137" t="s">
        <v>169</v>
      </c>
      <c r="J155" s="137">
        <v>2786</v>
      </c>
      <c r="K155" s="141">
        <v>814.35</v>
      </c>
      <c r="L155" s="137" t="s">
        <v>3029</v>
      </c>
      <c r="M155" s="135" t="str">
        <f t="shared" si="2"/>
        <v>GRANORTEBEIRA RIOPULMÃOZINHO</v>
      </c>
      <c r="N155" s="137" t="s">
        <v>111</v>
      </c>
    </row>
    <row r="156" spans="2:14" x14ac:dyDescent="0.25">
      <c r="B156" s="134">
        <v>46150</v>
      </c>
      <c r="C156" s="138">
        <v>1</v>
      </c>
      <c r="D156" s="138" t="s">
        <v>219</v>
      </c>
      <c r="E156" s="135" t="s">
        <v>220</v>
      </c>
      <c r="F156" s="135" t="s">
        <v>190</v>
      </c>
      <c r="G156" s="135" t="s">
        <v>198</v>
      </c>
      <c r="H156" s="135">
        <v>70</v>
      </c>
      <c r="I156" s="135" t="s">
        <v>165</v>
      </c>
      <c r="J156" s="135">
        <v>560</v>
      </c>
      <c r="K156" s="140">
        <v>1450.4</v>
      </c>
      <c r="L156" s="135" t="s">
        <v>3030</v>
      </c>
      <c r="M156" s="135" t="str">
        <f t="shared" si="2"/>
        <v>SERVENGUSINA SAO LUISPÓ DE BRITA</v>
      </c>
      <c r="N156" s="135" t="s">
        <v>224</v>
      </c>
    </row>
    <row r="157" spans="2:14" x14ac:dyDescent="0.25">
      <c r="B157" s="136">
        <v>46150</v>
      </c>
      <c r="C157" s="139">
        <v>1</v>
      </c>
      <c r="D157" s="139" t="s">
        <v>219</v>
      </c>
      <c r="E157" s="137" t="s">
        <v>220</v>
      </c>
      <c r="F157" s="137" t="s">
        <v>166</v>
      </c>
      <c r="G157" s="137" t="s">
        <v>164</v>
      </c>
      <c r="H157" s="137">
        <v>58</v>
      </c>
      <c r="I157" s="137" t="s">
        <v>165</v>
      </c>
      <c r="J157" s="137">
        <v>373</v>
      </c>
      <c r="K157" s="141">
        <v>800.46</v>
      </c>
      <c r="L157" s="137" t="s">
        <v>3031</v>
      </c>
      <c r="M157" s="135" t="str">
        <f t="shared" si="2"/>
        <v>GRANORTEUA SAO LUISPÓ DE BRITA</v>
      </c>
      <c r="N157" s="135" t="s">
        <v>224</v>
      </c>
    </row>
    <row r="158" spans="2:14" x14ac:dyDescent="0.25">
      <c r="B158" s="134">
        <v>46150</v>
      </c>
      <c r="C158" s="138">
        <v>1</v>
      </c>
      <c r="D158" s="138" t="s">
        <v>342</v>
      </c>
      <c r="E158" s="135" t="s">
        <v>171</v>
      </c>
      <c r="F158" s="135" t="s">
        <v>190</v>
      </c>
      <c r="G158" s="135" t="s">
        <v>198</v>
      </c>
      <c r="H158" s="135">
        <v>70</v>
      </c>
      <c r="I158" s="135" t="s">
        <v>165</v>
      </c>
      <c r="J158" s="135">
        <v>5092</v>
      </c>
      <c r="K158" s="140">
        <v>1318.83</v>
      </c>
      <c r="L158" s="135" t="s">
        <v>3032</v>
      </c>
      <c r="M158" s="135" t="str">
        <f t="shared" si="2"/>
        <v>SERVENGUSINA SAO LUISPÓ DE BRITA</v>
      </c>
      <c r="N158" s="135" t="s">
        <v>224</v>
      </c>
    </row>
    <row r="159" spans="2:14" x14ac:dyDescent="0.25">
      <c r="B159" s="136">
        <v>46150</v>
      </c>
      <c r="C159" s="139">
        <v>1</v>
      </c>
      <c r="D159" s="139" t="s">
        <v>202</v>
      </c>
      <c r="E159" s="137" t="s">
        <v>214</v>
      </c>
      <c r="F159" s="137" t="s">
        <v>190</v>
      </c>
      <c r="G159" s="137" t="s">
        <v>198</v>
      </c>
      <c r="H159" s="137">
        <v>70</v>
      </c>
      <c r="I159" s="137" t="s">
        <v>165</v>
      </c>
      <c r="J159" s="137">
        <v>7662</v>
      </c>
      <c r="K159" s="141">
        <v>1984.46</v>
      </c>
      <c r="L159" s="137" t="s">
        <v>3033</v>
      </c>
      <c r="M159" s="135" t="str">
        <f t="shared" si="2"/>
        <v>SERVENGUSINA SAO LUISPÓ DE BRITA</v>
      </c>
      <c r="N159" s="135" t="s">
        <v>224</v>
      </c>
    </row>
    <row r="160" spans="2:14" x14ac:dyDescent="0.25">
      <c r="B160" s="134">
        <v>46150</v>
      </c>
      <c r="C160" s="138">
        <v>1</v>
      </c>
      <c r="D160" s="138" t="s">
        <v>200</v>
      </c>
      <c r="E160" s="135" t="s">
        <v>201</v>
      </c>
      <c r="F160" s="135" t="s">
        <v>190</v>
      </c>
      <c r="G160" s="135" t="s">
        <v>198</v>
      </c>
      <c r="H160" s="135">
        <v>70</v>
      </c>
      <c r="I160" s="135" t="s">
        <v>165</v>
      </c>
      <c r="J160" s="135">
        <v>5266</v>
      </c>
      <c r="K160" s="140">
        <v>1363.89</v>
      </c>
      <c r="L160" s="135" t="s">
        <v>3034</v>
      </c>
      <c r="M160" s="135" t="str">
        <f t="shared" si="2"/>
        <v>SERVENGUSINA SAO LUISPÓ DE BRITA</v>
      </c>
      <c r="N160" s="135" t="s">
        <v>224</v>
      </c>
    </row>
    <row r="161" spans="2:14" x14ac:dyDescent="0.25">
      <c r="B161" s="136">
        <v>46150</v>
      </c>
      <c r="C161" s="139">
        <v>1</v>
      </c>
      <c r="D161" s="139" t="s">
        <v>208</v>
      </c>
      <c r="E161" s="137" t="s">
        <v>209</v>
      </c>
      <c r="F161" s="137" t="s">
        <v>190</v>
      </c>
      <c r="G161" s="137" t="s">
        <v>198</v>
      </c>
      <c r="H161" s="137">
        <v>70</v>
      </c>
      <c r="I161" s="137" t="s">
        <v>165</v>
      </c>
      <c r="J161" s="137">
        <v>510</v>
      </c>
      <c r="K161" s="141">
        <v>1320.9</v>
      </c>
      <c r="L161" s="137" t="s">
        <v>3035</v>
      </c>
      <c r="M161" s="135" t="str">
        <f t="shared" si="2"/>
        <v>SERVENGUSINA SAO LUISPÓ DE BRITA</v>
      </c>
      <c r="N161" s="135" t="s">
        <v>224</v>
      </c>
    </row>
    <row r="162" spans="2:14" x14ac:dyDescent="0.25">
      <c r="B162" s="134">
        <v>46150</v>
      </c>
      <c r="C162" s="138">
        <v>1</v>
      </c>
      <c r="D162" s="138" t="s">
        <v>199</v>
      </c>
      <c r="E162" s="135" t="s">
        <v>180</v>
      </c>
      <c r="F162" s="135" t="s">
        <v>166</v>
      </c>
      <c r="G162" s="135" t="s">
        <v>824</v>
      </c>
      <c r="H162" s="135">
        <v>78</v>
      </c>
      <c r="I162" s="135" t="s">
        <v>172</v>
      </c>
      <c r="J162" s="135">
        <v>2758</v>
      </c>
      <c r="K162" s="140">
        <v>795.96</v>
      </c>
      <c r="L162" s="135" t="s">
        <v>3036</v>
      </c>
      <c r="M162" s="135" t="str">
        <f t="shared" si="2"/>
        <v>GRANORTECRUZAMENTO MA 201/202 (METROPOLITANA)BICA CORRIDA</v>
      </c>
      <c r="N162" s="137" t="s">
        <v>108</v>
      </c>
    </row>
    <row r="163" spans="2:14" x14ac:dyDescent="0.25">
      <c r="B163" s="136">
        <v>46150</v>
      </c>
      <c r="C163" s="139">
        <v>1</v>
      </c>
      <c r="D163" s="139" t="s">
        <v>270</v>
      </c>
      <c r="E163" s="137" t="s">
        <v>1153</v>
      </c>
      <c r="F163" s="137" t="s">
        <v>190</v>
      </c>
      <c r="G163" s="137" t="s">
        <v>198</v>
      </c>
      <c r="H163" s="137">
        <v>70</v>
      </c>
      <c r="I163" s="137" t="s">
        <v>165</v>
      </c>
      <c r="J163" s="137">
        <v>7524</v>
      </c>
      <c r="K163" s="141">
        <v>1948.72</v>
      </c>
      <c r="L163" s="137" t="s">
        <v>3037</v>
      </c>
      <c r="M163" s="135" t="str">
        <f t="shared" si="2"/>
        <v>SERVENGUSINA SAO LUISPÓ DE BRITA</v>
      </c>
      <c r="N163" s="135" t="s">
        <v>224</v>
      </c>
    </row>
    <row r="164" spans="2:14" x14ac:dyDescent="0.25">
      <c r="B164" s="134">
        <v>46150</v>
      </c>
      <c r="C164" s="138">
        <v>1</v>
      </c>
      <c r="D164" s="138" t="s">
        <v>167</v>
      </c>
      <c r="E164" s="135" t="s">
        <v>168</v>
      </c>
      <c r="F164" s="135" t="s">
        <v>166</v>
      </c>
      <c r="G164" s="135" t="s">
        <v>111</v>
      </c>
      <c r="H164" s="135">
        <v>79</v>
      </c>
      <c r="I164" s="135" t="s">
        <v>169</v>
      </c>
      <c r="J164" s="135">
        <v>2432</v>
      </c>
      <c r="K164" s="140">
        <v>710.87</v>
      </c>
      <c r="L164" s="135" t="s">
        <v>3038</v>
      </c>
      <c r="M164" s="135" t="str">
        <f t="shared" si="2"/>
        <v>GRANORTEBEIRA RIOPULMÃOZINHO</v>
      </c>
      <c r="N164" s="135" t="s">
        <v>111</v>
      </c>
    </row>
    <row r="165" spans="2:14" x14ac:dyDescent="0.25">
      <c r="B165" s="136">
        <v>46150</v>
      </c>
      <c r="C165" s="139">
        <v>1</v>
      </c>
      <c r="D165" s="139" t="s">
        <v>167</v>
      </c>
      <c r="E165" s="137" t="s">
        <v>168</v>
      </c>
      <c r="F165" s="137" t="s">
        <v>166</v>
      </c>
      <c r="G165" s="137" t="s">
        <v>111</v>
      </c>
      <c r="H165" s="137">
        <v>79</v>
      </c>
      <c r="I165" s="137" t="s">
        <v>169</v>
      </c>
      <c r="J165" s="137">
        <v>2598</v>
      </c>
      <c r="K165" s="141">
        <v>759.4</v>
      </c>
      <c r="L165" s="137" t="s">
        <v>3039</v>
      </c>
      <c r="M165" s="135" t="str">
        <f t="shared" si="2"/>
        <v>GRANORTEBEIRA RIOPULMÃOZINHO</v>
      </c>
      <c r="N165" s="137" t="s">
        <v>111</v>
      </c>
    </row>
    <row r="166" spans="2:14" x14ac:dyDescent="0.25">
      <c r="B166" s="134">
        <v>46150</v>
      </c>
      <c r="C166" s="138">
        <v>1</v>
      </c>
      <c r="D166" s="138" t="s">
        <v>2866</v>
      </c>
      <c r="E166" s="135" t="s">
        <v>281</v>
      </c>
      <c r="F166" s="135" t="s">
        <v>166</v>
      </c>
      <c r="G166" s="135" t="s">
        <v>164</v>
      </c>
      <c r="H166" s="135">
        <v>58</v>
      </c>
      <c r="I166" s="135" t="s">
        <v>165</v>
      </c>
      <c r="J166" s="135">
        <v>4132</v>
      </c>
      <c r="K166" s="140">
        <v>886.73</v>
      </c>
      <c r="L166" s="135" t="s">
        <v>3040</v>
      </c>
      <c r="M166" s="135" t="str">
        <f t="shared" si="2"/>
        <v>GRANORTEUA SAO LUISPÓ DE BRITA</v>
      </c>
      <c r="N166" s="135" t="s">
        <v>224</v>
      </c>
    </row>
    <row r="167" spans="2:14" x14ac:dyDescent="0.25">
      <c r="B167" s="136">
        <v>46150</v>
      </c>
      <c r="C167" s="139">
        <v>1</v>
      </c>
      <c r="D167" s="139" t="s">
        <v>342</v>
      </c>
      <c r="E167" s="137" t="s">
        <v>171</v>
      </c>
      <c r="F167" s="137" t="s">
        <v>190</v>
      </c>
      <c r="G167" s="137" t="s">
        <v>198</v>
      </c>
      <c r="H167" s="137">
        <v>70</v>
      </c>
      <c r="I167" s="137" t="s">
        <v>165</v>
      </c>
      <c r="J167" s="137">
        <v>4776</v>
      </c>
      <c r="K167" s="141">
        <v>1236.98</v>
      </c>
      <c r="L167" s="137" t="s">
        <v>3041</v>
      </c>
      <c r="M167" s="135" t="str">
        <f t="shared" si="2"/>
        <v>SERVENGUSINA SAO LUISPÓ DE BRITA</v>
      </c>
      <c r="N167" s="135" t="s">
        <v>224</v>
      </c>
    </row>
    <row r="168" spans="2:14" x14ac:dyDescent="0.25">
      <c r="B168" s="134">
        <v>46150</v>
      </c>
      <c r="C168" s="138">
        <v>1</v>
      </c>
      <c r="D168" s="138" t="s">
        <v>208</v>
      </c>
      <c r="E168" s="135" t="s">
        <v>209</v>
      </c>
      <c r="F168" s="135" t="s">
        <v>190</v>
      </c>
      <c r="G168" s="135" t="s">
        <v>198</v>
      </c>
      <c r="H168" s="135">
        <v>70</v>
      </c>
      <c r="I168" s="135" t="s">
        <v>165</v>
      </c>
      <c r="J168" s="135">
        <v>490</v>
      </c>
      <c r="K168" s="140">
        <v>1269.0999999999999</v>
      </c>
      <c r="L168" s="135" t="s">
        <v>3042</v>
      </c>
      <c r="M168" s="135" t="str">
        <f t="shared" si="2"/>
        <v>SERVENGUSINA SAO LUISPÓ DE BRITA</v>
      </c>
      <c r="N168" s="135" t="s">
        <v>224</v>
      </c>
    </row>
    <row r="169" spans="2:14" x14ac:dyDescent="0.25">
      <c r="B169" s="136">
        <v>46150</v>
      </c>
      <c r="C169" s="139">
        <v>1</v>
      </c>
      <c r="D169" s="139" t="s">
        <v>196</v>
      </c>
      <c r="E169" s="137" t="s">
        <v>197</v>
      </c>
      <c r="F169" s="137" t="s">
        <v>276</v>
      </c>
      <c r="G169" s="137" t="s">
        <v>307</v>
      </c>
      <c r="H169" s="137">
        <v>175</v>
      </c>
      <c r="I169" s="137" t="s">
        <v>195</v>
      </c>
      <c r="J169" s="137">
        <v>8858</v>
      </c>
      <c r="K169" s="141">
        <v>4960.4799999999996</v>
      </c>
      <c r="L169" s="137" t="s">
        <v>3043</v>
      </c>
      <c r="M169" s="135" t="str">
        <f t="shared" si="2"/>
        <v>MINERADORA PORTO FRANCOAUGUSTINOPOLIS TO (EDEC)BRITA 1</v>
      </c>
      <c r="N169" s="137" t="s">
        <v>307</v>
      </c>
    </row>
    <row r="170" spans="2:14" x14ac:dyDescent="0.25">
      <c r="B170" s="134">
        <v>46150</v>
      </c>
      <c r="C170" s="138">
        <v>1</v>
      </c>
      <c r="D170" s="138" t="s">
        <v>196</v>
      </c>
      <c r="E170" s="135" t="s">
        <v>197</v>
      </c>
      <c r="F170" s="135" t="s">
        <v>2757</v>
      </c>
      <c r="G170" s="135" t="s">
        <v>2963</v>
      </c>
      <c r="H170" s="135">
        <v>493</v>
      </c>
      <c r="I170" s="135" t="s">
        <v>172</v>
      </c>
      <c r="J170" s="135">
        <v>7088</v>
      </c>
      <c r="K170" s="140">
        <v>11182.03</v>
      </c>
      <c r="L170" s="135" t="s">
        <v>3044</v>
      </c>
      <c r="M170" s="135" t="str">
        <f t="shared" si="2"/>
        <v>MINERADORA PORTO FRANCO MABARROLANDIA VLIBICA CORRIDA</v>
      </c>
      <c r="N170" s="135" t="s">
        <v>15</v>
      </c>
    </row>
    <row r="171" spans="2:14" x14ac:dyDescent="0.25">
      <c r="B171" s="136">
        <v>46150</v>
      </c>
      <c r="C171" s="139">
        <v>1</v>
      </c>
      <c r="D171" s="139" t="s">
        <v>1129</v>
      </c>
      <c r="E171" s="137" t="s">
        <v>2396</v>
      </c>
      <c r="F171" s="137" t="s">
        <v>166</v>
      </c>
      <c r="G171" s="137" t="s">
        <v>111</v>
      </c>
      <c r="H171" s="137">
        <v>79</v>
      </c>
      <c r="I171" s="137" t="s">
        <v>169</v>
      </c>
      <c r="J171" s="137">
        <v>2674</v>
      </c>
      <c r="K171" s="141">
        <v>781.61</v>
      </c>
      <c r="L171" s="137" t="s">
        <v>3045</v>
      </c>
      <c r="M171" s="135" t="str">
        <f t="shared" si="2"/>
        <v>GRANORTEBEIRA RIOPULMÃOZINHO</v>
      </c>
      <c r="N171" s="137" t="s">
        <v>111</v>
      </c>
    </row>
    <row r="172" spans="2:14" x14ac:dyDescent="0.25">
      <c r="B172" s="134">
        <v>46150</v>
      </c>
      <c r="C172" s="138">
        <v>1</v>
      </c>
      <c r="D172" s="138" t="s">
        <v>202</v>
      </c>
      <c r="E172" s="135" t="s">
        <v>214</v>
      </c>
      <c r="F172" s="135" t="s">
        <v>190</v>
      </c>
      <c r="G172" s="135" t="s">
        <v>198</v>
      </c>
      <c r="H172" s="135">
        <v>70</v>
      </c>
      <c r="I172" s="135" t="s">
        <v>165</v>
      </c>
      <c r="J172" s="135">
        <v>485</v>
      </c>
      <c r="K172" s="140">
        <v>1256.1500000000001</v>
      </c>
      <c r="L172" s="135" t="s">
        <v>3046</v>
      </c>
      <c r="M172" s="135" t="str">
        <f t="shared" si="2"/>
        <v>SERVENGUSINA SAO LUISPÓ DE BRITA</v>
      </c>
      <c r="N172" s="135" t="s">
        <v>224</v>
      </c>
    </row>
    <row r="173" spans="2:14" x14ac:dyDescent="0.25">
      <c r="B173" s="136">
        <v>46150</v>
      </c>
      <c r="C173" s="139">
        <v>1</v>
      </c>
      <c r="D173" s="139" t="s">
        <v>2866</v>
      </c>
      <c r="E173" s="137" t="s">
        <v>281</v>
      </c>
      <c r="F173" s="137" t="s">
        <v>166</v>
      </c>
      <c r="G173" s="137" t="s">
        <v>164</v>
      </c>
      <c r="H173" s="137">
        <v>58</v>
      </c>
      <c r="I173" s="137" t="s">
        <v>165</v>
      </c>
      <c r="J173" s="137">
        <v>4082</v>
      </c>
      <c r="K173" s="141">
        <v>876</v>
      </c>
      <c r="L173" s="137" t="s">
        <v>3047</v>
      </c>
      <c r="M173" s="135" t="str">
        <f t="shared" si="2"/>
        <v>GRANORTEUA SAO LUISPÓ DE BRITA</v>
      </c>
      <c r="N173" s="135" t="s">
        <v>224</v>
      </c>
    </row>
    <row r="174" spans="2:14" x14ac:dyDescent="0.25">
      <c r="B174" s="134">
        <v>46150</v>
      </c>
      <c r="C174" s="138">
        <v>1</v>
      </c>
      <c r="D174" s="138" t="s">
        <v>176</v>
      </c>
      <c r="E174" s="135" t="s">
        <v>177</v>
      </c>
      <c r="F174" s="135" t="s">
        <v>2868</v>
      </c>
      <c r="G174" s="135" t="s">
        <v>2871</v>
      </c>
      <c r="H174" s="135">
        <v>70</v>
      </c>
      <c r="I174" s="135" t="s">
        <v>2869</v>
      </c>
      <c r="J174" s="135">
        <v>5301</v>
      </c>
      <c r="K174" s="140">
        <v>1372.96</v>
      </c>
      <c r="L174" s="135" t="s">
        <v>3048</v>
      </c>
      <c r="M174" s="135" t="str">
        <f t="shared" si="2"/>
        <v>FAZENDA PLATAFORMASILO PRODUCERESSOJA</v>
      </c>
      <c r="N174" s="135" t="s">
        <v>3729</v>
      </c>
    </row>
    <row r="175" spans="2:14" x14ac:dyDescent="0.25">
      <c r="B175" s="136">
        <v>46150</v>
      </c>
      <c r="C175" s="139">
        <v>1</v>
      </c>
      <c r="D175" s="139" t="s">
        <v>205</v>
      </c>
      <c r="E175" s="137" t="s">
        <v>206</v>
      </c>
      <c r="F175" s="137" t="s">
        <v>2757</v>
      </c>
      <c r="G175" s="137" t="s">
        <v>2963</v>
      </c>
      <c r="H175" s="137">
        <v>493</v>
      </c>
      <c r="I175" s="137" t="s">
        <v>7</v>
      </c>
      <c r="J175" s="137">
        <v>6776</v>
      </c>
      <c r="K175" s="141">
        <v>10689.82</v>
      </c>
      <c r="L175" s="137" t="s">
        <v>3049</v>
      </c>
      <c r="M175" s="135" t="str">
        <f t="shared" si="2"/>
        <v>MINERADORA PORTO FRANCO MABARROLANDIA VLIMATERIAL</v>
      </c>
      <c r="N175" s="135" t="s">
        <v>15</v>
      </c>
    </row>
    <row r="176" spans="2:14" x14ac:dyDescent="0.25">
      <c r="B176" s="134">
        <v>46150</v>
      </c>
      <c r="C176" s="138">
        <v>1</v>
      </c>
      <c r="D176" s="138" t="s">
        <v>188</v>
      </c>
      <c r="E176" s="135" t="s">
        <v>189</v>
      </c>
      <c r="F176" s="135" t="s">
        <v>276</v>
      </c>
      <c r="G176" s="135" t="s">
        <v>307</v>
      </c>
      <c r="H176" s="135">
        <v>175</v>
      </c>
      <c r="I176" s="135" t="s">
        <v>195</v>
      </c>
      <c r="J176" s="135">
        <v>8582</v>
      </c>
      <c r="K176" s="140">
        <v>4805.92</v>
      </c>
      <c r="L176" s="135" t="s">
        <v>3050</v>
      </c>
      <c r="M176" s="135" t="str">
        <f t="shared" si="2"/>
        <v>MINERADORA PORTO FRANCOAUGUSTINOPOLIS TO (EDEC)BRITA 1</v>
      </c>
      <c r="N176" s="135" t="s">
        <v>307</v>
      </c>
    </row>
    <row r="177" spans="2:14" x14ac:dyDescent="0.25">
      <c r="B177" s="136">
        <v>46150</v>
      </c>
      <c r="C177" s="139">
        <v>1</v>
      </c>
      <c r="D177" s="139" t="s">
        <v>203</v>
      </c>
      <c r="E177" s="137" t="s">
        <v>204</v>
      </c>
      <c r="F177" s="137" t="s">
        <v>2868</v>
      </c>
      <c r="G177" s="137" t="s">
        <v>2871</v>
      </c>
      <c r="H177" s="137">
        <v>70</v>
      </c>
      <c r="I177" s="137" t="s">
        <v>2869</v>
      </c>
      <c r="J177" s="137">
        <v>52563</v>
      </c>
      <c r="K177" s="141">
        <v>1361.38</v>
      </c>
      <c r="L177" s="137" t="s">
        <v>3051</v>
      </c>
      <c r="M177" s="135" t="str">
        <f t="shared" si="2"/>
        <v>FAZENDA PLATAFORMASILO PRODUCERESSOJA</v>
      </c>
      <c r="N177" s="135" t="s">
        <v>3729</v>
      </c>
    </row>
    <row r="178" spans="2:14" x14ac:dyDescent="0.25">
      <c r="B178" s="134">
        <v>46150</v>
      </c>
      <c r="C178" s="138">
        <v>1</v>
      </c>
      <c r="D178" s="138" t="s">
        <v>200</v>
      </c>
      <c r="E178" s="135" t="s">
        <v>201</v>
      </c>
      <c r="F178" s="135" t="s">
        <v>190</v>
      </c>
      <c r="G178" s="135" t="s">
        <v>198</v>
      </c>
      <c r="H178" s="135">
        <v>70</v>
      </c>
      <c r="I178" s="135" t="s">
        <v>165</v>
      </c>
      <c r="J178" s="135">
        <v>489</v>
      </c>
      <c r="K178" s="140">
        <v>1266.51</v>
      </c>
      <c r="L178" s="135" t="s">
        <v>3052</v>
      </c>
      <c r="M178" s="135" t="str">
        <f t="shared" si="2"/>
        <v>SERVENGUSINA SAO LUISPÓ DE BRITA</v>
      </c>
      <c r="N178" s="135" t="s">
        <v>224</v>
      </c>
    </row>
    <row r="179" spans="2:14" x14ac:dyDescent="0.25">
      <c r="B179" s="136">
        <v>46150</v>
      </c>
      <c r="C179" s="139">
        <v>1</v>
      </c>
      <c r="D179" s="139" t="s">
        <v>210</v>
      </c>
      <c r="E179" s="137" t="s">
        <v>211</v>
      </c>
      <c r="F179" s="137" t="s">
        <v>2868</v>
      </c>
      <c r="G179" s="137" t="s">
        <v>2871</v>
      </c>
      <c r="H179" s="137">
        <v>70</v>
      </c>
      <c r="I179" s="137" t="s">
        <v>2869</v>
      </c>
      <c r="J179" s="137">
        <v>5506</v>
      </c>
      <c r="K179" s="141">
        <v>1426.05</v>
      </c>
      <c r="L179" s="137" t="s">
        <v>3053</v>
      </c>
      <c r="M179" s="135" t="str">
        <f t="shared" si="2"/>
        <v>FAZENDA PLATAFORMASILO PRODUCERESSOJA</v>
      </c>
      <c r="N179" s="135" t="s">
        <v>3729</v>
      </c>
    </row>
    <row r="180" spans="2:14" x14ac:dyDescent="0.25">
      <c r="B180" s="134">
        <v>46150</v>
      </c>
      <c r="C180" s="138">
        <v>1</v>
      </c>
      <c r="D180" s="138" t="s">
        <v>179</v>
      </c>
      <c r="E180" s="135" t="s">
        <v>2863</v>
      </c>
      <c r="F180" s="135" t="s">
        <v>166</v>
      </c>
      <c r="G180" s="135" t="s">
        <v>111</v>
      </c>
      <c r="H180" s="135">
        <v>79</v>
      </c>
      <c r="I180" s="135" t="s">
        <v>169</v>
      </c>
      <c r="J180" s="135">
        <v>2766</v>
      </c>
      <c r="K180" s="140">
        <v>808.5</v>
      </c>
      <c r="L180" s="135" t="s">
        <v>3054</v>
      </c>
      <c r="M180" s="135" t="str">
        <f t="shared" si="2"/>
        <v>GRANORTEBEIRA RIOPULMÃOZINHO</v>
      </c>
      <c r="N180" s="135" t="s">
        <v>111</v>
      </c>
    </row>
    <row r="181" spans="2:14" x14ac:dyDescent="0.25">
      <c r="B181" s="136">
        <v>46150</v>
      </c>
      <c r="C181" s="139">
        <v>1</v>
      </c>
      <c r="D181" s="139" t="s">
        <v>179</v>
      </c>
      <c r="E181" s="137" t="s">
        <v>2863</v>
      </c>
      <c r="F181" s="137" t="s">
        <v>166</v>
      </c>
      <c r="G181" s="137" t="s">
        <v>111</v>
      </c>
      <c r="H181" s="137">
        <v>79</v>
      </c>
      <c r="I181" s="137" t="s">
        <v>169</v>
      </c>
      <c r="J181" s="137">
        <v>2778</v>
      </c>
      <c r="K181" s="141">
        <v>812.01</v>
      </c>
      <c r="L181" s="137" t="s">
        <v>3055</v>
      </c>
      <c r="M181" s="135" t="str">
        <f t="shared" si="2"/>
        <v>GRANORTEBEIRA RIOPULMÃOZINHO</v>
      </c>
      <c r="N181" s="137" t="s">
        <v>111</v>
      </c>
    </row>
    <row r="182" spans="2:14" x14ac:dyDescent="0.25">
      <c r="B182" s="134">
        <v>46150</v>
      </c>
      <c r="C182" s="138">
        <v>1</v>
      </c>
      <c r="D182" s="138" t="s">
        <v>1948</v>
      </c>
      <c r="E182" s="135" t="s">
        <v>1949</v>
      </c>
      <c r="F182" s="135" t="s">
        <v>2868</v>
      </c>
      <c r="G182" s="135" t="s">
        <v>2871</v>
      </c>
      <c r="H182" s="135">
        <v>70</v>
      </c>
      <c r="I182" s="135" t="s">
        <v>2869</v>
      </c>
      <c r="J182" s="135">
        <v>523</v>
      </c>
      <c r="K182" s="140">
        <v>1354.57</v>
      </c>
      <c r="L182" s="135" t="s">
        <v>3056</v>
      </c>
      <c r="M182" s="135" t="str">
        <f t="shared" si="2"/>
        <v>FAZENDA PLATAFORMASILO PRODUCERESSOJA</v>
      </c>
      <c r="N182" s="135" t="s">
        <v>3729</v>
      </c>
    </row>
    <row r="183" spans="2:14" x14ac:dyDescent="0.25">
      <c r="B183" s="136">
        <v>46150</v>
      </c>
      <c r="C183" s="139">
        <v>1</v>
      </c>
      <c r="D183" s="139" t="s">
        <v>192</v>
      </c>
      <c r="E183" s="137" t="s">
        <v>287</v>
      </c>
      <c r="F183" s="137" t="s">
        <v>2868</v>
      </c>
      <c r="G183" s="137" t="s">
        <v>2871</v>
      </c>
      <c r="H183" s="137">
        <v>70</v>
      </c>
      <c r="I183" s="137" t="s">
        <v>2869</v>
      </c>
      <c r="J183" s="137">
        <v>54466</v>
      </c>
      <c r="K183" s="141">
        <v>1410.67</v>
      </c>
      <c r="L183" s="137" t="s">
        <v>3057</v>
      </c>
      <c r="M183" s="135" t="str">
        <f t="shared" si="2"/>
        <v>FAZENDA PLATAFORMASILO PRODUCERESSOJA</v>
      </c>
      <c r="N183" s="135" t="s">
        <v>3729</v>
      </c>
    </row>
    <row r="184" spans="2:14" x14ac:dyDescent="0.25">
      <c r="B184" s="134">
        <v>46150</v>
      </c>
      <c r="C184" s="138">
        <v>1</v>
      </c>
      <c r="D184" s="138" t="s">
        <v>183</v>
      </c>
      <c r="E184" s="135" t="s">
        <v>184</v>
      </c>
      <c r="F184" s="135" t="s">
        <v>166</v>
      </c>
      <c r="G184" s="135" t="s">
        <v>111</v>
      </c>
      <c r="H184" s="135">
        <v>79</v>
      </c>
      <c r="I184" s="135" t="s">
        <v>169</v>
      </c>
      <c r="J184" s="135">
        <v>2594</v>
      </c>
      <c r="K184" s="140">
        <v>758.23</v>
      </c>
      <c r="L184" s="135" t="s">
        <v>3058</v>
      </c>
      <c r="M184" s="135" t="str">
        <f t="shared" si="2"/>
        <v>GRANORTEBEIRA RIOPULMÃOZINHO</v>
      </c>
      <c r="N184" s="135" t="s">
        <v>111</v>
      </c>
    </row>
    <row r="185" spans="2:14" x14ac:dyDescent="0.25">
      <c r="B185" s="136">
        <v>46150</v>
      </c>
      <c r="C185" s="139">
        <v>1</v>
      </c>
      <c r="D185" s="139" t="s">
        <v>183</v>
      </c>
      <c r="E185" s="137" t="s">
        <v>184</v>
      </c>
      <c r="F185" s="137" t="s">
        <v>166</v>
      </c>
      <c r="G185" s="137" t="s">
        <v>111</v>
      </c>
      <c r="H185" s="137">
        <v>79</v>
      </c>
      <c r="I185" s="137" t="s">
        <v>172</v>
      </c>
      <c r="J185" s="137">
        <v>2554</v>
      </c>
      <c r="K185" s="141">
        <v>746.53</v>
      </c>
      <c r="L185" s="137" t="s">
        <v>3059</v>
      </c>
      <c r="M185" s="135" t="str">
        <f t="shared" si="2"/>
        <v>GRANORTEBEIRA RIOBICA CORRIDA</v>
      </c>
      <c r="N185" s="137" t="s">
        <v>111</v>
      </c>
    </row>
    <row r="186" spans="2:14" x14ac:dyDescent="0.25">
      <c r="B186" s="134">
        <v>46150</v>
      </c>
      <c r="C186" s="138">
        <v>1</v>
      </c>
      <c r="D186" s="138" t="s">
        <v>173</v>
      </c>
      <c r="E186" s="135" t="s">
        <v>174</v>
      </c>
      <c r="F186" s="135" t="s">
        <v>166</v>
      </c>
      <c r="G186" s="135" t="s">
        <v>164</v>
      </c>
      <c r="H186" s="135">
        <v>58</v>
      </c>
      <c r="I186" s="135" t="s">
        <v>165</v>
      </c>
      <c r="J186" s="135">
        <v>3002</v>
      </c>
      <c r="K186" s="140">
        <v>644.23</v>
      </c>
      <c r="L186" s="135" t="s">
        <v>3060</v>
      </c>
      <c r="M186" s="135" t="str">
        <f t="shared" si="2"/>
        <v>GRANORTEUA SAO LUISPÓ DE BRITA</v>
      </c>
      <c r="N186" s="135" t="s">
        <v>224</v>
      </c>
    </row>
    <row r="187" spans="2:14" x14ac:dyDescent="0.25">
      <c r="B187" s="136">
        <v>46150</v>
      </c>
      <c r="C187" s="139">
        <v>1</v>
      </c>
      <c r="D187" s="139" t="s">
        <v>173</v>
      </c>
      <c r="E187" s="137" t="s">
        <v>174</v>
      </c>
      <c r="F187" s="137" t="s">
        <v>166</v>
      </c>
      <c r="G187" s="137" t="s">
        <v>164</v>
      </c>
      <c r="H187" s="137">
        <v>58</v>
      </c>
      <c r="I187" s="137" t="s">
        <v>165</v>
      </c>
      <c r="J187" s="137">
        <v>3948</v>
      </c>
      <c r="K187" s="141">
        <v>847.24</v>
      </c>
      <c r="L187" s="137" t="s">
        <v>3061</v>
      </c>
      <c r="M187" s="135" t="str">
        <f t="shared" si="2"/>
        <v>GRANORTEUA SAO LUISPÓ DE BRITA</v>
      </c>
      <c r="N187" s="135" t="s">
        <v>224</v>
      </c>
    </row>
    <row r="188" spans="2:14" x14ac:dyDescent="0.25">
      <c r="B188" s="134">
        <v>46150</v>
      </c>
      <c r="C188" s="138">
        <v>1</v>
      </c>
      <c r="D188" s="138" t="s">
        <v>173</v>
      </c>
      <c r="E188" s="135" t="s">
        <v>174</v>
      </c>
      <c r="F188" s="135" t="s">
        <v>163</v>
      </c>
      <c r="G188" s="135" t="s">
        <v>164</v>
      </c>
      <c r="H188" s="135">
        <v>52</v>
      </c>
      <c r="I188" s="135" t="s">
        <v>165</v>
      </c>
      <c r="J188" s="135">
        <v>4128</v>
      </c>
      <c r="K188" s="140">
        <v>794.23</v>
      </c>
      <c r="L188" s="135" t="s">
        <v>3062</v>
      </c>
      <c r="M188" s="135" t="str">
        <f t="shared" si="2"/>
        <v>BRASIL MINERACAOUA SAO LUISPÓ DE BRITA</v>
      </c>
      <c r="N188" s="135" t="s">
        <v>224</v>
      </c>
    </row>
    <row r="189" spans="2:14" x14ac:dyDescent="0.25">
      <c r="B189" s="136">
        <v>46150</v>
      </c>
      <c r="C189" s="139">
        <v>1</v>
      </c>
      <c r="D189" s="139" t="s">
        <v>1948</v>
      </c>
      <c r="E189" s="137" t="s">
        <v>1949</v>
      </c>
      <c r="F189" s="137" t="s">
        <v>2868</v>
      </c>
      <c r="G189" s="137" t="s">
        <v>2871</v>
      </c>
      <c r="H189" s="137">
        <v>70</v>
      </c>
      <c r="I189" s="137" t="s">
        <v>2869</v>
      </c>
      <c r="J189" s="137">
        <v>5338</v>
      </c>
      <c r="K189" s="141">
        <v>1382.54</v>
      </c>
      <c r="L189" s="137" t="s">
        <v>3063</v>
      </c>
      <c r="M189" s="135" t="str">
        <f t="shared" si="2"/>
        <v>FAZENDA PLATAFORMASILO PRODUCERESSOJA</v>
      </c>
      <c r="N189" s="135" t="s">
        <v>3729</v>
      </c>
    </row>
    <row r="190" spans="2:14" x14ac:dyDescent="0.25">
      <c r="B190" s="134">
        <v>46150</v>
      </c>
      <c r="C190" s="138">
        <v>1</v>
      </c>
      <c r="D190" s="138" t="s">
        <v>300</v>
      </c>
      <c r="E190" s="135" t="s">
        <v>1536</v>
      </c>
      <c r="F190" s="135" t="s">
        <v>2757</v>
      </c>
      <c r="G190" s="135" t="s">
        <v>2867</v>
      </c>
      <c r="H190" s="135">
        <v>383</v>
      </c>
      <c r="I190" s="135" t="s">
        <v>279</v>
      </c>
      <c r="J190" s="135">
        <v>5648</v>
      </c>
      <c r="K190" s="140">
        <v>6922.19</v>
      </c>
      <c r="L190" s="135" t="s">
        <v>3064</v>
      </c>
      <c r="M190" s="135" t="str">
        <f t="shared" si="2"/>
        <v>MINERADORA PORTO FRANCO MAVALE KM324MATACO</v>
      </c>
      <c r="N190" s="135" t="s">
        <v>15</v>
      </c>
    </row>
    <row r="191" spans="2:14" x14ac:dyDescent="0.25">
      <c r="B191" s="136">
        <v>46150</v>
      </c>
      <c r="C191" s="139">
        <v>1</v>
      </c>
      <c r="D191" s="139" t="s">
        <v>186</v>
      </c>
      <c r="E191" s="137" t="s">
        <v>187</v>
      </c>
      <c r="F191" s="137" t="s">
        <v>276</v>
      </c>
      <c r="G191" s="137" t="s">
        <v>2143</v>
      </c>
      <c r="H191" s="137">
        <v>281</v>
      </c>
      <c r="I191" s="137" t="s">
        <v>207</v>
      </c>
      <c r="J191" s="137">
        <v>6954</v>
      </c>
      <c r="K191" s="141">
        <v>6253.04</v>
      </c>
      <c r="L191" s="137" t="s">
        <v>3065</v>
      </c>
      <c r="M191" s="135" t="str">
        <f t="shared" si="2"/>
        <v>MINERADORA PORTO FRANCOSAO PEDRO DA AGUA BRANCARACHÃO</v>
      </c>
      <c r="N191" s="135" t="s">
        <v>15</v>
      </c>
    </row>
    <row r="192" spans="2:14" x14ac:dyDescent="0.25">
      <c r="B192" s="134">
        <v>46150</v>
      </c>
      <c r="C192" s="138">
        <v>1</v>
      </c>
      <c r="D192" s="138" t="s">
        <v>173</v>
      </c>
      <c r="E192" s="135" t="s">
        <v>174</v>
      </c>
      <c r="F192" s="135" t="s">
        <v>166</v>
      </c>
      <c r="G192" s="135" t="s">
        <v>164</v>
      </c>
      <c r="H192" s="135">
        <v>58</v>
      </c>
      <c r="I192" s="135" t="s">
        <v>165</v>
      </c>
      <c r="J192" s="135">
        <v>398</v>
      </c>
      <c r="K192" s="140">
        <v>854.11</v>
      </c>
      <c r="L192" s="135" t="s">
        <v>3066</v>
      </c>
      <c r="M192" s="135" t="str">
        <f t="shared" si="2"/>
        <v>GRANORTEUA SAO LUISPÓ DE BRITA</v>
      </c>
      <c r="N192" s="135" t="s">
        <v>224</v>
      </c>
    </row>
    <row r="193" spans="2:14" x14ac:dyDescent="0.25">
      <c r="B193" s="136">
        <v>46151</v>
      </c>
      <c r="C193" s="139">
        <v>1</v>
      </c>
      <c r="D193" s="139" t="s">
        <v>205</v>
      </c>
      <c r="E193" s="137" t="s">
        <v>206</v>
      </c>
      <c r="F193" s="137" t="s">
        <v>276</v>
      </c>
      <c r="G193" s="137" t="s">
        <v>307</v>
      </c>
      <c r="H193" s="137">
        <v>175</v>
      </c>
      <c r="I193" s="137" t="s">
        <v>195</v>
      </c>
      <c r="J193" s="137">
        <v>7154</v>
      </c>
      <c r="K193" s="141">
        <v>4006.24</v>
      </c>
      <c r="L193" s="137" t="s">
        <v>3067</v>
      </c>
      <c r="M193" s="135" t="str">
        <f t="shared" si="2"/>
        <v>MINERADORA PORTO FRANCOAUGUSTINOPOLIS TO (EDEC)BRITA 1</v>
      </c>
      <c r="N193" s="137" t="s">
        <v>307</v>
      </c>
    </row>
    <row r="194" spans="2:14" x14ac:dyDescent="0.25">
      <c r="B194" s="134">
        <v>46151</v>
      </c>
      <c r="C194" s="138">
        <v>1</v>
      </c>
      <c r="D194" s="138" t="s">
        <v>167</v>
      </c>
      <c r="E194" s="135" t="s">
        <v>168</v>
      </c>
      <c r="F194" s="135" t="s">
        <v>166</v>
      </c>
      <c r="G194" s="135" t="s">
        <v>824</v>
      </c>
      <c r="H194" s="135">
        <v>78</v>
      </c>
      <c r="I194" s="135" t="s">
        <v>172</v>
      </c>
      <c r="J194" s="135">
        <v>253</v>
      </c>
      <c r="K194" s="140">
        <v>730.16</v>
      </c>
      <c r="L194" s="135" t="s">
        <v>3068</v>
      </c>
      <c r="M194" s="135" t="str">
        <f t="shared" si="2"/>
        <v>GRANORTECRUZAMENTO MA 201/202 (METROPOLITANA)BICA CORRIDA</v>
      </c>
      <c r="N194" s="137" t="s">
        <v>108</v>
      </c>
    </row>
    <row r="195" spans="2:14" x14ac:dyDescent="0.25">
      <c r="B195" s="136">
        <v>46151</v>
      </c>
      <c r="C195" s="139">
        <v>1</v>
      </c>
      <c r="D195" s="139" t="s">
        <v>342</v>
      </c>
      <c r="E195" s="137" t="s">
        <v>171</v>
      </c>
      <c r="F195" s="137" t="s">
        <v>163</v>
      </c>
      <c r="G195" s="137" t="s">
        <v>164</v>
      </c>
      <c r="H195" s="137">
        <v>52</v>
      </c>
      <c r="I195" s="137" t="s">
        <v>165</v>
      </c>
      <c r="J195" s="137">
        <v>5036</v>
      </c>
      <c r="K195" s="141">
        <v>968.93</v>
      </c>
      <c r="L195" s="137" t="s">
        <v>3069</v>
      </c>
      <c r="M195" s="135" t="str">
        <f t="shared" si="2"/>
        <v>BRASIL MINERACAOUA SAO LUISPÓ DE BRITA</v>
      </c>
      <c r="N195" s="135" t="s">
        <v>224</v>
      </c>
    </row>
    <row r="196" spans="2:14" x14ac:dyDescent="0.25">
      <c r="B196" s="134">
        <v>46151</v>
      </c>
      <c r="C196" s="138">
        <v>1</v>
      </c>
      <c r="D196" s="138" t="s">
        <v>1127</v>
      </c>
      <c r="E196" s="135" t="s">
        <v>282</v>
      </c>
      <c r="F196" s="135" t="s">
        <v>163</v>
      </c>
      <c r="G196" s="135" t="s">
        <v>164</v>
      </c>
      <c r="H196" s="135">
        <v>52</v>
      </c>
      <c r="I196" s="135" t="s">
        <v>165</v>
      </c>
      <c r="J196" s="135">
        <v>2638</v>
      </c>
      <c r="K196" s="140">
        <v>507.55</v>
      </c>
      <c r="L196" s="135" t="s">
        <v>3070</v>
      </c>
      <c r="M196" s="135" t="str">
        <f t="shared" si="2"/>
        <v>BRASIL MINERACAOUA SAO LUISPÓ DE BRITA</v>
      </c>
      <c r="N196" s="135" t="s">
        <v>224</v>
      </c>
    </row>
    <row r="197" spans="2:14" x14ac:dyDescent="0.25">
      <c r="B197" s="136">
        <v>46151</v>
      </c>
      <c r="C197" s="139">
        <v>1</v>
      </c>
      <c r="D197" s="139" t="s">
        <v>167</v>
      </c>
      <c r="E197" s="137" t="s">
        <v>168</v>
      </c>
      <c r="F197" s="137" t="s">
        <v>166</v>
      </c>
      <c r="G197" s="137" t="s">
        <v>111</v>
      </c>
      <c r="H197" s="137">
        <v>79</v>
      </c>
      <c r="I197" s="137" t="s">
        <v>185</v>
      </c>
      <c r="J197" s="137">
        <v>274</v>
      </c>
      <c r="K197" s="141">
        <v>800.9</v>
      </c>
      <c r="L197" s="137" t="s">
        <v>3071</v>
      </c>
      <c r="M197" s="135" t="str">
        <f t="shared" ref="M197:M260" si="3">CONCATENATE(F197&amp;G197&amp;I197)</f>
        <v>GRANORTEBEIRA RIORACHÃOZINHO</v>
      </c>
      <c r="N197" s="137" t="s">
        <v>111</v>
      </c>
    </row>
    <row r="198" spans="2:14" x14ac:dyDescent="0.25">
      <c r="B198" s="134">
        <v>46151</v>
      </c>
      <c r="C198" s="138">
        <v>1</v>
      </c>
      <c r="D198" s="138" t="s">
        <v>202</v>
      </c>
      <c r="E198" s="135" t="s">
        <v>214</v>
      </c>
      <c r="F198" s="135" t="s">
        <v>163</v>
      </c>
      <c r="G198" s="135" t="s">
        <v>164</v>
      </c>
      <c r="H198" s="135">
        <v>52</v>
      </c>
      <c r="I198" s="135" t="s">
        <v>165</v>
      </c>
      <c r="J198" s="135">
        <v>7008</v>
      </c>
      <c r="K198" s="140">
        <v>1348.34</v>
      </c>
      <c r="L198" s="135" t="s">
        <v>3072</v>
      </c>
      <c r="M198" s="135" t="str">
        <f t="shared" si="3"/>
        <v>BRASIL MINERACAOUA SAO LUISPÓ DE BRITA</v>
      </c>
      <c r="N198" s="135" t="s">
        <v>224</v>
      </c>
    </row>
    <row r="199" spans="2:14" x14ac:dyDescent="0.25">
      <c r="B199" s="136">
        <v>46151</v>
      </c>
      <c r="C199" s="139">
        <v>1</v>
      </c>
      <c r="D199" s="139" t="s">
        <v>1129</v>
      </c>
      <c r="E199" s="137" t="s">
        <v>2396</v>
      </c>
      <c r="F199" s="137" t="s">
        <v>166</v>
      </c>
      <c r="G199" s="137" t="s">
        <v>111</v>
      </c>
      <c r="H199" s="137">
        <v>79</v>
      </c>
      <c r="I199" s="137" t="s">
        <v>169</v>
      </c>
      <c r="J199" s="137">
        <v>2692</v>
      </c>
      <c r="K199" s="141">
        <v>786.87</v>
      </c>
      <c r="L199" s="137" t="s">
        <v>3073</v>
      </c>
      <c r="M199" s="135" t="str">
        <f t="shared" si="3"/>
        <v>GRANORTEBEIRA RIOPULMÃOZINHO</v>
      </c>
      <c r="N199" s="137" t="s">
        <v>111</v>
      </c>
    </row>
    <row r="200" spans="2:14" x14ac:dyDescent="0.25">
      <c r="B200" s="134">
        <v>46151</v>
      </c>
      <c r="C200" s="138">
        <v>1</v>
      </c>
      <c r="D200" s="138" t="s">
        <v>208</v>
      </c>
      <c r="E200" s="135" t="s">
        <v>209</v>
      </c>
      <c r="F200" s="135" t="s">
        <v>163</v>
      </c>
      <c r="G200" s="135" t="s">
        <v>164</v>
      </c>
      <c r="H200" s="135">
        <v>52</v>
      </c>
      <c r="I200" s="135" t="s">
        <v>165</v>
      </c>
      <c r="J200" s="135">
        <v>500</v>
      </c>
      <c r="K200" s="140">
        <v>962</v>
      </c>
      <c r="L200" s="135" t="s">
        <v>3074</v>
      </c>
      <c r="M200" s="135" t="str">
        <f t="shared" si="3"/>
        <v>BRASIL MINERACAOUA SAO LUISPÓ DE BRITA</v>
      </c>
      <c r="N200" s="135" t="s">
        <v>224</v>
      </c>
    </row>
    <row r="201" spans="2:14" x14ac:dyDescent="0.25">
      <c r="B201" s="136">
        <v>46151</v>
      </c>
      <c r="C201" s="139">
        <v>1</v>
      </c>
      <c r="D201" s="139" t="s">
        <v>183</v>
      </c>
      <c r="E201" s="137" t="s">
        <v>184</v>
      </c>
      <c r="F201" s="137" t="s">
        <v>166</v>
      </c>
      <c r="G201" s="137" t="s">
        <v>111</v>
      </c>
      <c r="H201" s="137">
        <v>79</v>
      </c>
      <c r="I201" s="137" t="s">
        <v>169</v>
      </c>
      <c r="J201" s="137">
        <v>2614</v>
      </c>
      <c r="K201" s="141">
        <v>764.07</v>
      </c>
      <c r="L201" s="137" t="s">
        <v>3075</v>
      </c>
      <c r="M201" s="135" t="str">
        <f t="shared" si="3"/>
        <v>GRANORTEBEIRA RIOPULMÃOZINHO</v>
      </c>
      <c r="N201" s="137" t="s">
        <v>111</v>
      </c>
    </row>
    <row r="202" spans="2:14" x14ac:dyDescent="0.25">
      <c r="B202" s="134">
        <v>46151</v>
      </c>
      <c r="C202" s="138">
        <v>1</v>
      </c>
      <c r="D202" s="138" t="s">
        <v>183</v>
      </c>
      <c r="E202" s="135" t="s">
        <v>184</v>
      </c>
      <c r="F202" s="135" t="s">
        <v>166</v>
      </c>
      <c r="G202" s="135" t="s">
        <v>111</v>
      </c>
      <c r="H202" s="135">
        <v>79</v>
      </c>
      <c r="I202" s="135" t="s">
        <v>169</v>
      </c>
      <c r="J202" s="135">
        <v>2636</v>
      </c>
      <c r="K202" s="140">
        <v>770.5</v>
      </c>
      <c r="L202" s="135" t="s">
        <v>3076</v>
      </c>
      <c r="M202" s="135" t="str">
        <f t="shared" si="3"/>
        <v>GRANORTEBEIRA RIOPULMÃOZINHO</v>
      </c>
      <c r="N202" s="135" t="s">
        <v>111</v>
      </c>
    </row>
    <row r="203" spans="2:14" x14ac:dyDescent="0.25">
      <c r="B203" s="136">
        <v>46151</v>
      </c>
      <c r="C203" s="139">
        <v>1</v>
      </c>
      <c r="D203" s="139" t="s">
        <v>176</v>
      </c>
      <c r="E203" s="137" t="s">
        <v>177</v>
      </c>
      <c r="F203" s="137" t="s">
        <v>2868</v>
      </c>
      <c r="G203" s="137" t="s">
        <v>2871</v>
      </c>
      <c r="H203" s="137">
        <v>70</v>
      </c>
      <c r="I203" s="137" t="s">
        <v>2869</v>
      </c>
      <c r="J203" s="137">
        <v>5308</v>
      </c>
      <c r="K203" s="141">
        <v>1374.77</v>
      </c>
      <c r="L203" s="137" t="s">
        <v>3077</v>
      </c>
      <c r="M203" s="135" t="str">
        <f t="shared" si="3"/>
        <v>FAZENDA PLATAFORMASILO PRODUCERESSOJA</v>
      </c>
      <c r="N203" s="135" t="s">
        <v>3729</v>
      </c>
    </row>
    <row r="204" spans="2:14" x14ac:dyDescent="0.25">
      <c r="B204" s="134">
        <v>46151</v>
      </c>
      <c r="C204" s="138">
        <v>1</v>
      </c>
      <c r="D204" s="138" t="s">
        <v>192</v>
      </c>
      <c r="E204" s="135" t="s">
        <v>287</v>
      </c>
      <c r="F204" s="135" t="s">
        <v>2868</v>
      </c>
      <c r="G204" s="135" t="s">
        <v>2871</v>
      </c>
      <c r="H204" s="135">
        <v>70</v>
      </c>
      <c r="I204" s="135" t="s">
        <v>2869</v>
      </c>
      <c r="J204" s="135">
        <v>53461</v>
      </c>
      <c r="K204" s="140">
        <v>1384.64</v>
      </c>
      <c r="L204" s="135" t="s">
        <v>3078</v>
      </c>
      <c r="M204" s="135" t="str">
        <f t="shared" si="3"/>
        <v>FAZENDA PLATAFORMASILO PRODUCERESSOJA</v>
      </c>
      <c r="N204" s="135" t="s">
        <v>3729</v>
      </c>
    </row>
    <row r="205" spans="2:14" x14ac:dyDescent="0.25">
      <c r="B205" s="136">
        <v>46151</v>
      </c>
      <c r="C205" s="139">
        <v>1</v>
      </c>
      <c r="D205" s="139" t="s">
        <v>179</v>
      </c>
      <c r="E205" s="137" t="s">
        <v>2863</v>
      </c>
      <c r="F205" s="137" t="s">
        <v>166</v>
      </c>
      <c r="G205" s="137" t="s">
        <v>111</v>
      </c>
      <c r="H205" s="137">
        <v>79</v>
      </c>
      <c r="I205" s="137" t="s">
        <v>169</v>
      </c>
      <c r="J205" s="137">
        <v>2604</v>
      </c>
      <c r="K205" s="141">
        <v>761.15</v>
      </c>
      <c r="L205" s="137" t="s">
        <v>3079</v>
      </c>
      <c r="M205" s="135" t="str">
        <f t="shared" si="3"/>
        <v>GRANORTEBEIRA RIOPULMÃOZINHO</v>
      </c>
      <c r="N205" s="137" t="s">
        <v>111</v>
      </c>
    </row>
    <row r="206" spans="2:14" x14ac:dyDescent="0.25">
      <c r="B206" s="134">
        <v>46151</v>
      </c>
      <c r="C206" s="138">
        <v>1</v>
      </c>
      <c r="D206" s="138" t="s">
        <v>200</v>
      </c>
      <c r="E206" s="135" t="s">
        <v>201</v>
      </c>
      <c r="F206" s="135" t="s">
        <v>163</v>
      </c>
      <c r="G206" s="135" t="s">
        <v>164</v>
      </c>
      <c r="H206" s="135">
        <v>52</v>
      </c>
      <c r="I206" s="135" t="s">
        <v>165</v>
      </c>
      <c r="J206" s="135">
        <v>468</v>
      </c>
      <c r="K206" s="140">
        <v>900.43</v>
      </c>
      <c r="L206" s="135" t="s">
        <v>3080</v>
      </c>
      <c r="M206" s="135" t="str">
        <f t="shared" si="3"/>
        <v>BRASIL MINERACAOUA SAO LUISPÓ DE BRITA</v>
      </c>
      <c r="N206" s="135" t="s">
        <v>224</v>
      </c>
    </row>
    <row r="207" spans="2:14" x14ac:dyDescent="0.25">
      <c r="B207" s="136">
        <v>46151</v>
      </c>
      <c r="C207" s="139">
        <v>1</v>
      </c>
      <c r="D207" s="139" t="s">
        <v>173</v>
      </c>
      <c r="E207" s="137" t="s">
        <v>174</v>
      </c>
      <c r="F207" s="137" t="s">
        <v>166</v>
      </c>
      <c r="G207" s="137" t="s">
        <v>111</v>
      </c>
      <c r="H207" s="137">
        <v>79</v>
      </c>
      <c r="I207" s="137" t="s">
        <v>169</v>
      </c>
      <c r="J207" s="137">
        <v>2954</v>
      </c>
      <c r="K207" s="141">
        <v>863.45</v>
      </c>
      <c r="L207" s="137" t="s">
        <v>3081</v>
      </c>
      <c r="M207" s="135" t="str">
        <f t="shared" si="3"/>
        <v>GRANORTEBEIRA RIOPULMÃOZINHO</v>
      </c>
      <c r="N207" s="137" t="s">
        <v>111</v>
      </c>
    </row>
    <row r="208" spans="2:14" x14ac:dyDescent="0.25">
      <c r="B208" s="134">
        <v>46151</v>
      </c>
      <c r="C208" s="138">
        <v>1</v>
      </c>
      <c r="D208" s="138" t="s">
        <v>173</v>
      </c>
      <c r="E208" s="135" t="s">
        <v>174</v>
      </c>
      <c r="F208" s="135" t="s">
        <v>166</v>
      </c>
      <c r="G208" s="135" t="s">
        <v>111</v>
      </c>
      <c r="H208" s="135">
        <v>79</v>
      </c>
      <c r="I208" s="135" t="s">
        <v>169</v>
      </c>
      <c r="J208" s="135">
        <v>3946</v>
      </c>
      <c r="K208" s="140">
        <v>1153.42</v>
      </c>
      <c r="L208" s="135" t="s">
        <v>3082</v>
      </c>
      <c r="M208" s="135" t="str">
        <f t="shared" si="3"/>
        <v>GRANORTEBEIRA RIOPULMÃOZINHO</v>
      </c>
      <c r="N208" s="135" t="s">
        <v>111</v>
      </c>
    </row>
    <row r="209" spans="2:14" x14ac:dyDescent="0.25">
      <c r="B209" s="136">
        <v>46152</v>
      </c>
      <c r="C209" s="139">
        <v>1</v>
      </c>
      <c r="D209" s="139" t="s">
        <v>210</v>
      </c>
      <c r="E209" s="137" t="s">
        <v>211</v>
      </c>
      <c r="F209" s="137" t="s">
        <v>2868</v>
      </c>
      <c r="G209" s="137" t="s">
        <v>2871</v>
      </c>
      <c r="H209" s="137">
        <v>70</v>
      </c>
      <c r="I209" s="137" t="s">
        <v>2869</v>
      </c>
      <c r="J209" s="137">
        <v>52028</v>
      </c>
      <c r="K209" s="141">
        <v>1347.53</v>
      </c>
      <c r="L209" s="137" t="s">
        <v>3083</v>
      </c>
      <c r="M209" s="135" t="str">
        <f t="shared" si="3"/>
        <v>FAZENDA PLATAFORMASILO PRODUCERESSOJA</v>
      </c>
      <c r="N209" s="135" t="s">
        <v>3729</v>
      </c>
    </row>
    <row r="210" spans="2:14" x14ac:dyDescent="0.25">
      <c r="B210" s="134">
        <v>46152</v>
      </c>
      <c r="C210" s="138">
        <v>1</v>
      </c>
      <c r="D210" s="138" t="s">
        <v>203</v>
      </c>
      <c r="E210" s="135" t="s">
        <v>204</v>
      </c>
      <c r="F210" s="135" t="s">
        <v>2868</v>
      </c>
      <c r="G210" s="135" t="s">
        <v>2871</v>
      </c>
      <c r="H210" s="135">
        <v>70</v>
      </c>
      <c r="I210" s="135" t="s">
        <v>2869</v>
      </c>
      <c r="J210" s="135">
        <v>52464</v>
      </c>
      <c r="K210" s="140">
        <v>1358.82</v>
      </c>
      <c r="L210" s="135" t="s">
        <v>3084</v>
      </c>
      <c r="M210" s="135" t="str">
        <f t="shared" si="3"/>
        <v>FAZENDA PLATAFORMASILO PRODUCERESSOJA</v>
      </c>
      <c r="N210" s="135" t="s">
        <v>3729</v>
      </c>
    </row>
    <row r="211" spans="2:14" x14ac:dyDescent="0.25">
      <c r="B211" s="136">
        <v>46153</v>
      </c>
      <c r="C211" s="139">
        <v>1</v>
      </c>
      <c r="D211" s="139" t="s">
        <v>2866</v>
      </c>
      <c r="E211" s="137" t="s">
        <v>281</v>
      </c>
      <c r="F211" s="137" t="s">
        <v>163</v>
      </c>
      <c r="G211" s="137" t="s">
        <v>164</v>
      </c>
      <c r="H211" s="137">
        <v>52</v>
      </c>
      <c r="I211" s="137" t="s">
        <v>165</v>
      </c>
      <c r="J211" s="137">
        <v>399</v>
      </c>
      <c r="K211" s="141">
        <v>767.68</v>
      </c>
      <c r="L211" s="137" t="s">
        <v>3085</v>
      </c>
      <c r="M211" s="135" t="str">
        <f t="shared" si="3"/>
        <v>BRASIL MINERACAOUA SAO LUISPÓ DE BRITA</v>
      </c>
      <c r="N211" s="135" t="s">
        <v>224</v>
      </c>
    </row>
    <row r="212" spans="2:14" x14ac:dyDescent="0.25">
      <c r="B212" s="134">
        <v>46153</v>
      </c>
      <c r="C212" s="138">
        <v>1</v>
      </c>
      <c r="D212" s="138" t="s">
        <v>342</v>
      </c>
      <c r="E212" s="135" t="s">
        <v>171</v>
      </c>
      <c r="F212" s="135" t="s">
        <v>163</v>
      </c>
      <c r="G212" s="135" t="s">
        <v>164</v>
      </c>
      <c r="H212" s="135">
        <v>52</v>
      </c>
      <c r="I212" s="135" t="s">
        <v>165</v>
      </c>
      <c r="J212" s="135">
        <v>4888</v>
      </c>
      <c r="K212" s="140">
        <v>940.45</v>
      </c>
      <c r="L212" s="135" t="s">
        <v>3086</v>
      </c>
      <c r="M212" s="135" t="str">
        <f t="shared" si="3"/>
        <v>BRASIL MINERACAOUA SAO LUISPÓ DE BRITA</v>
      </c>
      <c r="N212" s="135" t="s">
        <v>224</v>
      </c>
    </row>
    <row r="213" spans="2:14" x14ac:dyDescent="0.25">
      <c r="B213" s="136">
        <v>46153</v>
      </c>
      <c r="C213" s="139">
        <v>1</v>
      </c>
      <c r="D213" s="139" t="s">
        <v>202</v>
      </c>
      <c r="E213" s="137" t="s">
        <v>214</v>
      </c>
      <c r="F213" s="137" t="s">
        <v>166</v>
      </c>
      <c r="G213" s="137" t="s">
        <v>164</v>
      </c>
      <c r="H213" s="137">
        <v>58</v>
      </c>
      <c r="I213" s="137" t="s">
        <v>165</v>
      </c>
      <c r="J213" s="137">
        <v>5266</v>
      </c>
      <c r="K213" s="141">
        <v>1130.08</v>
      </c>
      <c r="L213" s="137" t="s">
        <v>3087</v>
      </c>
      <c r="M213" s="135" t="str">
        <f t="shared" si="3"/>
        <v>GRANORTEUA SAO LUISPÓ DE BRITA</v>
      </c>
      <c r="N213" s="135" t="s">
        <v>224</v>
      </c>
    </row>
    <row r="214" spans="2:14" x14ac:dyDescent="0.25">
      <c r="B214" s="134">
        <v>46153</v>
      </c>
      <c r="C214" s="138">
        <v>1</v>
      </c>
      <c r="D214" s="138" t="s">
        <v>200</v>
      </c>
      <c r="E214" s="135" t="s">
        <v>201</v>
      </c>
      <c r="F214" s="135" t="s">
        <v>190</v>
      </c>
      <c r="G214" s="135" t="s">
        <v>198</v>
      </c>
      <c r="H214" s="135">
        <v>70</v>
      </c>
      <c r="I214" s="135" t="s">
        <v>165</v>
      </c>
      <c r="J214" s="135">
        <v>4784</v>
      </c>
      <c r="K214" s="140">
        <v>1239.06</v>
      </c>
      <c r="L214" s="135" t="s">
        <v>3088</v>
      </c>
      <c r="M214" s="135" t="str">
        <f t="shared" si="3"/>
        <v>SERVENGUSINA SAO LUISPÓ DE BRITA</v>
      </c>
      <c r="N214" s="135" t="s">
        <v>224</v>
      </c>
    </row>
    <row r="215" spans="2:14" x14ac:dyDescent="0.25">
      <c r="B215" s="136">
        <v>46153</v>
      </c>
      <c r="C215" s="139">
        <v>1</v>
      </c>
      <c r="D215" s="139" t="s">
        <v>173</v>
      </c>
      <c r="E215" s="137" t="s">
        <v>174</v>
      </c>
      <c r="F215" s="137" t="s">
        <v>166</v>
      </c>
      <c r="G215" s="137" t="s">
        <v>164</v>
      </c>
      <c r="H215" s="137">
        <v>58</v>
      </c>
      <c r="I215" s="137" t="s">
        <v>165</v>
      </c>
      <c r="J215" s="137">
        <v>4101</v>
      </c>
      <c r="K215" s="141">
        <v>880.07</v>
      </c>
      <c r="L215" s="137" t="s">
        <v>3089</v>
      </c>
      <c r="M215" s="135" t="str">
        <f t="shared" si="3"/>
        <v>GRANORTEUA SAO LUISPÓ DE BRITA</v>
      </c>
      <c r="N215" s="135" t="s">
        <v>224</v>
      </c>
    </row>
    <row r="216" spans="2:14" x14ac:dyDescent="0.25">
      <c r="B216" s="134">
        <v>46153</v>
      </c>
      <c r="C216" s="138">
        <v>1</v>
      </c>
      <c r="D216" s="138" t="s">
        <v>219</v>
      </c>
      <c r="E216" s="135" t="s">
        <v>220</v>
      </c>
      <c r="F216" s="135" t="s">
        <v>190</v>
      </c>
      <c r="G216" s="135" t="s">
        <v>198</v>
      </c>
      <c r="H216" s="135">
        <v>70</v>
      </c>
      <c r="I216" s="135" t="s">
        <v>165</v>
      </c>
      <c r="J216" s="135">
        <v>586</v>
      </c>
      <c r="K216" s="140">
        <v>1517.74</v>
      </c>
      <c r="L216" s="135" t="s">
        <v>3090</v>
      </c>
      <c r="M216" s="135" t="str">
        <f t="shared" si="3"/>
        <v>SERVENGUSINA SAO LUISPÓ DE BRITA</v>
      </c>
      <c r="N216" s="135" t="s">
        <v>224</v>
      </c>
    </row>
    <row r="217" spans="2:14" x14ac:dyDescent="0.25">
      <c r="B217" s="136">
        <v>46153</v>
      </c>
      <c r="C217" s="139">
        <v>1</v>
      </c>
      <c r="D217" s="139" t="s">
        <v>219</v>
      </c>
      <c r="E217" s="137" t="s">
        <v>220</v>
      </c>
      <c r="F217" s="137" t="s">
        <v>190</v>
      </c>
      <c r="G217" s="137" t="s">
        <v>198</v>
      </c>
      <c r="H217" s="137">
        <v>70</v>
      </c>
      <c r="I217" s="137" t="s">
        <v>165</v>
      </c>
      <c r="J217" s="137">
        <v>545</v>
      </c>
      <c r="K217" s="141">
        <v>1411.55</v>
      </c>
      <c r="L217" s="137" t="s">
        <v>3091</v>
      </c>
      <c r="M217" s="135" t="str">
        <f t="shared" si="3"/>
        <v>SERVENGUSINA SAO LUISPÓ DE BRITA</v>
      </c>
      <c r="N217" s="135" t="s">
        <v>224</v>
      </c>
    </row>
    <row r="218" spans="2:14" x14ac:dyDescent="0.25">
      <c r="B218" s="134">
        <v>46153</v>
      </c>
      <c r="C218" s="138">
        <v>1</v>
      </c>
      <c r="D218" s="138" t="s">
        <v>219</v>
      </c>
      <c r="E218" s="135" t="s">
        <v>220</v>
      </c>
      <c r="F218" s="135" t="s">
        <v>166</v>
      </c>
      <c r="G218" s="135" t="s">
        <v>164</v>
      </c>
      <c r="H218" s="135">
        <v>58</v>
      </c>
      <c r="I218" s="135" t="s">
        <v>165</v>
      </c>
      <c r="J218" s="135">
        <v>385</v>
      </c>
      <c r="K218" s="140">
        <v>826.21</v>
      </c>
      <c r="L218" s="135" t="s">
        <v>3092</v>
      </c>
      <c r="M218" s="135" t="str">
        <f t="shared" si="3"/>
        <v>GRANORTEUA SAO LUISPÓ DE BRITA</v>
      </c>
      <c r="N218" s="135" t="s">
        <v>224</v>
      </c>
    </row>
    <row r="219" spans="2:14" x14ac:dyDescent="0.25">
      <c r="B219" s="136">
        <v>46153</v>
      </c>
      <c r="C219" s="139">
        <v>1</v>
      </c>
      <c r="D219" s="139" t="s">
        <v>283</v>
      </c>
      <c r="E219" s="137" t="s">
        <v>282</v>
      </c>
      <c r="F219" s="137" t="s">
        <v>166</v>
      </c>
      <c r="G219" s="137" t="s">
        <v>111</v>
      </c>
      <c r="H219" s="137">
        <v>79</v>
      </c>
      <c r="I219" s="137" t="s">
        <v>169</v>
      </c>
      <c r="J219" s="137">
        <v>2614</v>
      </c>
      <c r="K219" s="141">
        <v>764.07</v>
      </c>
      <c r="L219" s="137" t="s">
        <v>3093</v>
      </c>
      <c r="M219" s="135" t="str">
        <f t="shared" si="3"/>
        <v>GRANORTEBEIRA RIOPULMÃOZINHO</v>
      </c>
      <c r="N219" s="137" t="s">
        <v>111</v>
      </c>
    </row>
    <row r="220" spans="2:14" x14ac:dyDescent="0.25">
      <c r="B220" s="134">
        <v>46153</v>
      </c>
      <c r="C220" s="138">
        <v>1</v>
      </c>
      <c r="D220" s="138" t="s">
        <v>2866</v>
      </c>
      <c r="E220" s="135" t="s">
        <v>281</v>
      </c>
      <c r="F220" s="135" t="s">
        <v>163</v>
      </c>
      <c r="G220" s="135" t="s">
        <v>164</v>
      </c>
      <c r="H220" s="135">
        <v>52</v>
      </c>
      <c r="I220" s="135" t="s">
        <v>165</v>
      </c>
      <c r="J220" s="135">
        <v>4036</v>
      </c>
      <c r="K220" s="140">
        <v>776.53</v>
      </c>
      <c r="L220" s="135" t="s">
        <v>3094</v>
      </c>
      <c r="M220" s="135" t="str">
        <f t="shared" si="3"/>
        <v>BRASIL MINERACAOUA SAO LUISPÓ DE BRITA</v>
      </c>
      <c r="N220" s="135" t="s">
        <v>224</v>
      </c>
    </row>
    <row r="221" spans="2:14" x14ac:dyDescent="0.25">
      <c r="B221" s="136">
        <v>46153</v>
      </c>
      <c r="C221" s="139">
        <v>1</v>
      </c>
      <c r="D221" s="139" t="s">
        <v>202</v>
      </c>
      <c r="E221" s="137" t="s">
        <v>214</v>
      </c>
      <c r="F221" s="137" t="s">
        <v>163</v>
      </c>
      <c r="G221" s="137" t="s">
        <v>164</v>
      </c>
      <c r="H221" s="137">
        <v>52</v>
      </c>
      <c r="I221" s="137" t="s">
        <v>165</v>
      </c>
      <c r="J221" s="137">
        <v>4974</v>
      </c>
      <c r="K221" s="141">
        <v>957</v>
      </c>
      <c r="L221" s="137" t="s">
        <v>3095</v>
      </c>
      <c r="M221" s="135" t="str">
        <f t="shared" si="3"/>
        <v>BRASIL MINERACAOUA SAO LUISPÓ DE BRITA</v>
      </c>
      <c r="N221" s="135" t="s">
        <v>224</v>
      </c>
    </row>
    <row r="222" spans="2:14" x14ac:dyDescent="0.25">
      <c r="B222" s="134">
        <v>46153</v>
      </c>
      <c r="C222" s="138">
        <v>1</v>
      </c>
      <c r="D222" s="138" t="s">
        <v>167</v>
      </c>
      <c r="E222" s="135" t="s">
        <v>168</v>
      </c>
      <c r="F222" s="135" t="s">
        <v>166</v>
      </c>
      <c r="G222" s="135" t="s">
        <v>111</v>
      </c>
      <c r="H222" s="135">
        <v>79</v>
      </c>
      <c r="I222" s="135" t="s">
        <v>169</v>
      </c>
      <c r="J222" s="135">
        <v>2654</v>
      </c>
      <c r="K222" s="140">
        <v>775.76</v>
      </c>
      <c r="L222" s="135" t="s">
        <v>3096</v>
      </c>
      <c r="M222" s="135" t="str">
        <f t="shared" si="3"/>
        <v>GRANORTEBEIRA RIOPULMÃOZINHO</v>
      </c>
      <c r="N222" s="135" t="s">
        <v>111</v>
      </c>
    </row>
    <row r="223" spans="2:14" x14ac:dyDescent="0.25">
      <c r="B223" s="136">
        <v>46153</v>
      </c>
      <c r="C223" s="139">
        <v>1</v>
      </c>
      <c r="D223" s="139" t="s">
        <v>167</v>
      </c>
      <c r="E223" s="137" t="s">
        <v>168</v>
      </c>
      <c r="F223" s="137" t="s">
        <v>166</v>
      </c>
      <c r="G223" s="137" t="s">
        <v>111</v>
      </c>
      <c r="H223" s="137">
        <v>79</v>
      </c>
      <c r="I223" s="137" t="s">
        <v>169</v>
      </c>
      <c r="J223" s="137">
        <v>2662</v>
      </c>
      <c r="K223" s="141">
        <v>778.1</v>
      </c>
      <c r="L223" s="137" t="s">
        <v>3097</v>
      </c>
      <c r="M223" s="135" t="str">
        <f t="shared" si="3"/>
        <v>GRANORTEBEIRA RIOPULMÃOZINHO</v>
      </c>
      <c r="N223" s="137" t="s">
        <v>111</v>
      </c>
    </row>
    <row r="224" spans="2:14" x14ac:dyDescent="0.25">
      <c r="B224" s="134">
        <v>46153</v>
      </c>
      <c r="C224" s="138">
        <v>1</v>
      </c>
      <c r="D224" s="138" t="s">
        <v>173</v>
      </c>
      <c r="E224" s="135" t="s">
        <v>174</v>
      </c>
      <c r="F224" s="135" t="s">
        <v>166</v>
      </c>
      <c r="G224" s="135" t="s">
        <v>111</v>
      </c>
      <c r="H224" s="135">
        <v>79</v>
      </c>
      <c r="I224" s="135" t="s">
        <v>169</v>
      </c>
      <c r="J224" s="135">
        <v>2596</v>
      </c>
      <c r="K224" s="140">
        <v>758.81</v>
      </c>
      <c r="L224" s="135" t="s">
        <v>3098</v>
      </c>
      <c r="M224" s="135" t="str">
        <f t="shared" si="3"/>
        <v>GRANORTEBEIRA RIOPULMÃOZINHO</v>
      </c>
      <c r="N224" s="135" t="s">
        <v>111</v>
      </c>
    </row>
    <row r="225" spans="2:14" x14ac:dyDescent="0.25">
      <c r="B225" s="136">
        <v>46153</v>
      </c>
      <c r="C225" s="139">
        <v>1</v>
      </c>
      <c r="D225" s="139" t="s">
        <v>283</v>
      </c>
      <c r="E225" s="137" t="s">
        <v>282</v>
      </c>
      <c r="F225" s="137" t="s">
        <v>163</v>
      </c>
      <c r="G225" s="137" t="s">
        <v>164</v>
      </c>
      <c r="H225" s="137">
        <v>52</v>
      </c>
      <c r="I225" s="137" t="s">
        <v>175</v>
      </c>
      <c r="J225" s="137">
        <v>2606</v>
      </c>
      <c r="K225" s="141">
        <v>501.39</v>
      </c>
      <c r="L225" s="137" t="s">
        <v>3099</v>
      </c>
      <c r="M225" s="135" t="str">
        <f t="shared" si="3"/>
        <v>BRASIL MINERACAOUA SAO LUISBRITA 0</v>
      </c>
      <c r="N225" s="135" t="s">
        <v>224</v>
      </c>
    </row>
    <row r="226" spans="2:14" x14ac:dyDescent="0.25">
      <c r="B226" s="134">
        <v>46153</v>
      </c>
      <c r="C226" s="138">
        <v>1</v>
      </c>
      <c r="D226" s="138" t="s">
        <v>2866</v>
      </c>
      <c r="E226" s="135" t="s">
        <v>281</v>
      </c>
      <c r="F226" s="135" t="s">
        <v>163</v>
      </c>
      <c r="G226" s="135" t="s">
        <v>164</v>
      </c>
      <c r="H226" s="135">
        <v>52</v>
      </c>
      <c r="I226" s="135" t="s">
        <v>165</v>
      </c>
      <c r="J226" s="135">
        <v>3972</v>
      </c>
      <c r="K226" s="140">
        <v>764.21</v>
      </c>
      <c r="L226" s="135" t="s">
        <v>3100</v>
      </c>
      <c r="M226" s="135" t="str">
        <f t="shared" si="3"/>
        <v>BRASIL MINERACAOUA SAO LUISPÓ DE BRITA</v>
      </c>
      <c r="N226" s="135" t="s">
        <v>224</v>
      </c>
    </row>
    <row r="227" spans="2:14" x14ac:dyDescent="0.25">
      <c r="B227" s="136">
        <v>46153</v>
      </c>
      <c r="C227" s="139">
        <v>1</v>
      </c>
      <c r="D227" s="139" t="s">
        <v>199</v>
      </c>
      <c r="E227" s="137" t="s">
        <v>180</v>
      </c>
      <c r="F227" s="137" t="s">
        <v>163</v>
      </c>
      <c r="G227" s="137" t="s">
        <v>164</v>
      </c>
      <c r="H227" s="137">
        <v>52</v>
      </c>
      <c r="I227" s="137" t="s">
        <v>175</v>
      </c>
      <c r="J227" s="137">
        <v>2782</v>
      </c>
      <c r="K227" s="141">
        <v>535.26</v>
      </c>
      <c r="L227" s="137" t="s">
        <v>3101</v>
      </c>
      <c r="M227" s="135" t="str">
        <f t="shared" si="3"/>
        <v>BRASIL MINERACAOUA SAO LUISBRITA 0</v>
      </c>
      <c r="N227" s="135" t="s">
        <v>224</v>
      </c>
    </row>
    <row r="228" spans="2:14" x14ac:dyDescent="0.25">
      <c r="B228" s="134">
        <v>46153</v>
      </c>
      <c r="C228" s="138">
        <v>1</v>
      </c>
      <c r="D228" s="138" t="s">
        <v>183</v>
      </c>
      <c r="E228" s="135" t="s">
        <v>184</v>
      </c>
      <c r="F228" s="135" t="s">
        <v>166</v>
      </c>
      <c r="G228" s="135" t="s">
        <v>111</v>
      </c>
      <c r="H228" s="135">
        <v>79</v>
      </c>
      <c r="I228" s="135" t="s">
        <v>169</v>
      </c>
      <c r="J228" s="135">
        <v>2642</v>
      </c>
      <c r="K228" s="140">
        <v>772.26</v>
      </c>
      <c r="L228" s="135" t="s">
        <v>3102</v>
      </c>
      <c r="M228" s="135" t="str">
        <f t="shared" si="3"/>
        <v>GRANORTEBEIRA RIOPULMÃOZINHO</v>
      </c>
      <c r="N228" s="135" t="s">
        <v>111</v>
      </c>
    </row>
    <row r="229" spans="2:14" x14ac:dyDescent="0.25">
      <c r="B229" s="136">
        <v>46153</v>
      </c>
      <c r="C229" s="139">
        <v>1</v>
      </c>
      <c r="D229" s="139" t="s">
        <v>183</v>
      </c>
      <c r="E229" s="137" t="s">
        <v>184</v>
      </c>
      <c r="F229" s="137" t="s">
        <v>166</v>
      </c>
      <c r="G229" s="137" t="s">
        <v>111</v>
      </c>
      <c r="H229" s="137">
        <v>79</v>
      </c>
      <c r="I229" s="137" t="s">
        <v>169</v>
      </c>
      <c r="J229" s="137">
        <v>2552</v>
      </c>
      <c r="K229" s="141">
        <v>745.95</v>
      </c>
      <c r="L229" s="137" t="s">
        <v>3103</v>
      </c>
      <c r="M229" s="135" t="str">
        <f t="shared" si="3"/>
        <v>GRANORTEBEIRA RIOPULMÃOZINHO</v>
      </c>
      <c r="N229" s="137" t="s">
        <v>111</v>
      </c>
    </row>
    <row r="230" spans="2:14" x14ac:dyDescent="0.25">
      <c r="B230" s="134">
        <v>46153</v>
      </c>
      <c r="C230" s="138">
        <v>1</v>
      </c>
      <c r="D230" s="138" t="s">
        <v>183</v>
      </c>
      <c r="E230" s="135" t="s">
        <v>184</v>
      </c>
      <c r="F230" s="135" t="s">
        <v>163</v>
      </c>
      <c r="G230" s="135" t="s">
        <v>164</v>
      </c>
      <c r="H230" s="135">
        <v>52</v>
      </c>
      <c r="I230" s="135" t="s">
        <v>175</v>
      </c>
      <c r="J230" s="135">
        <v>2644</v>
      </c>
      <c r="K230" s="140">
        <v>508.71</v>
      </c>
      <c r="L230" s="135" t="s">
        <v>3104</v>
      </c>
      <c r="M230" s="135" t="str">
        <f t="shared" si="3"/>
        <v>BRASIL MINERACAOUA SAO LUISBRITA 0</v>
      </c>
      <c r="N230" s="135" t="s">
        <v>224</v>
      </c>
    </row>
    <row r="231" spans="2:14" x14ac:dyDescent="0.25">
      <c r="B231" s="136">
        <v>46153</v>
      </c>
      <c r="C231" s="139">
        <v>1</v>
      </c>
      <c r="D231" s="139" t="s">
        <v>193</v>
      </c>
      <c r="E231" s="137" t="s">
        <v>285</v>
      </c>
      <c r="F231" s="137" t="s">
        <v>166</v>
      </c>
      <c r="G231" s="137" t="s">
        <v>111</v>
      </c>
      <c r="H231" s="137">
        <v>79</v>
      </c>
      <c r="I231" s="137" t="s">
        <v>169</v>
      </c>
      <c r="J231" s="137">
        <v>263</v>
      </c>
      <c r="K231" s="141">
        <v>768.75</v>
      </c>
      <c r="L231" s="137" t="s">
        <v>3105</v>
      </c>
      <c r="M231" s="135" t="str">
        <f t="shared" si="3"/>
        <v>GRANORTEBEIRA RIOPULMÃOZINHO</v>
      </c>
      <c r="N231" s="137" t="s">
        <v>111</v>
      </c>
    </row>
    <row r="232" spans="2:14" x14ac:dyDescent="0.25">
      <c r="B232" s="134">
        <v>46153</v>
      </c>
      <c r="C232" s="138">
        <v>1</v>
      </c>
      <c r="D232" s="138" t="s">
        <v>1129</v>
      </c>
      <c r="E232" s="135" t="s">
        <v>2396</v>
      </c>
      <c r="F232" s="135" t="s">
        <v>166</v>
      </c>
      <c r="G232" s="135" t="s">
        <v>111</v>
      </c>
      <c r="H232" s="135">
        <v>79</v>
      </c>
      <c r="I232" s="135" t="s">
        <v>169</v>
      </c>
      <c r="J232" s="135">
        <v>2674</v>
      </c>
      <c r="K232" s="140">
        <v>781.61</v>
      </c>
      <c r="L232" s="135" t="s">
        <v>3106</v>
      </c>
      <c r="M232" s="135" t="str">
        <f t="shared" si="3"/>
        <v>GRANORTEBEIRA RIOPULMÃOZINHO</v>
      </c>
      <c r="N232" s="135" t="s">
        <v>111</v>
      </c>
    </row>
    <row r="233" spans="2:14" x14ac:dyDescent="0.25">
      <c r="B233" s="136">
        <v>46153</v>
      </c>
      <c r="C233" s="139">
        <v>1</v>
      </c>
      <c r="D233" s="139" t="s">
        <v>1129</v>
      </c>
      <c r="E233" s="137" t="s">
        <v>2396</v>
      </c>
      <c r="F233" s="137" t="s">
        <v>166</v>
      </c>
      <c r="G233" s="137" t="s">
        <v>111</v>
      </c>
      <c r="H233" s="137">
        <v>79</v>
      </c>
      <c r="I233" s="137" t="s">
        <v>169</v>
      </c>
      <c r="J233" s="137">
        <v>2538</v>
      </c>
      <c r="K233" s="141">
        <v>741.86</v>
      </c>
      <c r="L233" s="137" t="s">
        <v>3107</v>
      </c>
      <c r="M233" s="135" t="str">
        <f t="shared" si="3"/>
        <v>GRANORTEBEIRA RIOPULMÃOZINHO</v>
      </c>
      <c r="N233" s="137" t="s">
        <v>111</v>
      </c>
    </row>
    <row r="234" spans="2:14" x14ac:dyDescent="0.25">
      <c r="B234" s="134">
        <v>46153</v>
      </c>
      <c r="C234" s="138">
        <v>1</v>
      </c>
      <c r="D234" s="138" t="s">
        <v>1948</v>
      </c>
      <c r="E234" s="135" t="s">
        <v>1949</v>
      </c>
      <c r="F234" s="135" t="s">
        <v>2868</v>
      </c>
      <c r="G234" s="135" t="s">
        <v>2871</v>
      </c>
      <c r="H234" s="135">
        <v>70</v>
      </c>
      <c r="I234" s="135" t="s">
        <v>2869</v>
      </c>
      <c r="J234" s="135">
        <v>539</v>
      </c>
      <c r="K234" s="140">
        <v>1396.01</v>
      </c>
      <c r="L234" s="135" t="s">
        <v>3108</v>
      </c>
      <c r="M234" s="135" t="str">
        <f t="shared" si="3"/>
        <v>FAZENDA PLATAFORMASILO PRODUCERESSOJA</v>
      </c>
      <c r="N234" s="135" t="s">
        <v>3729</v>
      </c>
    </row>
    <row r="235" spans="2:14" x14ac:dyDescent="0.25">
      <c r="B235" s="136">
        <v>46153</v>
      </c>
      <c r="C235" s="139">
        <v>1</v>
      </c>
      <c r="D235" s="139" t="s">
        <v>186</v>
      </c>
      <c r="E235" s="137" t="s">
        <v>187</v>
      </c>
      <c r="F235" s="137" t="s">
        <v>276</v>
      </c>
      <c r="G235" s="137" t="s">
        <v>307</v>
      </c>
      <c r="H235" s="137">
        <v>175</v>
      </c>
      <c r="I235" s="137" t="s">
        <v>175</v>
      </c>
      <c r="J235" s="137">
        <v>8648</v>
      </c>
      <c r="K235" s="141">
        <v>4842.88</v>
      </c>
      <c r="L235" s="137" t="s">
        <v>3109</v>
      </c>
      <c r="M235" s="135" t="str">
        <f t="shared" si="3"/>
        <v>MINERADORA PORTO FRANCOAUGUSTINOPOLIS TO (EDEC)BRITA 0</v>
      </c>
      <c r="N235" s="137" t="s">
        <v>307</v>
      </c>
    </row>
    <row r="236" spans="2:14" x14ac:dyDescent="0.25">
      <c r="B236" s="134">
        <v>46154</v>
      </c>
      <c r="C236" s="138">
        <v>1</v>
      </c>
      <c r="D236" s="138" t="s">
        <v>196</v>
      </c>
      <c r="E236" s="135" t="s">
        <v>197</v>
      </c>
      <c r="F236" s="135" t="s">
        <v>276</v>
      </c>
      <c r="G236" s="135" t="s">
        <v>2033</v>
      </c>
      <c r="H236" s="135">
        <v>323</v>
      </c>
      <c r="I236" s="135" t="s">
        <v>172</v>
      </c>
      <c r="J236" s="135">
        <v>7366</v>
      </c>
      <c r="K236" s="140">
        <v>7613.5</v>
      </c>
      <c r="L236" s="135" t="s">
        <v>3110</v>
      </c>
      <c r="M236" s="135" t="str">
        <f t="shared" si="3"/>
        <v>MINERADORA PORTO FRANCOVALE KM 386BICA CORRIDA</v>
      </c>
      <c r="N236" s="135" t="s">
        <v>15</v>
      </c>
    </row>
    <row r="237" spans="2:14" x14ac:dyDescent="0.25">
      <c r="B237" s="136">
        <v>46154</v>
      </c>
      <c r="C237" s="139">
        <v>1</v>
      </c>
      <c r="D237" s="139" t="s">
        <v>208</v>
      </c>
      <c r="E237" s="137" t="s">
        <v>209</v>
      </c>
      <c r="F237" s="137" t="s">
        <v>190</v>
      </c>
      <c r="G237" s="137" t="s">
        <v>198</v>
      </c>
      <c r="H237" s="137">
        <v>70</v>
      </c>
      <c r="I237" s="137" t="s">
        <v>165</v>
      </c>
      <c r="J237" s="137">
        <v>500</v>
      </c>
      <c r="K237" s="141">
        <v>1295</v>
      </c>
      <c r="L237" s="137" t="s">
        <v>3111</v>
      </c>
      <c r="M237" s="135" t="str">
        <f t="shared" si="3"/>
        <v>SERVENGUSINA SAO LUISPÓ DE BRITA</v>
      </c>
      <c r="N237" s="135" t="s">
        <v>224</v>
      </c>
    </row>
    <row r="238" spans="2:14" x14ac:dyDescent="0.25">
      <c r="B238" s="134">
        <v>46154</v>
      </c>
      <c r="C238" s="138">
        <v>1</v>
      </c>
      <c r="D238" s="138" t="s">
        <v>202</v>
      </c>
      <c r="E238" s="135" t="s">
        <v>214</v>
      </c>
      <c r="F238" s="135" t="s">
        <v>190</v>
      </c>
      <c r="G238" s="135" t="s">
        <v>198</v>
      </c>
      <c r="H238" s="135">
        <v>70</v>
      </c>
      <c r="I238" s="135" t="s">
        <v>165</v>
      </c>
      <c r="J238" s="135">
        <v>6086</v>
      </c>
      <c r="K238" s="140">
        <v>1576.27</v>
      </c>
      <c r="L238" s="135" t="s">
        <v>3112</v>
      </c>
      <c r="M238" s="135" t="str">
        <f t="shared" si="3"/>
        <v>SERVENGUSINA SAO LUISPÓ DE BRITA</v>
      </c>
      <c r="N238" s="135" t="s">
        <v>224</v>
      </c>
    </row>
    <row r="239" spans="2:14" x14ac:dyDescent="0.25">
      <c r="B239" s="136">
        <v>46154</v>
      </c>
      <c r="C239" s="139">
        <v>1</v>
      </c>
      <c r="D239" s="139" t="s">
        <v>167</v>
      </c>
      <c r="E239" s="137" t="s">
        <v>168</v>
      </c>
      <c r="F239" s="137" t="s">
        <v>166</v>
      </c>
      <c r="G239" s="137" t="s">
        <v>111</v>
      </c>
      <c r="H239" s="137">
        <v>79</v>
      </c>
      <c r="I239" s="137" t="s">
        <v>169</v>
      </c>
      <c r="J239" s="137">
        <v>2574</v>
      </c>
      <c r="K239" s="141">
        <v>752.38</v>
      </c>
      <c r="L239" s="137" t="s">
        <v>3113</v>
      </c>
      <c r="M239" s="135" t="str">
        <f t="shared" si="3"/>
        <v>GRANORTEBEIRA RIOPULMÃOZINHO</v>
      </c>
      <c r="N239" s="137" t="s">
        <v>111</v>
      </c>
    </row>
    <row r="240" spans="2:14" x14ac:dyDescent="0.25">
      <c r="B240" s="134">
        <v>46154</v>
      </c>
      <c r="C240" s="138">
        <v>1</v>
      </c>
      <c r="D240" s="138" t="s">
        <v>283</v>
      </c>
      <c r="E240" s="135" t="s">
        <v>282</v>
      </c>
      <c r="F240" s="135" t="s">
        <v>166</v>
      </c>
      <c r="G240" s="135" t="s">
        <v>111</v>
      </c>
      <c r="H240" s="135">
        <v>79</v>
      </c>
      <c r="I240" s="135" t="s">
        <v>169</v>
      </c>
      <c r="J240" s="135">
        <v>2508</v>
      </c>
      <c r="K240" s="140">
        <v>733.09</v>
      </c>
      <c r="L240" s="135" t="s">
        <v>3114</v>
      </c>
      <c r="M240" s="135" t="str">
        <f t="shared" si="3"/>
        <v>GRANORTEBEIRA RIOPULMÃOZINHO</v>
      </c>
      <c r="N240" s="135" t="s">
        <v>111</v>
      </c>
    </row>
    <row r="241" spans="2:14" x14ac:dyDescent="0.25">
      <c r="B241" s="136">
        <v>46154</v>
      </c>
      <c r="C241" s="139">
        <v>1</v>
      </c>
      <c r="D241" s="139" t="s">
        <v>219</v>
      </c>
      <c r="E241" s="137" t="s">
        <v>220</v>
      </c>
      <c r="F241" s="137" t="s">
        <v>190</v>
      </c>
      <c r="G241" s="137" t="s">
        <v>198</v>
      </c>
      <c r="H241" s="137">
        <v>70</v>
      </c>
      <c r="I241" s="137" t="s">
        <v>165</v>
      </c>
      <c r="J241" s="137">
        <v>606</v>
      </c>
      <c r="K241" s="141">
        <v>1569.54</v>
      </c>
      <c r="L241" s="137" t="s">
        <v>3115</v>
      </c>
      <c r="M241" s="135" t="str">
        <f t="shared" si="3"/>
        <v>SERVENGUSINA SAO LUISPÓ DE BRITA</v>
      </c>
      <c r="N241" s="135" t="s">
        <v>224</v>
      </c>
    </row>
    <row r="242" spans="2:14" x14ac:dyDescent="0.25">
      <c r="B242" s="134">
        <v>46154</v>
      </c>
      <c r="C242" s="138">
        <v>1</v>
      </c>
      <c r="D242" s="138" t="s">
        <v>219</v>
      </c>
      <c r="E242" s="135" t="s">
        <v>220</v>
      </c>
      <c r="F242" s="135" t="s">
        <v>166</v>
      </c>
      <c r="G242" s="135" t="s">
        <v>164</v>
      </c>
      <c r="H242" s="135">
        <v>58</v>
      </c>
      <c r="I242" s="135" t="s">
        <v>175</v>
      </c>
      <c r="J242" s="135">
        <v>346</v>
      </c>
      <c r="K242" s="140">
        <v>742.52</v>
      </c>
      <c r="L242" s="135" t="s">
        <v>3116</v>
      </c>
      <c r="M242" s="135" t="str">
        <f t="shared" si="3"/>
        <v>GRANORTEUA SAO LUISBRITA 0</v>
      </c>
      <c r="N242" s="135" t="s">
        <v>224</v>
      </c>
    </row>
    <row r="243" spans="2:14" x14ac:dyDescent="0.25">
      <c r="B243" s="136">
        <v>46154</v>
      </c>
      <c r="C243" s="139">
        <v>1</v>
      </c>
      <c r="D243" s="139" t="s">
        <v>193</v>
      </c>
      <c r="E243" s="137" t="s">
        <v>285</v>
      </c>
      <c r="F243" s="137" t="s">
        <v>166</v>
      </c>
      <c r="G243" s="137" t="s">
        <v>164</v>
      </c>
      <c r="H243" s="137">
        <v>58</v>
      </c>
      <c r="I243" s="137" t="s">
        <v>165</v>
      </c>
      <c r="J243" s="137">
        <v>2628</v>
      </c>
      <c r="K243" s="141">
        <v>563.97</v>
      </c>
      <c r="L243" s="137" t="s">
        <v>3117</v>
      </c>
      <c r="M243" s="135" t="str">
        <f t="shared" si="3"/>
        <v>GRANORTEUA SAO LUISPÓ DE BRITA</v>
      </c>
      <c r="N243" s="135" t="s">
        <v>224</v>
      </c>
    </row>
    <row r="244" spans="2:14" x14ac:dyDescent="0.25">
      <c r="B244" s="134">
        <v>46154</v>
      </c>
      <c r="C244" s="138">
        <v>1</v>
      </c>
      <c r="D244" s="138" t="s">
        <v>210</v>
      </c>
      <c r="E244" s="135" t="s">
        <v>211</v>
      </c>
      <c r="F244" s="135" t="s">
        <v>2868</v>
      </c>
      <c r="G244" s="135" t="s">
        <v>2871</v>
      </c>
      <c r="H244" s="135">
        <v>70</v>
      </c>
      <c r="I244" s="135" t="s">
        <v>2869</v>
      </c>
      <c r="J244" s="135">
        <v>50044</v>
      </c>
      <c r="K244" s="140">
        <v>1296.1400000000001</v>
      </c>
      <c r="L244" s="135" t="s">
        <v>3118</v>
      </c>
      <c r="M244" s="135" t="str">
        <f t="shared" si="3"/>
        <v>FAZENDA PLATAFORMASILO PRODUCERESSOJA</v>
      </c>
      <c r="N244" s="135" t="s">
        <v>3729</v>
      </c>
    </row>
    <row r="245" spans="2:14" x14ac:dyDescent="0.25">
      <c r="B245" s="136">
        <v>46154</v>
      </c>
      <c r="C245" s="139">
        <v>1</v>
      </c>
      <c r="D245" s="139" t="s">
        <v>199</v>
      </c>
      <c r="E245" s="137" t="s">
        <v>180</v>
      </c>
      <c r="F245" s="137" t="s">
        <v>166</v>
      </c>
      <c r="G245" s="137" t="s">
        <v>164</v>
      </c>
      <c r="H245" s="137">
        <v>58</v>
      </c>
      <c r="I245" s="137" t="s">
        <v>292</v>
      </c>
      <c r="J245" s="137">
        <v>2874</v>
      </c>
      <c r="K245" s="141">
        <v>616.76</v>
      </c>
      <c r="L245" s="137" t="s">
        <v>3119</v>
      </c>
      <c r="M245" s="135" t="str">
        <f t="shared" si="3"/>
        <v>GRANORTEUA SAO LUISPEDRA PULMÃO</v>
      </c>
      <c r="N245" s="135" t="s">
        <v>224</v>
      </c>
    </row>
    <row r="246" spans="2:14" x14ac:dyDescent="0.25">
      <c r="B246" s="134">
        <v>46154</v>
      </c>
      <c r="C246" s="138">
        <v>1</v>
      </c>
      <c r="D246" s="138" t="s">
        <v>203</v>
      </c>
      <c r="E246" s="135" t="s">
        <v>204</v>
      </c>
      <c r="F246" s="135" t="s">
        <v>2868</v>
      </c>
      <c r="G246" s="135" t="s">
        <v>2871</v>
      </c>
      <c r="H246" s="135">
        <v>70</v>
      </c>
      <c r="I246" s="135" t="s">
        <v>2869</v>
      </c>
      <c r="J246" s="135">
        <v>52312</v>
      </c>
      <c r="K246" s="140">
        <v>1354.88</v>
      </c>
      <c r="L246" s="135" t="s">
        <v>3120</v>
      </c>
      <c r="M246" s="135" t="str">
        <f t="shared" si="3"/>
        <v>FAZENDA PLATAFORMASILO PRODUCERESSOJA</v>
      </c>
      <c r="N246" s="135" t="s">
        <v>3729</v>
      </c>
    </row>
    <row r="247" spans="2:14" x14ac:dyDescent="0.25">
      <c r="B247" s="136">
        <v>46154</v>
      </c>
      <c r="C247" s="139">
        <v>1</v>
      </c>
      <c r="D247" s="139" t="s">
        <v>176</v>
      </c>
      <c r="E247" s="137" t="s">
        <v>177</v>
      </c>
      <c r="F247" s="137" t="s">
        <v>2868</v>
      </c>
      <c r="G247" s="137" t="s">
        <v>2871</v>
      </c>
      <c r="H247" s="137">
        <v>70</v>
      </c>
      <c r="I247" s="137" t="s">
        <v>2869</v>
      </c>
      <c r="J247" s="137">
        <v>5042</v>
      </c>
      <c r="K247" s="141">
        <v>1305.8800000000001</v>
      </c>
      <c r="L247" s="137" t="s">
        <v>3121</v>
      </c>
      <c r="M247" s="135" t="str">
        <f t="shared" si="3"/>
        <v>FAZENDA PLATAFORMASILO PRODUCERESSOJA</v>
      </c>
      <c r="N247" s="135" t="s">
        <v>3729</v>
      </c>
    </row>
    <row r="248" spans="2:14" x14ac:dyDescent="0.25">
      <c r="B248" s="134">
        <v>46154</v>
      </c>
      <c r="C248" s="138">
        <v>1</v>
      </c>
      <c r="D248" s="138" t="s">
        <v>167</v>
      </c>
      <c r="E248" s="135" t="s">
        <v>168</v>
      </c>
      <c r="F248" s="135" t="s">
        <v>166</v>
      </c>
      <c r="G248" s="135" t="s">
        <v>111</v>
      </c>
      <c r="H248" s="135">
        <v>79</v>
      </c>
      <c r="I248" s="135" t="s">
        <v>172</v>
      </c>
      <c r="J248" s="135">
        <v>2636</v>
      </c>
      <c r="K248" s="140">
        <v>770.5</v>
      </c>
      <c r="L248" s="135" t="s">
        <v>3122</v>
      </c>
      <c r="M248" s="135" t="str">
        <f t="shared" si="3"/>
        <v>GRANORTEBEIRA RIOBICA CORRIDA</v>
      </c>
      <c r="N248" s="135" t="s">
        <v>111</v>
      </c>
    </row>
    <row r="249" spans="2:14" x14ac:dyDescent="0.25">
      <c r="B249" s="136">
        <v>46154</v>
      </c>
      <c r="C249" s="139">
        <v>1</v>
      </c>
      <c r="D249" s="139" t="s">
        <v>342</v>
      </c>
      <c r="E249" s="137" t="s">
        <v>171</v>
      </c>
      <c r="F249" s="137" t="s">
        <v>163</v>
      </c>
      <c r="G249" s="137" t="s">
        <v>164</v>
      </c>
      <c r="H249" s="137">
        <v>52</v>
      </c>
      <c r="I249" s="137" t="s">
        <v>165</v>
      </c>
      <c r="J249" s="137">
        <v>4962</v>
      </c>
      <c r="K249" s="141">
        <v>954.69</v>
      </c>
      <c r="L249" s="137" t="s">
        <v>3123</v>
      </c>
      <c r="M249" s="135" t="str">
        <f t="shared" si="3"/>
        <v>BRASIL MINERACAOUA SAO LUISPÓ DE BRITA</v>
      </c>
      <c r="N249" s="135" t="s">
        <v>224</v>
      </c>
    </row>
    <row r="250" spans="2:14" x14ac:dyDescent="0.25">
      <c r="B250" s="134">
        <v>46154</v>
      </c>
      <c r="C250" s="138">
        <v>1</v>
      </c>
      <c r="D250" s="138" t="s">
        <v>188</v>
      </c>
      <c r="E250" s="135" t="s">
        <v>189</v>
      </c>
      <c r="F250" s="135" t="s">
        <v>276</v>
      </c>
      <c r="G250" s="135" t="s">
        <v>2033</v>
      </c>
      <c r="H250" s="135">
        <v>323</v>
      </c>
      <c r="I250" s="135" t="s">
        <v>172</v>
      </c>
      <c r="J250" s="135">
        <v>7626</v>
      </c>
      <c r="K250" s="140">
        <v>7882.23</v>
      </c>
      <c r="L250" s="135" t="s">
        <v>3124</v>
      </c>
      <c r="M250" s="135" t="str">
        <f t="shared" si="3"/>
        <v>MINERADORA PORTO FRANCOVALE KM 386BICA CORRIDA</v>
      </c>
      <c r="N250" s="135" t="s">
        <v>15</v>
      </c>
    </row>
    <row r="251" spans="2:14" x14ac:dyDescent="0.25">
      <c r="B251" s="136">
        <v>46154</v>
      </c>
      <c r="C251" s="139">
        <v>1</v>
      </c>
      <c r="D251" s="139" t="s">
        <v>300</v>
      </c>
      <c r="E251" s="137" t="s">
        <v>1536</v>
      </c>
      <c r="F251" s="137" t="s">
        <v>2757</v>
      </c>
      <c r="G251" s="137" t="s">
        <v>2867</v>
      </c>
      <c r="H251" s="137">
        <v>383</v>
      </c>
      <c r="I251" s="137" t="s">
        <v>279</v>
      </c>
      <c r="J251" s="137">
        <v>460</v>
      </c>
      <c r="K251" s="141">
        <v>5637.76</v>
      </c>
      <c r="L251" s="137" t="s">
        <v>3125</v>
      </c>
      <c r="M251" s="135" t="str">
        <f t="shared" si="3"/>
        <v>MINERADORA PORTO FRANCO MAVALE KM324MATACO</v>
      </c>
      <c r="N251" s="135" t="s">
        <v>15</v>
      </c>
    </row>
    <row r="252" spans="2:14" x14ac:dyDescent="0.25">
      <c r="B252" s="134">
        <v>46154</v>
      </c>
      <c r="C252" s="138">
        <v>1</v>
      </c>
      <c r="D252" s="138" t="s">
        <v>202</v>
      </c>
      <c r="E252" s="135" t="s">
        <v>214</v>
      </c>
      <c r="F252" s="135" t="s">
        <v>190</v>
      </c>
      <c r="G252" s="135" t="s">
        <v>198</v>
      </c>
      <c r="H252" s="135">
        <v>70</v>
      </c>
      <c r="I252" s="135" t="s">
        <v>165</v>
      </c>
      <c r="J252" s="135">
        <v>4874</v>
      </c>
      <c r="K252" s="140">
        <v>1262.3699999999999</v>
      </c>
      <c r="L252" s="135" t="s">
        <v>3126</v>
      </c>
      <c r="M252" s="135" t="str">
        <f t="shared" si="3"/>
        <v>SERVENGUSINA SAO LUISPÓ DE BRITA</v>
      </c>
      <c r="N252" s="135" t="s">
        <v>224</v>
      </c>
    </row>
    <row r="253" spans="2:14" x14ac:dyDescent="0.25">
      <c r="B253" s="136">
        <v>46154</v>
      </c>
      <c r="C253" s="139">
        <v>1</v>
      </c>
      <c r="D253" s="139" t="s">
        <v>283</v>
      </c>
      <c r="E253" s="137" t="s">
        <v>282</v>
      </c>
      <c r="F253" s="137" t="s">
        <v>163</v>
      </c>
      <c r="G253" s="137" t="s">
        <v>164</v>
      </c>
      <c r="H253" s="137">
        <v>52</v>
      </c>
      <c r="I253" s="137" t="s">
        <v>175</v>
      </c>
      <c r="J253" s="137">
        <v>2664</v>
      </c>
      <c r="K253" s="141">
        <v>512.54999999999995</v>
      </c>
      <c r="L253" s="137" t="s">
        <v>3127</v>
      </c>
      <c r="M253" s="135" t="str">
        <f t="shared" si="3"/>
        <v>BRASIL MINERACAOUA SAO LUISBRITA 0</v>
      </c>
      <c r="N253" s="135" t="s">
        <v>224</v>
      </c>
    </row>
    <row r="254" spans="2:14" x14ac:dyDescent="0.25">
      <c r="B254" s="134">
        <v>46154</v>
      </c>
      <c r="C254" s="138">
        <v>1</v>
      </c>
      <c r="D254" s="138" t="s">
        <v>173</v>
      </c>
      <c r="E254" s="135" t="s">
        <v>174</v>
      </c>
      <c r="F254" s="135" t="s">
        <v>166</v>
      </c>
      <c r="G254" s="135" t="s">
        <v>164</v>
      </c>
      <c r="H254" s="135">
        <v>58</v>
      </c>
      <c r="I254" s="135" t="s">
        <v>175</v>
      </c>
      <c r="J254" s="135">
        <v>2558</v>
      </c>
      <c r="K254" s="140">
        <v>548.95000000000005</v>
      </c>
      <c r="L254" s="135" t="s">
        <v>3128</v>
      </c>
      <c r="M254" s="135" t="str">
        <f t="shared" si="3"/>
        <v>GRANORTEUA SAO LUISBRITA 0</v>
      </c>
      <c r="N254" s="135" t="s">
        <v>224</v>
      </c>
    </row>
    <row r="255" spans="2:14" x14ac:dyDescent="0.25">
      <c r="B255" s="136">
        <v>46154</v>
      </c>
      <c r="C255" s="139">
        <v>1</v>
      </c>
      <c r="D255" s="139" t="s">
        <v>208</v>
      </c>
      <c r="E255" s="137" t="s">
        <v>209</v>
      </c>
      <c r="F255" s="137" t="s">
        <v>190</v>
      </c>
      <c r="G255" s="137" t="s">
        <v>198</v>
      </c>
      <c r="H255" s="137">
        <v>70</v>
      </c>
      <c r="I255" s="137" t="s">
        <v>165</v>
      </c>
      <c r="J255" s="137">
        <v>500</v>
      </c>
      <c r="K255" s="141">
        <v>1295</v>
      </c>
      <c r="L255" s="137" t="s">
        <v>3129</v>
      </c>
      <c r="M255" s="135" t="str">
        <f t="shared" si="3"/>
        <v>SERVENGUSINA SAO LUISPÓ DE BRITA</v>
      </c>
      <c r="N255" s="135" t="s">
        <v>224</v>
      </c>
    </row>
    <row r="256" spans="2:14" x14ac:dyDescent="0.25">
      <c r="B256" s="134">
        <v>46154</v>
      </c>
      <c r="C256" s="138">
        <v>1</v>
      </c>
      <c r="D256" s="138" t="s">
        <v>199</v>
      </c>
      <c r="E256" s="135" t="s">
        <v>180</v>
      </c>
      <c r="F256" s="135" t="s">
        <v>163</v>
      </c>
      <c r="G256" s="135" t="s">
        <v>164</v>
      </c>
      <c r="H256" s="135">
        <v>52</v>
      </c>
      <c r="I256" s="135" t="s">
        <v>175</v>
      </c>
      <c r="J256" s="135">
        <v>2986</v>
      </c>
      <c r="K256" s="140">
        <v>574.51</v>
      </c>
      <c r="L256" s="135" t="s">
        <v>3130</v>
      </c>
      <c r="M256" s="135" t="str">
        <f t="shared" si="3"/>
        <v>BRASIL MINERACAOUA SAO LUISBRITA 0</v>
      </c>
      <c r="N256" s="135" t="s">
        <v>224</v>
      </c>
    </row>
    <row r="257" spans="2:14" x14ac:dyDescent="0.25">
      <c r="B257" s="136">
        <v>46154</v>
      </c>
      <c r="C257" s="139">
        <v>1</v>
      </c>
      <c r="D257" s="139" t="s">
        <v>200</v>
      </c>
      <c r="E257" s="137" t="s">
        <v>201</v>
      </c>
      <c r="F257" s="137" t="s">
        <v>190</v>
      </c>
      <c r="G257" s="137" t="s">
        <v>198</v>
      </c>
      <c r="H257" s="137">
        <v>70</v>
      </c>
      <c r="I257" s="137" t="s">
        <v>165</v>
      </c>
      <c r="J257" s="137">
        <v>4842</v>
      </c>
      <c r="K257" s="141">
        <v>1254.08</v>
      </c>
      <c r="L257" s="137" t="s">
        <v>3131</v>
      </c>
      <c r="M257" s="135" t="str">
        <f t="shared" si="3"/>
        <v>SERVENGUSINA SAO LUISPÓ DE BRITA</v>
      </c>
      <c r="N257" s="135" t="s">
        <v>224</v>
      </c>
    </row>
    <row r="258" spans="2:14" x14ac:dyDescent="0.25">
      <c r="B258" s="134">
        <v>46154</v>
      </c>
      <c r="C258" s="138">
        <v>1</v>
      </c>
      <c r="D258" s="138" t="s">
        <v>200</v>
      </c>
      <c r="E258" s="135" t="s">
        <v>201</v>
      </c>
      <c r="F258" s="135" t="s">
        <v>190</v>
      </c>
      <c r="G258" s="135" t="s">
        <v>198</v>
      </c>
      <c r="H258" s="135">
        <v>70</v>
      </c>
      <c r="I258" s="135" t="s">
        <v>165</v>
      </c>
      <c r="J258" s="135">
        <v>4954</v>
      </c>
      <c r="K258" s="140">
        <v>1283.0899999999999</v>
      </c>
      <c r="L258" s="135" t="s">
        <v>3132</v>
      </c>
      <c r="M258" s="135" t="str">
        <f t="shared" si="3"/>
        <v>SERVENGUSINA SAO LUISPÓ DE BRITA</v>
      </c>
      <c r="N258" s="135" t="s">
        <v>224</v>
      </c>
    </row>
    <row r="259" spans="2:14" x14ac:dyDescent="0.25">
      <c r="B259" s="136">
        <v>46154</v>
      </c>
      <c r="C259" s="139">
        <v>1</v>
      </c>
      <c r="D259" s="139" t="s">
        <v>173</v>
      </c>
      <c r="E259" s="137" t="s">
        <v>174</v>
      </c>
      <c r="F259" s="137" t="s">
        <v>166</v>
      </c>
      <c r="G259" s="137" t="s">
        <v>164</v>
      </c>
      <c r="H259" s="137">
        <v>58</v>
      </c>
      <c r="I259" s="137" t="s">
        <v>292</v>
      </c>
      <c r="J259" s="137">
        <v>2564</v>
      </c>
      <c r="K259" s="141">
        <v>550.23</v>
      </c>
      <c r="L259" s="137" t="s">
        <v>3133</v>
      </c>
      <c r="M259" s="135" t="str">
        <f t="shared" si="3"/>
        <v>GRANORTEUA SAO LUISPEDRA PULMÃO</v>
      </c>
      <c r="N259" s="135" t="s">
        <v>224</v>
      </c>
    </row>
    <row r="260" spans="2:14" x14ac:dyDescent="0.25">
      <c r="B260" s="134">
        <v>46154</v>
      </c>
      <c r="C260" s="138">
        <v>1</v>
      </c>
      <c r="D260" s="138" t="s">
        <v>2866</v>
      </c>
      <c r="E260" s="135" t="s">
        <v>281</v>
      </c>
      <c r="F260" s="135" t="s">
        <v>163</v>
      </c>
      <c r="G260" s="135" t="s">
        <v>164</v>
      </c>
      <c r="H260" s="135">
        <v>52</v>
      </c>
      <c r="I260" s="135" t="s">
        <v>165</v>
      </c>
      <c r="J260" s="135">
        <v>3972</v>
      </c>
      <c r="K260" s="140">
        <v>764.21</v>
      </c>
      <c r="L260" s="135" t="s">
        <v>3134</v>
      </c>
      <c r="M260" s="135" t="str">
        <f t="shared" si="3"/>
        <v>BRASIL MINERACAOUA SAO LUISPÓ DE BRITA</v>
      </c>
      <c r="N260" s="135" t="s">
        <v>224</v>
      </c>
    </row>
    <row r="261" spans="2:14" x14ac:dyDescent="0.25">
      <c r="B261" s="136">
        <v>46154</v>
      </c>
      <c r="C261" s="139">
        <v>1</v>
      </c>
      <c r="D261" s="139" t="s">
        <v>2866</v>
      </c>
      <c r="E261" s="137" t="s">
        <v>281</v>
      </c>
      <c r="F261" s="137" t="s">
        <v>163</v>
      </c>
      <c r="G261" s="137" t="s">
        <v>164</v>
      </c>
      <c r="H261" s="137">
        <v>52</v>
      </c>
      <c r="I261" s="137" t="s">
        <v>175</v>
      </c>
      <c r="J261" s="137">
        <v>3848</v>
      </c>
      <c r="K261" s="141">
        <v>740.36</v>
      </c>
      <c r="L261" s="137" t="s">
        <v>3135</v>
      </c>
      <c r="M261" s="135" t="str">
        <f t="shared" ref="M261:M324" si="4">CONCATENATE(F261&amp;G261&amp;I261)</f>
        <v>BRASIL MINERACAOUA SAO LUISBRITA 0</v>
      </c>
      <c r="N261" s="135" t="s">
        <v>224</v>
      </c>
    </row>
    <row r="262" spans="2:14" x14ac:dyDescent="0.25">
      <c r="B262" s="134">
        <v>46154</v>
      </c>
      <c r="C262" s="138">
        <v>1</v>
      </c>
      <c r="D262" s="138" t="s">
        <v>167</v>
      </c>
      <c r="E262" s="135" t="s">
        <v>168</v>
      </c>
      <c r="F262" s="135" t="s">
        <v>166</v>
      </c>
      <c r="G262" s="135" t="s">
        <v>164</v>
      </c>
      <c r="H262" s="135">
        <v>58</v>
      </c>
      <c r="I262" s="135" t="s">
        <v>175</v>
      </c>
      <c r="J262" s="135">
        <v>2638</v>
      </c>
      <c r="K262" s="140">
        <v>566.11</v>
      </c>
      <c r="L262" s="135" t="s">
        <v>3136</v>
      </c>
      <c r="M262" s="135" t="str">
        <f t="shared" si="4"/>
        <v>GRANORTEUA SAO LUISBRITA 0</v>
      </c>
      <c r="N262" s="135" t="s">
        <v>224</v>
      </c>
    </row>
    <row r="263" spans="2:14" x14ac:dyDescent="0.25">
      <c r="B263" s="136">
        <v>46154</v>
      </c>
      <c r="C263" s="139">
        <v>1</v>
      </c>
      <c r="D263" s="139" t="s">
        <v>219</v>
      </c>
      <c r="E263" s="137" t="s">
        <v>220</v>
      </c>
      <c r="F263" s="137" t="s">
        <v>190</v>
      </c>
      <c r="G263" s="137" t="s">
        <v>198</v>
      </c>
      <c r="H263" s="137">
        <v>70</v>
      </c>
      <c r="I263" s="137" t="s">
        <v>165</v>
      </c>
      <c r="J263" s="137">
        <v>576</v>
      </c>
      <c r="K263" s="141">
        <v>1491.84</v>
      </c>
      <c r="L263" s="137" t="s">
        <v>3137</v>
      </c>
      <c r="M263" s="135" t="str">
        <f t="shared" si="4"/>
        <v>SERVENGUSINA SAO LUISPÓ DE BRITA</v>
      </c>
      <c r="N263" s="135" t="s">
        <v>224</v>
      </c>
    </row>
    <row r="264" spans="2:14" x14ac:dyDescent="0.25">
      <c r="B264" s="134">
        <v>46154</v>
      </c>
      <c r="C264" s="138">
        <v>1</v>
      </c>
      <c r="D264" s="138" t="s">
        <v>219</v>
      </c>
      <c r="E264" s="135" t="s">
        <v>220</v>
      </c>
      <c r="F264" s="135" t="s">
        <v>190</v>
      </c>
      <c r="G264" s="135" t="s">
        <v>198</v>
      </c>
      <c r="H264" s="135">
        <v>70</v>
      </c>
      <c r="I264" s="135" t="s">
        <v>165</v>
      </c>
      <c r="J264" s="135">
        <v>477</v>
      </c>
      <c r="K264" s="140">
        <v>1235.43</v>
      </c>
      <c r="L264" s="135" t="s">
        <v>3138</v>
      </c>
      <c r="M264" s="135" t="str">
        <f t="shared" si="4"/>
        <v>SERVENGUSINA SAO LUISPÓ DE BRITA</v>
      </c>
      <c r="N264" s="135" t="s">
        <v>224</v>
      </c>
    </row>
    <row r="265" spans="2:14" x14ac:dyDescent="0.25">
      <c r="B265" s="136">
        <v>46154</v>
      </c>
      <c r="C265" s="139">
        <v>1</v>
      </c>
      <c r="D265" s="139" t="s">
        <v>219</v>
      </c>
      <c r="E265" s="137" t="s">
        <v>220</v>
      </c>
      <c r="F265" s="137" t="s">
        <v>163</v>
      </c>
      <c r="G265" s="137" t="s">
        <v>164</v>
      </c>
      <c r="H265" s="137">
        <v>52</v>
      </c>
      <c r="I265" s="137" t="s">
        <v>175</v>
      </c>
      <c r="J265" s="137">
        <v>552</v>
      </c>
      <c r="K265" s="141">
        <v>1062.05</v>
      </c>
      <c r="L265" s="137" t="s">
        <v>3139</v>
      </c>
      <c r="M265" s="135" t="str">
        <f t="shared" si="4"/>
        <v>BRASIL MINERACAOUA SAO LUISBRITA 0</v>
      </c>
      <c r="N265" s="135" t="s">
        <v>224</v>
      </c>
    </row>
    <row r="266" spans="2:14" x14ac:dyDescent="0.25">
      <c r="B266" s="134">
        <v>46154</v>
      </c>
      <c r="C266" s="138">
        <v>1</v>
      </c>
      <c r="D266" s="138" t="s">
        <v>202</v>
      </c>
      <c r="E266" s="135" t="s">
        <v>214</v>
      </c>
      <c r="F266" s="135" t="s">
        <v>190</v>
      </c>
      <c r="G266" s="135" t="s">
        <v>198</v>
      </c>
      <c r="H266" s="135">
        <v>70</v>
      </c>
      <c r="I266" s="135" t="s">
        <v>165</v>
      </c>
      <c r="J266" s="135">
        <v>495</v>
      </c>
      <c r="K266" s="140">
        <v>1282.05</v>
      </c>
      <c r="L266" s="135" t="s">
        <v>3140</v>
      </c>
      <c r="M266" s="135" t="str">
        <f t="shared" si="4"/>
        <v>SERVENGUSINA SAO LUISPÓ DE BRITA</v>
      </c>
      <c r="N266" s="135" t="s">
        <v>224</v>
      </c>
    </row>
    <row r="267" spans="2:14" x14ac:dyDescent="0.25">
      <c r="B267" s="136">
        <v>46154</v>
      </c>
      <c r="C267" s="139">
        <v>1</v>
      </c>
      <c r="D267" s="139" t="s">
        <v>173</v>
      </c>
      <c r="E267" s="137" t="s">
        <v>174</v>
      </c>
      <c r="F267" s="137" t="s">
        <v>166</v>
      </c>
      <c r="G267" s="137" t="s">
        <v>164</v>
      </c>
      <c r="H267" s="137">
        <v>58</v>
      </c>
      <c r="I267" s="137" t="s">
        <v>175</v>
      </c>
      <c r="J267" s="137">
        <v>260</v>
      </c>
      <c r="K267" s="141">
        <v>557.96</v>
      </c>
      <c r="L267" s="137" t="s">
        <v>3141</v>
      </c>
      <c r="M267" s="135" t="str">
        <f t="shared" si="4"/>
        <v>GRANORTEUA SAO LUISBRITA 0</v>
      </c>
      <c r="N267" s="135" t="s">
        <v>224</v>
      </c>
    </row>
    <row r="268" spans="2:14" x14ac:dyDescent="0.25">
      <c r="B268" s="134">
        <v>46154</v>
      </c>
      <c r="C268" s="138">
        <v>1</v>
      </c>
      <c r="D268" s="138" t="s">
        <v>205</v>
      </c>
      <c r="E268" s="135" t="s">
        <v>206</v>
      </c>
      <c r="F268" s="135" t="s">
        <v>2757</v>
      </c>
      <c r="G268" s="135" t="s">
        <v>2867</v>
      </c>
      <c r="H268" s="135">
        <v>383</v>
      </c>
      <c r="I268" s="135" t="s">
        <v>279</v>
      </c>
      <c r="J268" s="135">
        <v>7686</v>
      </c>
      <c r="K268" s="140">
        <v>9419.9599999999991</v>
      </c>
      <c r="L268" s="135" t="s">
        <v>3142</v>
      </c>
      <c r="M268" s="135" t="str">
        <f t="shared" si="4"/>
        <v>MINERADORA PORTO FRANCO MAVALE KM324MATACO</v>
      </c>
      <c r="N268" s="135" t="s">
        <v>15</v>
      </c>
    </row>
    <row r="269" spans="2:14" x14ac:dyDescent="0.25">
      <c r="B269" s="136">
        <v>46154</v>
      </c>
      <c r="C269" s="139">
        <v>1</v>
      </c>
      <c r="D269" s="139" t="s">
        <v>183</v>
      </c>
      <c r="E269" s="137" t="s">
        <v>184</v>
      </c>
      <c r="F269" s="137" t="s">
        <v>166</v>
      </c>
      <c r="G269" s="137" t="s">
        <v>111</v>
      </c>
      <c r="H269" s="137">
        <v>79</v>
      </c>
      <c r="I269" s="137" t="s">
        <v>169</v>
      </c>
      <c r="J269" s="137">
        <v>2634</v>
      </c>
      <c r="K269" s="141">
        <v>769.92</v>
      </c>
      <c r="L269" s="137" t="s">
        <v>3143</v>
      </c>
      <c r="M269" s="135" t="str">
        <f t="shared" si="4"/>
        <v>GRANORTEBEIRA RIOPULMÃOZINHO</v>
      </c>
      <c r="N269" s="137" t="s">
        <v>111</v>
      </c>
    </row>
    <row r="270" spans="2:14" x14ac:dyDescent="0.25">
      <c r="B270" s="134">
        <v>46154</v>
      </c>
      <c r="C270" s="138">
        <v>1</v>
      </c>
      <c r="D270" s="138" t="s">
        <v>183</v>
      </c>
      <c r="E270" s="135" t="s">
        <v>184</v>
      </c>
      <c r="F270" s="135" t="s">
        <v>166</v>
      </c>
      <c r="G270" s="135" t="s">
        <v>111</v>
      </c>
      <c r="H270" s="135">
        <v>79</v>
      </c>
      <c r="I270" s="135" t="s">
        <v>169</v>
      </c>
      <c r="J270" s="135">
        <v>262</v>
      </c>
      <c r="K270" s="140">
        <v>765.83</v>
      </c>
      <c r="L270" s="135" t="s">
        <v>3144</v>
      </c>
      <c r="M270" s="135" t="str">
        <f t="shared" si="4"/>
        <v>GRANORTEBEIRA RIOPULMÃOZINHO</v>
      </c>
      <c r="N270" s="135" t="s">
        <v>111</v>
      </c>
    </row>
    <row r="271" spans="2:14" x14ac:dyDescent="0.25">
      <c r="B271" s="136">
        <v>46154</v>
      </c>
      <c r="C271" s="139">
        <v>1</v>
      </c>
      <c r="D271" s="139" t="s">
        <v>183</v>
      </c>
      <c r="E271" s="137" t="s">
        <v>184</v>
      </c>
      <c r="F271" s="137" t="s">
        <v>166</v>
      </c>
      <c r="G271" s="137" t="s">
        <v>164</v>
      </c>
      <c r="H271" s="137">
        <v>58</v>
      </c>
      <c r="I271" s="137" t="s">
        <v>175</v>
      </c>
      <c r="J271" s="137">
        <v>2586</v>
      </c>
      <c r="K271" s="141">
        <v>554.96</v>
      </c>
      <c r="L271" s="137" t="s">
        <v>3145</v>
      </c>
      <c r="M271" s="135" t="str">
        <f t="shared" si="4"/>
        <v>GRANORTEUA SAO LUISBRITA 0</v>
      </c>
      <c r="N271" s="135" t="s">
        <v>224</v>
      </c>
    </row>
    <row r="272" spans="2:14" x14ac:dyDescent="0.25">
      <c r="B272" s="134">
        <v>46154</v>
      </c>
      <c r="C272" s="138">
        <v>1</v>
      </c>
      <c r="D272" s="138" t="s">
        <v>193</v>
      </c>
      <c r="E272" s="135" t="s">
        <v>285</v>
      </c>
      <c r="F272" s="135" t="s">
        <v>166</v>
      </c>
      <c r="G272" s="135" t="s">
        <v>1178</v>
      </c>
      <c r="H272" s="135">
        <v>51</v>
      </c>
      <c r="I272" s="135" t="s">
        <v>169</v>
      </c>
      <c r="J272" s="135">
        <v>2772</v>
      </c>
      <c r="K272" s="140">
        <v>523.08000000000004</v>
      </c>
      <c r="L272" s="135" t="s">
        <v>3146</v>
      </c>
      <c r="M272" s="135" t="str">
        <f t="shared" si="4"/>
        <v>GRANORTEVETORPULMÃOZINHO</v>
      </c>
      <c r="N272" s="135" t="s">
        <v>1178</v>
      </c>
    </row>
    <row r="273" spans="2:14" x14ac:dyDescent="0.25">
      <c r="B273" s="136">
        <v>46154</v>
      </c>
      <c r="C273" s="139">
        <v>1</v>
      </c>
      <c r="D273" s="139" t="s">
        <v>193</v>
      </c>
      <c r="E273" s="137" t="s">
        <v>285</v>
      </c>
      <c r="F273" s="137" t="s">
        <v>166</v>
      </c>
      <c r="G273" s="137" t="s">
        <v>164</v>
      </c>
      <c r="H273" s="137">
        <v>58</v>
      </c>
      <c r="I273" s="137" t="s">
        <v>169</v>
      </c>
      <c r="J273" s="137">
        <v>2606</v>
      </c>
      <c r="K273" s="141">
        <v>559.25</v>
      </c>
      <c r="L273" s="137" t="s">
        <v>3147</v>
      </c>
      <c r="M273" s="135" t="str">
        <f t="shared" si="4"/>
        <v>GRANORTEUA SAO LUISPULMÃOZINHO</v>
      </c>
      <c r="N273" s="135" t="s">
        <v>224</v>
      </c>
    </row>
    <row r="274" spans="2:14" x14ac:dyDescent="0.25">
      <c r="B274" s="134">
        <v>46154</v>
      </c>
      <c r="C274" s="138">
        <v>1</v>
      </c>
      <c r="D274" s="138" t="s">
        <v>192</v>
      </c>
      <c r="E274" s="135" t="s">
        <v>287</v>
      </c>
      <c r="F274" s="135" t="s">
        <v>2868</v>
      </c>
      <c r="G274" s="135" t="s">
        <v>2871</v>
      </c>
      <c r="H274" s="135">
        <v>70</v>
      </c>
      <c r="I274" s="135" t="s">
        <v>2869</v>
      </c>
      <c r="J274" s="135">
        <v>55104</v>
      </c>
      <c r="K274" s="140">
        <v>1427.19</v>
      </c>
      <c r="L274" s="135" t="s">
        <v>3148</v>
      </c>
      <c r="M274" s="135" t="str">
        <f t="shared" si="4"/>
        <v>FAZENDA PLATAFORMASILO PRODUCERESSOJA</v>
      </c>
      <c r="N274" s="135" t="s">
        <v>3729</v>
      </c>
    </row>
    <row r="275" spans="2:14" x14ac:dyDescent="0.25">
      <c r="B275" s="136">
        <v>46154</v>
      </c>
      <c r="C275" s="139">
        <v>1</v>
      </c>
      <c r="D275" s="139" t="s">
        <v>1948</v>
      </c>
      <c r="E275" s="137" t="s">
        <v>1949</v>
      </c>
      <c r="F275" s="137" t="s">
        <v>2868</v>
      </c>
      <c r="G275" s="137" t="s">
        <v>2871</v>
      </c>
      <c r="H275" s="137">
        <v>70</v>
      </c>
      <c r="I275" s="137" t="s">
        <v>2869</v>
      </c>
      <c r="J275" s="137">
        <v>496</v>
      </c>
      <c r="K275" s="141">
        <v>1284.6400000000001</v>
      </c>
      <c r="L275" s="137" t="s">
        <v>3149</v>
      </c>
      <c r="M275" s="135" t="str">
        <f t="shared" si="4"/>
        <v>FAZENDA PLATAFORMASILO PRODUCERESSOJA</v>
      </c>
      <c r="N275" s="135" t="s">
        <v>3729</v>
      </c>
    </row>
    <row r="276" spans="2:14" x14ac:dyDescent="0.25">
      <c r="B276" s="134">
        <v>46154</v>
      </c>
      <c r="C276" s="138">
        <v>1</v>
      </c>
      <c r="D276" s="138" t="s">
        <v>186</v>
      </c>
      <c r="E276" s="135" t="s">
        <v>187</v>
      </c>
      <c r="F276" s="135" t="s">
        <v>276</v>
      </c>
      <c r="G276" s="135" t="s">
        <v>307</v>
      </c>
      <c r="H276" s="135">
        <v>175</v>
      </c>
      <c r="I276" s="135" t="s">
        <v>221</v>
      </c>
      <c r="J276" s="135">
        <v>7066</v>
      </c>
      <c r="K276" s="140">
        <v>3956.96</v>
      </c>
      <c r="L276" s="135" t="s">
        <v>3150</v>
      </c>
      <c r="M276" s="135" t="str">
        <f t="shared" si="4"/>
        <v>MINERADORA PORTO FRANCOAUGUSTINOPOLIS TO (EDEC)BGS</v>
      </c>
      <c r="N276" s="135" t="s">
        <v>307</v>
      </c>
    </row>
    <row r="277" spans="2:14" x14ac:dyDescent="0.25">
      <c r="B277" s="136">
        <v>46154</v>
      </c>
      <c r="C277" s="139">
        <v>1</v>
      </c>
      <c r="D277" s="139" t="s">
        <v>1129</v>
      </c>
      <c r="E277" s="137" t="s">
        <v>2396</v>
      </c>
      <c r="F277" s="137" t="s">
        <v>166</v>
      </c>
      <c r="G277" s="137" t="s">
        <v>1178</v>
      </c>
      <c r="H277" s="137">
        <v>51</v>
      </c>
      <c r="I277" s="137" t="s">
        <v>169</v>
      </c>
      <c r="J277" s="137">
        <v>2642</v>
      </c>
      <c r="K277" s="141">
        <v>498.55</v>
      </c>
      <c r="L277" s="137" t="s">
        <v>3151</v>
      </c>
      <c r="M277" s="135" t="str">
        <f t="shared" si="4"/>
        <v>GRANORTEVETORPULMÃOZINHO</v>
      </c>
      <c r="N277" s="137" t="s">
        <v>1178</v>
      </c>
    </row>
    <row r="278" spans="2:14" x14ac:dyDescent="0.25">
      <c r="B278" s="134">
        <v>46154</v>
      </c>
      <c r="C278" s="138">
        <v>1</v>
      </c>
      <c r="D278" s="138" t="s">
        <v>1129</v>
      </c>
      <c r="E278" s="135" t="s">
        <v>2396</v>
      </c>
      <c r="F278" s="135" t="s">
        <v>166</v>
      </c>
      <c r="G278" s="135" t="s">
        <v>1178</v>
      </c>
      <c r="H278" s="135">
        <v>51</v>
      </c>
      <c r="I278" s="135" t="s">
        <v>292</v>
      </c>
      <c r="J278" s="135">
        <v>264</v>
      </c>
      <c r="K278" s="140">
        <v>498.17</v>
      </c>
      <c r="L278" s="135" t="s">
        <v>3152</v>
      </c>
      <c r="M278" s="135" t="str">
        <f t="shared" si="4"/>
        <v>GRANORTEVETORPEDRA PULMÃO</v>
      </c>
      <c r="N278" s="135" t="s">
        <v>1178</v>
      </c>
    </row>
    <row r="279" spans="2:14" x14ac:dyDescent="0.25">
      <c r="B279" s="136">
        <v>46154</v>
      </c>
      <c r="C279" s="139">
        <v>1</v>
      </c>
      <c r="D279" s="139" t="s">
        <v>275</v>
      </c>
      <c r="E279" s="137" t="s">
        <v>178</v>
      </c>
      <c r="F279" s="137" t="s">
        <v>163</v>
      </c>
      <c r="G279" s="137" t="s">
        <v>164</v>
      </c>
      <c r="H279" s="137">
        <v>52</v>
      </c>
      <c r="I279" s="137" t="s">
        <v>165</v>
      </c>
      <c r="J279" s="137">
        <v>4865</v>
      </c>
      <c r="K279" s="141">
        <v>936.03</v>
      </c>
      <c r="L279" s="137" t="s">
        <v>3153</v>
      </c>
      <c r="M279" s="135" t="str">
        <f t="shared" si="4"/>
        <v>BRASIL MINERACAOUA SAO LUISPÓ DE BRITA</v>
      </c>
      <c r="N279" s="135" t="s">
        <v>224</v>
      </c>
    </row>
    <row r="280" spans="2:14" x14ac:dyDescent="0.25">
      <c r="B280" s="134">
        <v>46154</v>
      </c>
      <c r="C280" s="138">
        <v>1</v>
      </c>
      <c r="D280" s="138" t="s">
        <v>275</v>
      </c>
      <c r="E280" s="135" t="s">
        <v>178</v>
      </c>
      <c r="F280" s="135" t="s">
        <v>190</v>
      </c>
      <c r="G280" s="135" t="s">
        <v>198</v>
      </c>
      <c r="H280" s="135">
        <v>70</v>
      </c>
      <c r="I280" s="135" t="s">
        <v>165</v>
      </c>
      <c r="J280" s="135">
        <v>620</v>
      </c>
      <c r="K280" s="140">
        <v>1605.8</v>
      </c>
      <c r="L280" s="135" t="s">
        <v>3154</v>
      </c>
      <c r="M280" s="135" t="str">
        <f t="shared" si="4"/>
        <v>SERVENGUSINA SAO LUISPÓ DE BRITA</v>
      </c>
      <c r="N280" s="135" t="s">
        <v>224</v>
      </c>
    </row>
    <row r="281" spans="2:14" x14ac:dyDescent="0.25">
      <c r="B281" s="136">
        <v>46154</v>
      </c>
      <c r="C281" s="139">
        <v>1</v>
      </c>
      <c r="D281" s="139" t="s">
        <v>286</v>
      </c>
      <c r="E281" s="137" t="s">
        <v>506</v>
      </c>
      <c r="F281" s="137" t="s">
        <v>190</v>
      </c>
      <c r="G281" s="137" t="s">
        <v>198</v>
      </c>
      <c r="H281" s="137">
        <v>70</v>
      </c>
      <c r="I281" s="137" t="s">
        <v>165</v>
      </c>
      <c r="J281" s="137">
        <v>4742</v>
      </c>
      <c r="K281" s="141">
        <v>1228.18</v>
      </c>
      <c r="L281" s="137" t="s">
        <v>3155</v>
      </c>
      <c r="M281" s="135" t="str">
        <f t="shared" si="4"/>
        <v>SERVENGUSINA SAO LUISPÓ DE BRITA</v>
      </c>
      <c r="N281" s="135" t="s">
        <v>224</v>
      </c>
    </row>
    <row r="282" spans="2:14" x14ac:dyDescent="0.25">
      <c r="B282" s="134">
        <v>46155</v>
      </c>
      <c r="C282" s="138">
        <v>1</v>
      </c>
      <c r="D282" s="138" t="s">
        <v>196</v>
      </c>
      <c r="E282" s="135" t="s">
        <v>197</v>
      </c>
      <c r="F282" s="135" t="s">
        <v>276</v>
      </c>
      <c r="G282" s="135" t="s">
        <v>307</v>
      </c>
      <c r="H282" s="135">
        <v>175</v>
      </c>
      <c r="I282" s="135" t="s">
        <v>175</v>
      </c>
      <c r="J282" s="135">
        <v>913</v>
      </c>
      <c r="K282" s="140">
        <v>5112.8</v>
      </c>
      <c r="L282" s="135" t="s">
        <v>3156</v>
      </c>
      <c r="M282" s="135" t="str">
        <f t="shared" si="4"/>
        <v>MINERADORA PORTO FRANCOAUGUSTINOPOLIS TO (EDEC)BRITA 0</v>
      </c>
      <c r="N282" s="135" t="s">
        <v>307</v>
      </c>
    </row>
    <row r="283" spans="2:14" x14ac:dyDescent="0.25">
      <c r="B283" s="136">
        <v>46155</v>
      </c>
      <c r="C283" s="139">
        <v>1</v>
      </c>
      <c r="D283" s="139" t="s">
        <v>208</v>
      </c>
      <c r="E283" s="137" t="s">
        <v>209</v>
      </c>
      <c r="F283" s="137" t="s">
        <v>163</v>
      </c>
      <c r="G283" s="137" t="s">
        <v>164</v>
      </c>
      <c r="H283" s="137">
        <v>52</v>
      </c>
      <c r="I283" s="137" t="s">
        <v>175</v>
      </c>
      <c r="J283" s="137">
        <v>510</v>
      </c>
      <c r="K283" s="141">
        <v>981.24</v>
      </c>
      <c r="L283" s="137" t="s">
        <v>3157</v>
      </c>
      <c r="M283" s="135" t="str">
        <f t="shared" si="4"/>
        <v>BRASIL MINERACAOUA SAO LUISBRITA 0</v>
      </c>
      <c r="N283" s="135" t="s">
        <v>224</v>
      </c>
    </row>
    <row r="284" spans="2:14" x14ac:dyDescent="0.25">
      <c r="B284" s="134">
        <v>46155</v>
      </c>
      <c r="C284" s="138">
        <v>1</v>
      </c>
      <c r="D284" s="138" t="s">
        <v>199</v>
      </c>
      <c r="E284" s="135" t="s">
        <v>180</v>
      </c>
      <c r="F284" s="135" t="s">
        <v>163</v>
      </c>
      <c r="G284" s="135" t="s">
        <v>164</v>
      </c>
      <c r="H284" s="135">
        <v>52</v>
      </c>
      <c r="I284" s="135" t="s">
        <v>175</v>
      </c>
      <c r="J284" s="135">
        <v>284</v>
      </c>
      <c r="K284" s="140">
        <v>546.41999999999996</v>
      </c>
      <c r="L284" s="135" t="s">
        <v>3158</v>
      </c>
      <c r="M284" s="135" t="str">
        <f t="shared" si="4"/>
        <v>BRASIL MINERACAOUA SAO LUISBRITA 0</v>
      </c>
      <c r="N284" s="135" t="s">
        <v>224</v>
      </c>
    </row>
    <row r="285" spans="2:14" x14ac:dyDescent="0.25">
      <c r="B285" s="136">
        <v>46155</v>
      </c>
      <c r="C285" s="139">
        <v>1</v>
      </c>
      <c r="D285" s="139" t="s">
        <v>188</v>
      </c>
      <c r="E285" s="137" t="s">
        <v>189</v>
      </c>
      <c r="F285" s="137" t="s">
        <v>276</v>
      </c>
      <c r="G285" s="137" t="s">
        <v>307</v>
      </c>
      <c r="H285" s="137">
        <v>175</v>
      </c>
      <c r="I285" s="137" t="s">
        <v>175</v>
      </c>
      <c r="J285" s="137">
        <v>8102</v>
      </c>
      <c r="K285" s="141">
        <v>4537.12</v>
      </c>
      <c r="L285" s="137" t="s">
        <v>3159</v>
      </c>
      <c r="M285" s="135" t="str">
        <f t="shared" si="4"/>
        <v>MINERADORA PORTO FRANCOAUGUSTINOPOLIS TO (EDEC)BRITA 0</v>
      </c>
      <c r="N285" s="137" t="s">
        <v>307</v>
      </c>
    </row>
    <row r="286" spans="2:14" x14ac:dyDescent="0.25">
      <c r="B286" s="134">
        <v>46155</v>
      </c>
      <c r="C286" s="138">
        <v>1</v>
      </c>
      <c r="D286" s="138" t="s">
        <v>283</v>
      </c>
      <c r="E286" s="135" t="s">
        <v>282</v>
      </c>
      <c r="F286" s="135" t="s">
        <v>163</v>
      </c>
      <c r="G286" s="135" t="s">
        <v>164</v>
      </c>
      <c r="H286" s="135">
        <v>52</v>
      </c>
      <c r="I286" s="135" t="s">
        <v>175</v>
      </c>
      <c r="J286" s="135">
        <v>2628</v>
      </c>
      <c r="K286" s="140">
        <v>505.63</v>
      </c>
      <c r="L286" s="135" t="s">
        <v>3160</v>
      </c>
      <c r="M286" s="135" t="str">
        <f t="shared" si="4"/>
        <v>BRASIL MINERACAOUA SAO LUISBRITA 0</v>
      </c>
      <c r="N286" s="135" t="s">
        <v>224</v>
      </c>
    </row>
    <row r="287" spans="2:14" x14ac:dyDescent="0.25">
      <c r="B287" s="136">
        <v>46155</v>
      </c>
      <c r="C287" s="139">
        <v>1</v>
      </c>
      <c r="D287" s="139" t="s">
        <v>203</v>
      </c>
      <c r="E287" s="137" t="s">
        <v>204</v>
      </c>
      <c r="F287" s="137" t="s">
        <v>2868</v>
      </c>
      <c r="G287" s="137" t="s">
        <v>2871</v>
      </c>
      <c r="H287" s="137">
        <v>70</v>
      </c>
      <c r="I287" s="137" t="s">
        <v>2869</v>
      </c>
      <c r="J287" s="137">
        <v>5291</v>
      </c>
      <c r="K287" s="141">
        <v>1370.37</v>
      </c>
      <c r="L287" s="137" t="s">
        <v>3161</v>
      </c>
      <c r="M287" s="135" t="str">
        <f t="shared" si="4"/>
        <v>FAZENDA PLATAFORMASILO PRODUCERESSOJA</v>
      </c>
      <c r="N287" s="135" t="s">
        <v>3729</v>
      </c>
    </row>
    <row r="288" spans="2:14" x14ac:dyDescent="0.25">
      <c r="B288" s="134">
        <v>46155</v>
      </c>
      <c r="C288" s="138">
        <v>1</v>
      </c>
      <c r="D288" s="138" t="s">
        <v>176</v>
      </c>
      <c r="E288" s="135" t="s">
        <v>177</v>
      </c>
      <c r="F288" s="135" t="s">
        <v>2868</v>
      </c>
      <c r="G288" s="135" t="s">
        <v>2871</v>
      </c>
      <c r="H288" s="135">
        <v>70</v>
      </c>
      <c r="I288" s="135" t="s">
        <v>2869</v>
      </c>
      <c r="J288" s="135">
        <v>5114</v>
      </c>
      <c r="K288" s="140">
        <v>1324.53</v>
      </c>
      <c r="L288" s="135" t="s">
        <v>3162</v>
      </c>
      <c r="M288" s="135" t="str">
        <f t="shared" si="4"/>
        <v>FAZENDA PLATAFORMASILO PRODUCERESSOJA</v>
      </c>
      <c r="N288" s="135" t="s">
        <v>3729</v>
      </c>
    </row>
    <row r="289" spans="2:14" x14ac:dyDescent="0.25">
      <c r="B289" s="136">
        <v>46155</v>
      </c>
      <c r="C289" s="139">
        <v>1</v>
      </c>
      <c r="D289" s="139" t="s">
        <v>2866</v>
      </c>
      <c r="E289" s="137" t="s">
        <v>281</v>
      </c>
      <c r="F289" s="137" t="s">
        <v>163</v>
      </c>
      <c r="G289" s="137" t="s">
        <v>164</v>
      </c>
      <c r="H289" s="137">
        <v>52</v>
      </c>
      <c r="I289" s="137" t="s">
        <v>165</v>
      </c>
      <c r="J289" s="137">
        <v>431</v>
      </c>
      <c r="K289" s="141">
        <v>829.24</v>
      </c>
      <c r="L289" s="137" t="s">
        <v>3163</v>
      </c>
      <c r="M289" s="135" t="str">
        <f t="shared" si="4"/>
        <v>BRASIL MINERACAOUA SAO LUISPÓ DE BRITA</v>
      </c>
      <c r="N289" s="135" t="s">
        <v>224</v>
      </c>
    </row>
    <row r="290" spans="2:14" x14ac:dyDescent="0.25">
      <c r="B290" s="134">
        <v>46155</v>
      </c>
      <c r="C290" s="138">
        <v>1</v>
      </c>
      <c r="D290" s="138" t="s">
        <v>199</v>
      </c>
      <c r="E290" s="135" t="s">
        <v>180</v>
      </c>
      <c r="F290" s="135" t="s">
        <v>166</v>
      </c>
      <c r="G290" s="135" t="s">
        <v>1178</v>
      </c>
      <c r="H290" s="135">
        <v>51</v>
      </c>
      <c r="I290" s="135" t="s">
        <v>292</v>
      </c>
      <c r="J290" s="135">
        <v>286</v>
      </c>
      <c r="K290" s="140">
        <v>539.67999999999995</v>
      </c>
      <c r="L290" s="135" t="s">
        <v>3164</v>
      </c>
      <c r="M290" s="135" t="str">
        <f t="shared" si="4"/>
        <v>GRANORTEVETORPEDRA PULMÃO</v>
      </c>
      <c r="N290" s="135" t="s">
        <v>1178</v>
      </c>
    </row>
    <row r="291" spans="2:14" x14ac:dyDescent="0.25">
      <c r="B291" s="136">
        <v>46155</v>
      </c>
      <c r="C291" s="139">
        <v>1</v>
      </c>
      <c r="D291" s="139" t="s">
        <v>202</v>
      </c>
      <c r="E291" s="137" t="s">
        <v>214</v>
      </c>
      <c r="F291" s="137" t="s">
        <v>163</v>
      </c>
      <c r="G291" s="137" t="s">
        <v>164</v>
      </c>
      <c r="H291" s="137">
        <v>52</v>
      </c>
      <c r="I291" s="137" t="s">
        <v>165</v>
      </c>
      <c r="J291" s="137">
        <v>483</v>
      </c>
      <c r="K291" s="141">
        <v>929.29</v>
      </c>
      <c r="L291" s="137" t="s">
        <v>3165</v>
      </c>
      <c r="M291" s="135" t="str">
        <f t="shared" si="4"/>
        <v>BRASIL MINERACAOUA SAO LUISPÓ DE BRITA</v>
      </c>
      <c r="N291" s="135" t="s">
        <v>224</v>
      </c>
    </row>
    <row r="292" spans="2:14" x14ac:dyDescent="0.25">
      <c r="B292" s="134">
        <v>46155</v>
      </c>
      <c r="C292" s="138">
        <v>1</v>
      </c>
      <c r="D292" s="138" t="s">
        <v>167</v>
      </c>
      <c r="E292" s="135" t="s">
        <v>168</v>
      </c>
      <c r="F292" s="135" t="s">
        <v>166</v>
      </c>
      <c r="G292" s="135" t="s">
        <v>164</v>
      </c>
      <c r="H292" s="135">
        <v>58</v>
      </c>
      <c r="I292" s="135" t="s">
        <v>175</v>
      </c>
      <c r="J292" s="135">
        <v>2804</v>
      </c>
      <c r="K292" s="140">
        <v>601.74</v>
      </c>
      <c r="L292" s="135" t="s">
        <v>3166</v>
      </c>
      <c r="M292" s="135" t="str">
        <f t="shared" si="4"/>
        <v>GRANORTEUA SAO LUISBRITA 0</v>
      </c>
      <c r="N292" s="135" t="s">
        <v>224</v>
      </c>
    </row>
    <row r="293" spans="2:14" x14ac:dyDescent="0.25">
      <c r="B293" s="136">
        <v>46155</v>
      </c>
      <c r="C293" s="139">
        <v>1</v>
      </c>
      <c r="D293" s="139" t="s">
        <v>167</v>
      </c>
      <c r="E293" s="137" t="s">
        <v>168</v>
      </c>
      <c r="F293" s="137" t="s">
        <v>166</v>
      </c>
      <c r="G293" s="137" t="s">
        <v>164</v>
      </c>
      <c r="H293" s="137">
        <v>58</v>
      </c>
      <c r="I293" s="137" t="s">
        <v>169</v>
      </c>
      <c r="J293" s="137">
        <v>2592</v>
      </c>
      <c r="K293" s="141">
        <v>556.24</v>
      </c>
      <c r="L293" s="137" t="s">
        <v>3167</v>
      </c>
      <c r="M293" s="135" t="str">
        <f t="shared" si="4"/>
        <v>GRANORTEUA SAO LUISPULMÃOZINHO</v>
      </c>
      <c r="N293" s="135" t="s">
        <v>224</v>
      </c>
    </row>
    <row r="294" spans="2:14" x14ac:dyDescent="0.25">
      <c r="B294" s="134">
        <v>46155</v>
      </c>
      <c r="C294" s="138">
        <v>1</v>
      </c>
      <c r="D294" s="138" t="s">
        <v>167</v>
      </c>
      <c r="E294" s="135" t="s">
        <v>168</v>
      </c>
      <c r="F294" s="135" t="s">
        <v>166</v>
      </c>
      <c r="G294" s="135" t="s">
        <v>164</v>
      </c>
      <c r="H294" s="135">
        <v>58</v>
      </c>
      <c r="I294" s="135" t="s">
        <v>195</v>
      </c>
      <c r="J294" s="135">
        <v>2712</v>
      </c>
      <c r="K294" s="140">
        <v>582</v>
      </c>
      <c r="L294" s="135" t="s">
        <v>3168</v>
      </c>
      <c r="M294" s="135" t="str">
        <f t="shared" si="4"/>
        <v>GRANORTEUA SAO LUISBRITA 1</v>
      </c>
      <c r="N294" s="135" t="s">
        <v>224</v>
      </c>
    </row>
    <row r="295" spans="2:14" x14ac:dyDescent="0.25">
      <c r="B295" s="136">
        <v>46155</v>
      </c>
      <c r="C295" s="139">
        <v>1</v>
      </c>
      <c r="D295" s="139" t="s">
        <v>270</v>
      </c>
      <c r="E295" s="137" t="s">
        <v>288</v>
      </c>
      <c r="F295" s="137" t="s">
        <v>163</v>
      </c>
      <c r="G295" s="137" t="s">
        <v>164</v>
      </c>
      <c r="H295" s="137">
        <v>52</v>
      </c>
      <c r="I295" s="137" t="s">
        <v>165</v>
      </c>
      <c r="J295" s="137">
        <v>4482</v>
      </c>
      <c r="K295" s="141">
        <v>862.34</v>
      </c>
      <c r="L295" s="137" t="s">
        <v>3169</v>
      </c>
      <c r="M295" s="135" t="str">
        <f t="shared" si="4"/>
        <v>BRASIL MINERACAOUA SAO LUISPÓ DE BRITA</v>
      </c>
      <c r="N295" s="135" t="s">
        <v>224</v>
      </c>
    </row>
    <row r="296" spans="2:14" x14ac:dyDescent="0.25">
      <c r="B296" s="134">
        <v>46155</v>
      </c>
      <c r="C296" s="138">
        <v>1</v>
      </c>
      <c r="D296" s="138" t="s">
        <v>208</v>
      </c>
      <c r="E296" s="135" t="s">
        <v>209</v>
      </c>
      <c r="F296" s="135" t="s">
        <v>163</v>
      </c>
      <c r="G296" s="135" t="s">
        <v>164</v>
      </c>
      <c r="H296" s="135">
        <v>52</v>
      </c>
      <c r="I296" s="135" t="s">
        <v>165</v>
      </c>
      <c r="J296" s="135">
        <v>460</v>
      </c>
      <c r="K296" s="140">
        <v>885.04</v>
      </c>
      <c r="L296" s="135" t="s">
        <v>3170</v>
      </c>
      <c r="M296" s="135" t="str">
        <f t="shared" si="4"/>
        <v>BRASIL MINERACAOUA SAO LUISPÓ DE BRITA</v>
      </c>
      <c r="N296" s="135" t="s">
        <v>224</v>
      </c>
    </row>
    <row r="297" spans="2:14" x14ac:dyDescent="0.25">
      <c r="B297" s="136">
        <v>46155</v>
      </c>
      <c r="C297" s="139">
        <v>1</v>
      </c>
      <c r="D297" s="139" t="s">
        <v>1129</v>
      </c>
      <c r="E297" s="137" t="s">
        <v>2396</v>
      </c>
      <c r="F297" s="137" t="s">
        <v>166</v>
      </c>
      <c r="G297" s="137" t="s">
        <v>1178</v>
      </c>
      <c r="H297" s="137">
        <v>51</v>
      </c>
      <c r="I297" s="137" t="s">
        <v>292</v>
      </c>
      <c r="J297" s="137">
        <v>2764</v>
      </c>
      <c r="K297" s="141">
        <v>521.57000000000005</v>
      </c>
      <c r="L297" s="137" t="s">
        <v>3171</v>
      </c>
      <c r="M297" s="135" t="str">
        <f t="shared" si="4"/>
        <v>GRANORTEVETORPEDRA PULMÃO</v>
      </c>
      <c r="N297" s="137" t="s">
        <v>1178</v>
      </c>
    </row>
    <row r="298" spans="2:14" x14ac:dyDescent="0.25">
      <c r="B298" s="134">
        <v>46155</v>
      </c>
      <c r="C298" s="138">
        <v>1</v>
      </c>
      <c r="D298" s="138" t="s">
        <v>199</v>
      </c>
      <c r="E298" s="135" t="s">
        <v>180</v>
      </c>
      <c r="F298" s="135" t="s">
        <v>166</v>
      </c>
      <c r="G298" s="135" t="s">
        <v>164</v>
      </c>
      <c r="H298" s="135">
        <v>58</v>
      </c>
      <c r="I298" s="135" t="s">
        <v>175</v>
      </c>
      <c r="J298" s="135">
        <v>2694</v>
      </c>
      <c r="K298" s="140">
        <v>578.13</v>
      </c>
      <c r="L298" s="135" t="s">
        <v>3172</v>
      </c>
      <c r="M298" s="135" t="str">
        <f t="shared" si="4"/>
        <v>GRANORTEUA SAO LUISBRITA 0</v>
      </c>
      <c r="N298" s="135" t="s">
        <v>224</v>
      </c>
    </row>
    <row r="299" spans="2:14" x14ac:dyDescent="0.25">
      <c r="B299" s="136">
        <v>46155</v>
      </c>
      <c r="C299" s="139">
        <v>1</v>
      </c>
      <c r="D299" s="139" t="s">
        <v>200</v>
      </c>
      <c r="E299" s="137" t="s">
        <v>201</v>
      </c>
      <c r="F299" s="137" t="s">
        <v>163</v>
      </c>
      <c r="G299" s="137" t="s">
        <v>164</v>
      </c>
      <c r="H299" s="137">
        <v>52</v>
      </c>
      <c r="I299" s="137" t="s">
        <v>165</v>
      </c>
      <c r="J299" s="137">
        <v>4628</v>
      </c>
      <c r="K299" s="141">
        <v>890.43</v>
      </c>
      <c r="L299" s="137" t="s">
        <v>3173</v>
      </c>
      <c r="M299" s="135" t="str">
        <f t="shared" si="4"/>
        <v>BRASIL MINERACAOUA SAO LUISPÓ DE BRITA</v>
      </c>
      <c r="N299" s="135" t="s">
        <v>224</v>
      </c>
    </row>
    <row r="300" spans="2:14" x14ac:dyDescent="0.25">
      <c r="B300" s="134">
        <v>46155</v>
      </c>
      <c r="C300" s="138">
        <v>1</v>
      </c>
      <c r="D300" s="138" t="s">
        <v>283</v>
      </c>
      <c r="E300" s="135" t="s">
        <v>282</v>
      </c>
      <c r="F300" s="135" t="s">
        <v>166</v>
      </c>
      <c r="G300" s="135" t="s">
        <v>1178</v>
      </c>
      <c r="H300" s="135">
        <v>51</v>
      </c>
      <c r="I300" s="135" t="s">
        <v>175</v>
      </c>
      <c r="J300" s="135">
        <v>2682</v>
      </c>
      <c r="K300" s="140">
        <v>506.09</v>
      </c>
      <c r="L300" s="135" t="s">
        <v>3174</v>
      </c>
      <c r="M300" s="135" t="str">
        <f t="shared" si="4"/>
        <v>GRANORTEVETORBRITA 0</v>
      </c>
      <c r="N300" s="135" t="s">
        <v>1178</v>
      </c>
    </row>
    <row r="301" spans="2:14" x14ac:dyDescent="0.25">
      <c r="B301" s="136">
        <v>46155</v>
      </c>
      <c r="C301" s="139">
        <v>1</v>
      </c>
      <c r="D301" s="139" t="s">
        <v>283</v>
      </c>
      <c r="E301" s="137" t="s">
        <v>282</v>
      </c>
      <c r="F301" s="137" t="s">
        <v>166</v>
      </c>
      <c r="G301" s="137" t="s">
        <v>1178</v>
      </c>
      <c r="H301" s="137">
        <v>51</v>
      </c>
      <c r="I301" s="137" t="s">
        <v>172</v>
      </c>
      <c r="J301" s="137">
        <v>26334</v>
      </c>
      <c r="K301" s="141">
        <v>496.92</v>
      </c>
      <c r="L301" s="137" t="s">
        <v>3175</v>
      </c>
      <c r="M301" s="135" t="str">
        <f t="shared" si="4"/>
        <v>GRANORTEVETORBICA CORRIDA</v>
      </c>
      <c r="N301" s="137" t="s">
        <v>1178</v>
      </c>
    </row>
    <row r="302" spans="2:14" x14ac:dyDescent="0.25">
      <c r="B302" s="134">
        <v>46155</v>
      </c>
      <c r="C302" s="138">
        <v>1</v>
      </c>
      <c r="D302" s="138" t="s">
        <v>2866</v>
      </c>
      <c r="E302" s="135" t="s">
        <v>281</v>
      </c>
      <c r="F302" s="135" t="s">
        <v>166</v>
      </c>
      <c r="G302" s="135" t="s">
        <v>164</v>
      </c>
      <c r="H302" s="135">
        <v>58</v>
      </c>
      <c r="I302" s="135" t="s">
        <v>195</v>
      </c>
      <c r="J302" s="135">
        <v>3558</v>
      </c>
      <c r="K302" s="140">
        <v>763.55</v>
      </c>
      <c r="L302" s="135" t="s">
        <v>3176</v>
      </c>
      <c r="M302" s="135" t="str">
        <f t="shared" si="4"/>
        <v>GRANORTEUA SAO LUISBRITA 1</v>
      </c>
      <c r="N302" s="135" t="s">
        <v>224</v>
      </c>
    </row>
    <row r="303" spans="2:14" x14ac:dyDescent="0.25">
      <c r="B303" s="136">
        <v>46155</v>
      </c>
      <c r="C303" s="139">
        <v>1</v>
      </c>
      <c r="D303" s="139" t="s">
        <v>188</v>
      </c>
      <c r="E303" s="137" t="s">
        <v>189</v>
      </c>
      <c r="F303" s="137" t="s">
        <v>276</v>
      </c>
      <c r="G303" s="137" t="s">
        <v>307</v>
      </c>
      <c r="H303" s="137">
        <v>175</v>
      </c>
      <c r="I303" s="137" t="s">
        <v>221</v>
      </c>
      <c r="J303" s="137">
        <v>769</v>
      </c>
      <c r="K303" s="141">
        <v>4306.3999999999996</v>
      </c>
      <c r="L303" s="137" t="s">
        <v>3177</v>
      </c>
      <c r="M303" s="135" t="str">
        <f t="shared" si="4"/>
        <v>MINERADORA PORTO FRANCOAUGUSTINOPOLIS TO (EDEC)BGS</v>
      </c>
      <c r="N303" s="137" t="s">
        <v>307</v>
      </c>
    </row>
    <row r="304" spans="2:14" x14ac:dyDescent="0.25">
      <c r="B304" s="134">
        <v>46155</v>
      </c>
      <c r="C304" s="138">
        <v>1</v>
      </c>
      <c r="D304" s="138" t="s">
        <v>202</v>
      </c>
      <c r="E304" s="135" t="s">
        <v>214</v>
      </c>
      <c r="F304" s="135" t="s">
        <v>190</v>
      </c>
      <c r="G304" s="135" t="s">
        <v>198</v>
      </c>
      <c r="H304" s="135">
        <v>70</v>
      </c>
      <c r="I304" s="135" t="s">
        <v>165</v>
      </c>
      <c r="J304" s="135">
        <v>5026</v>
      </c>
      <c r="K304" s="140">
        <v>1301.73</v>
      </c>
      <c r="L304" s="135" t="s">
        <v>3178</v>
      </c>
      <c r="M304" s="135" t="str">
        <f t="shared" si="4"/>
        <v>SERVENGUSINA SAO LUISPÓ DE BRITA</v>
      </c>
      <c r="N304" s="135" t="s">
        <v>224</v>
      </c>
    </row>
    <row r="305" spans="2:14" x14ac:dyDescent="0.25">
      <c r="B305" s="136">
        <v>46155</v>
      </c>
      <c r="C305" s="139">
        <v>1</v>
      </c>
      <c r="D305" s="139" t="s">
        <v>199</v>
      </c>
      <c r="E305" s="137" t="s">
        <v>180</v>
      </c>
      <c r="F305" s="137" t="s">
        <v>166</v>
      </c>
      <c r="G305" s="137" t="s">
        <v>164</v>
      </c>
      <c r="H305" s="137">
        <v>58</v>
      </c>
      <c r="I305" s="137" t="s">
        <v>175</v>
      </c>
      <c r="J305" s="137">
        <v>2758</v>
      </c>
      <c r="K305" s="141">
        <v>591.87</v>
      </c>
      <c r="L305" s="137" t="s">
        <v>3179</v>
      </c>
      <c r="M305" s="135" t="str">
        <f t="shared" si="4"/>
        <v>GRANORTEUA SAO LUISBRITA 0</v>
      </c>
      <c r="N305" s="135" t="s">
        <v>224</v>
      </c>
    </row>
    <row r="306" spans="2:14" x14ac:dyDescent="0.25">
      <c r="B306" s="134">
        <v>46155</v>
      </c>
      <c r="C306" s="138">
        <v>1</v>
      </c>
      <c r="D306" s="138" t="s">
        <v>200</v>
      </c>
      <c r="E306" s="135" t="s">
        <v>201</v>
      </c>
      <c r="F306" s="135" t="s">
        <v>190</v>
      </c>
      <c r="G306" s="135" t="s">
        <v>198</v>
      </c>
      <c r="H306" s="135">
        <v>70</v>
      </c>
      <c r="I306" s="135" t="s">
        <v>165</v>
      </c>
      <c r="J306" s="135">
        <v>4838</v>
      </c>
      <c r="K306" s="140">
        <v>1253.04</v>
      </c>
      <c r="L306" s="135" t="s">
        <v>3180</v>
      </c>
      <c r="M306" s="135" t="str">
        <f t="shared" si="4"/>
        <v>SERVENGUSINA SAO LUISPÓ DE BRITA</v>
      </c>
      <c r="N306" s="135" t="s">
        <v>224</v>
      </c>
    </row>
    <row r="307" spans="2:14" x14ac:dyDescent="0.25">
      <c r="B307" s="136">
        <v>46155</v>
      </c>
      <c r="C307" s="139">
        <v>1</v>
      </c>
      <c r="D307" s="139" t="s">
        <v>210</v>
      </c>
      <c r="E307" s="137" t="s">
        <v>211</v>
      </c>
      <c r="F307" s="137" t="s">
        <v>2868</v>
      </c>
      <c r="G307" s="137" t="s">
        <v>2871</v>
      </c>
      <c r="H307" s="137">
        <v>70</v>
      </c>
      <c r="I307" s="137" t="s">
        <v>2869</v>
      </c>
      <c r="J307" s="137">
        <v>48887</v>
      </c>
      <c r="K307" s="141">
        <v>1266.17</v>
      </c>
      <c r="L307" s="137" t="s">
        <v>3181</v>
      </c>
      <c r="M307" s="135" t="str">
        <f t="shared" si="4"/>
        <v>FAZENDA PLATAFORMASILO PRODUCERESSOJA</v>
      </c>
      <c r="N307" s="135" t="s">
        <v>3729</v>
      </c>
    </row>
    <row r="308" spans="2:14" x14ac:dyDescent="0.25">
      <c r="B308" s="134">
        <v>46155</v>
      </c>
      <c r="C308" s="138">
        <v>1</v>
      </c>
      <c r="D308" s="138" t="s">
        <v>173</v>
      </c>
      <c r="E308" s="135" t="s">
        <v>174</v>
      </c>
      <c r="F308" s="135" t="s">
        <v>166</v>
      </c>
      <c r="G308" s="135" t="s">
        <v>164</v>
      </c>
      <c r="H308" s="135">
        <v>58</v>
      </c>
      <c r="I308" s="135" t="s">
        <v>175</v>
      </c>
      <c r="J308" s="135">
        <v>2608</v>
      </c>
      <c r="K308" s="140">
        <v>559.67999999999995</v>
      </c>
      <c r="L308" s="135" t="s">
        <v>3182</v>
      </c>
      <c r="M308" s="135" t="str">
        <f t="shared" si="4"/>
        <v>GRANORTEUA SAO LUISBRITA 0</v>
      </c>
      <c r="N308" s="135" t="s">
        <v>224</v>
      </c>
    </row>
    <row r="309" spans="2:14" x14ac:dyDescent="0.25">
      <c r="B309" s="136">
        <v>46155</v>
      </c>
      <c r="C309" s="139">
        <v>1</v>
      </c>
      <c r="D309" s="139" t="s">
        <v>219</v>
      </c>
      <c r="E309" s="137" t="s">
        <v>220</v>
      </c>
      <c r="F309" s="137" t="s">
        <v>163</v>
      </c>
      <c r="G309" s="137" t="s">
        <v>164</v>
      </c>
      <c r="H309" s="137">
        <v>52</v>
      </c>
      <c r="I309" s="137" t="s">
        <v>175</v>
      </c>
      <c r="J309" s="137">
        <v>529</v>
      </c>
      <c r="K309" s="141">
        <v>1017.8</v>
      </c>
      <c r="L309" s="137" t="s">
        <v>3183</v>
      </c>
      <c r="M309" s="135" t="str">
        <f t="shared" si="4"/>
        <v>BRASIL MINERACAOUA SAO LUISBRITA 0</v>
      </c>
      <c r="N309" s="135" t="s">
        <v>224</v>
      </c>
    </row>
    <row r="310" spans="2:14" x14ac:dyDescent="0.25">
      <c r="B310" s="134">
        <v>46155</v>
      </c>
      <c r="C310" s="138">
        <v>1</v>
      </c>
      <c r="D310" s="138" t="s">
        <v>219</v>
      </c>
      <c r="E310" s="135" t="s">
        <v>220</v>
      </c>
      <c r="F310" s="135" t="s">
        <v>163</v>
      </c>
      <c r="G310" s="135" t="s">
        <v>164</v>
      </c>
      <c r="H310" s="135">
        <v>52</v>
      </c>
      <c r="I310" s="135" t="s">
        <v>165</v>
      </c>
      <c r="J310" s="135">
        <v>538</v>
      </c>
      <c r="K310" s="140">
        <v>1035.1099999999999</v>
      </c>
      <c r="L310" s="135" t="s">
        <v>3184</v>
      </c>
      <c r="M310" s="135" t="str">
        <f t="shared" si="4"/>
        <v>BRASIL MINERACAOUA SAO LUISPÓ DE BRITA</v>
      </c>
      <c r="N310" s="135" t="s">
        <v>224</v>
      </c>
    </row>
    <row r="311" spans="2:14" x14ac:dyDescent="0.25">
      <c r="B311" s="136">
        <v>46155</v>
      </c>
      <c r="C311" s="139">
        <v>1</v>
      </c>
      <c r="D311" s="139" t="s">
        <v>219</v>
      </c>
      <c r="E311" s="137" t="s">
        <v>220</v>
      </c>
      <c r="F311" s="137" t="s">
        <v>163</v>
      </c>
      <c r="G311" s="137" t="s">
        <v>164</v>
      </c>
      <c r="H311" s="137">
        <v>52</v>
      </c>
      <c r="I311" s="137" t="s">
        <v>175</v>
      </c>
      <c r="J311" s="137">
        <v>539</v>
      </c>
      <c r="K311" s="141">
        <v>1037.04</v>
      </c>
      <c r="L311" s="137" t="s">
        <v>3185</v>
      </c>
      <c r="M311" s="135" t="str">
        <f t="shared" si="4"/>
        <v>BRASIL MINERACAOUA SAO LUISBRITA 0</v>
      </c>
      <c r="N311" s="135" t="s">
        <v>224</v>
      </c>
    </row>
    <row r="312" spans="2:14" x14ac:dyDescent="0.25">
      <c r="B312" s="134">
        <v>46155</v>
      </c>
      <c r="C312" s="138">
        <v>1</v>
      </c>
      <c r="D312" s="138" t="s">
        <v>219</v>
      </c>
      <c r="E312" s="135" t="s">
        <v>220</v>
      </c>
      <c r="F312" s="135" t="s">
        <v>163</v>
      </c>
      <c r="G312" s="135" t="s">
        <v>164</v>
      </c>
      <c r="H312" s="135">
        <v>52</v>
      </c>
      <c r="I312" s="135" t="s">
        <v>175</v>
      </c>
      <c r="J312" s="135">
        <v>629</v>
      </c>
      <c r="K312" s="140">
        <v>1210.2</v>
      </c>
      <c r="L312" s="135" t="s">
        <v>3186</v>
      </c>
      <c r="M312" s="135" t="str">
        <f t="shared" si="4"/>
        <v>BRASIL MINERACAOUA SAO LUISBRITA 0</v>
      </c>
      <c r="N312" s="135" t="s">
        <v>224</v>
      </c>
    </row>
    <row r="313" spans="2:14" x14ac:dyDescent="0.25">
      <c r="B313" s="136">
        <v>46155</v>
      </c>
      <c r="C313" s="139">
        <v>1</v>
      </c>
      <c r="D313" s="139" t="s">
        <v>270</v>
      </c>
      <c r="E313" s="137" t="s">
        <v>288</v>
      </c>
      <c r="F313" s="137" t="s">
        <v>163</v>
      </c>
      <c r="G313" s="137" t="s">
        <v>164</v>
      </c>
      <c r="H313" s="137">
        <v>52</v>
      </c>
      <c r="I313" s="137" t="s">
        <v>175</v>
      </c>
      <c r="J313" s="137">
        <v>6094</v>
      </c>
      <c r="K313" s="141">
        <v>1172.49</v>
      </c>
      <c r="L313" s="137" t="s">
        <v>3187</v>
      </c>
      <c r="M313" s="135" t="str">
        <f t="shared" si="4"/>
        <v>BRASIL MINERACAOUA SAO LUISBRITA 0</v>
      </c>
      <c r="N313" s="135" t="s">
        <v>224</v>
      </c>
    </row>
    <row r="314" spans="2:14" x14ac:dyDescent="0.25">
      <c r="B314" s="134">
        <v>46155</v>
      </c>
      <c r="C314" s="138">
        <v>1</v>
      </c>
      <c r="D314" s="138" t="s">
        <v>275</v>
      </c>
      <c r="E314" s="135" t="s">
        <v>178</v>
      </c>
      <c r="F314" s="135" t="s">
        <v>163</v>
      </c>
      <c r="G314" s="135" t="s">
        <v>164</v>
      </c>
      <c r="H314" s="135">
        <v>52</v>
      </c>
      <c r="I314" s="135" t="s">
        <v>165</v>
      </c>
      <c r="J314" s="135">
        <v>4854</v>
      </c>
      <c r="K314" s="140">
        <v>933.91</v>
      </c>
      <c r="L314" s="135" t="s">
        <v>3188</v>
      </c>
      <c r="M314" s="135" t="str">
        <f t="shared" si="4"/>
        <v>BRASIL MINERACAOUA SAO LUISPÓ DE BRITA</v>
      </c>
      <c r="N314" s="135" t="s">
        <v>224</v>
      </c>
    </row>
    <row r="315" spans="2:14" x14ac:dyDescent="0.25">
      <c r="B315" s="136">
        <v>46155</v>
      </c>
      <c r="C315" s="139">
        <v>1</v>
      </c>
      <c r="D315" s="139" t="s">
        <v>193</v>
      </c>
      <c r="E315" s="137" t="s">
        <v>285</v>
      </c>
      <c r="F315" s="137" t="s">
        <v>166</v>
      </c>
      <c r="G315" s="137" t="s">
        <v>164</v>
      </c>
      <c r="H315" s="137">
        <v>58</v>
      </c>
      <c r="I315" s="137" t="s">
        <v>175</v>
      </c>
      <c r="J315" s="137">
        <v>2572</v>
      </c>
      <c r="K315" s="141">
        <v>551.95000000000005</v>
      </c>
      <c r="L315" s="137" t="s">
        <v>3189</v>
      </c>
      <c r="M315" s="135" t="str">
        <f t="shared" si="4"/>
        <v>GRANORTEUA SAO LUISBRITA 0</v>
      </c>
      <c r="N315" s="135" t="s">
        <v>224</v>
      </c>
    </row>
    <row r="316" spans="2:14" x14ac:dyDescent="0.25">
      <c r="B316" s="134">
        <v>46155</v>
      </c>
      <c r="C316" s="138">
        <v>1</v>
      </c>
      <c r="D316" s="138" t="s">
        <v>193</v>
      </c>
      <c r="E316" s="135" t="s">
        <v>285</v>
      </c>
      <c r="F316" s="135" t="s">
        <v>166</v>
      </c>
      <c r="G316" s="135" t="s">
        <v>164</v>
      </c>
      <c r="H316" s="135">
        <v>58</v>
      </c>
      <c r="I316" s="135" t="s">
        <v>175</v>
      </c>
      <c r="J316" s="135">
        <v>259</v>
      </c>
      <c r="K316" s="140">
        <v>555.80999999999995</v>
      </c>
      <c r="L316" s="135" t="s">
        <v>3190</v>
      </c>
      <c r="M316" s="135" t="str">
        <f t="shared" si="4"/>
        <v>GRANORTEUA SAO LUISBRITA 0</v>
      </c>
      <c r="N316" s="135" t="s">
        <v>224</v>
      </c>
    </row>
    <row r="317" spans="2:14" x14ac:dyDescent="0.25">
      <c r="B317" s="136">
        <v>46155</v>
      </c>
      <c r="C317" s="139">
        <v>1</v>
      </c>
      <c r="D317" s="139" t="s">
        <v>186</v>
      </c>
      <c r="E317" s="137" t="s">
        <v>187</v>
      </c>
      <c r="F317" s="137" t="s">
        <v>276</v>
      </c>
      <c r="G317" s="137" t="s">
        <v>307</v>
      </c>
      <c r="H317" s="137">
        <v>175</v>
      </c>
      <c r="I317" s="137" t="s">
        <v>221</v>
      </c>
      <c r="J317" s="137">
        <v>6828</v>
      </c>
      <c r="K317" s="141">
        <v>3823.68</v>
      </c>
      <c r="L317" s="137" t="s">
        <v>3191</v>
      </c>
      <c r="M317" s="135" t="str">
        <f t="shared" si="4"/>
        <v>MINERADORA PORTO FRANCOAUGUSTINOPOLIS TO (EDEC)BGS</v>
      </c>
      <c r="N317" s="137" t="s">
        <v>307</v>
      </c>
    </row>
    <row r="318" spans="2:14" x14ac:dyDescent="0.25">
      <c r="B318" s="134">
        <v>46155</v>
      </c>
      <c r="C318" s="138">
        <v>1</v>
      </c>
      <c r="D318" s="138" t="s">
        <v>173</v>
      </c>
      <c r="E318" s="135" t="s">
        <v>174</v>
      </c>
      <c r="F318" s="135" t="s">
        <v>166</v>
      </c>
      <c r="G318" s="135" t="s">
        <v>164</v>
      </c>
      <c r="H318" s="135">
        <v>58</v>
      </c>
      <c r="I318" s="135" t="s">
        <v>175</v>
      </c>
      <c r="J318" s="135">
        <v>2596</v>
      </c>
      <c r="K318" s="140">
        <v>557.1</v>
      </c>
      <c r="L318" s="135" t="s">
        <v>3192</v>
      </c>
      <c r="M318" s="135" t="str">
        <f t="shared" si="4"/>
        <v>GRANORTEUA SAO LUISBRITA 0</v>
      </c>
      <c r="N318" s="135" t="s">
        <v>224</v>
      </c>
    </row>
    <row r="319" spans="2:14" x14ac:dyDescent="0.25">
      <c r="B319" s="136">
        <v>46155</v>
      </c>
      <c r="C319" s="139">
        <v>1</v>
      </c>
      <c r="D319" s="139" t="s">
        <v>286</v>
      </c>
      <c r="E319" s="137" t="s">
        <v>506</v>
      </c>
      <c r="F319" s="137" t="s">
        <v>163</v>
      </c>
      <c r="G319" s="137" t="s">
        <v>164</v>
      </c>
      <c r="H319" s="137">
        <v>52</v>
      </c>
      <c r="I319" s="137" t="s">
        <v>165</v>
      </c>
      <c r="J319" s="137">
        <v>4566</v>
      </c>
      <c r="K319" s="141">
        <v>878.5</v>
      </c>
      <c r="L319" s="137" t="s">
        <v>3193</v>
      </c>
      <c r="M319" s="135" t="str">
        <f t="shared" si="4"/>
        <v>BRASIL MINERACAOUA SAO LUISPÓ DE BRITA</v>
      </c>
      <c r="N319" s="135" t="s">
        <v>224</v>
      </c>
    </row>
    <row r="320" spans="2:14" x14ac:dyDescent="0.25">
      <c r="B320" s="134">
        <v>46155</v>
      </c>
      <c r="C320" s="138">
        <v>1</v>
      </c>
      <c r="D320" s="138" t="s">
        <v>179</v>
      </c>
      <c r="E320" s="135" t="s">
        <v>2863</v>
      </c>
      <c r="F320" s="135" t="s">
        <v>166</v>
      </c>
      <c r="G320" s="135" t="s">
        <v>164</v>
      </c>
      <c r="H320" s="135">
        <v>58</v>
      </c>
      <c r="I320" s="135" t="s">
        <v>175</v>
      </c>
      <c r="J320" s="135">
        <v>2736</v>
      </c>
      <c r="K320" s="140">
        <v>587.15</v>
      </c>
      <c r="L320" s="135" t="s">
        <v>3194</v>
      </c>
      <c r="M320" s="135" t="str">
        <f t="shared" si="4"/>
        <v>GRANORTEUA SAO LUISBRITA 0</v>
      </c>
      <c r="N320" s="135" t="s">
        <v>224</v>
      </c>
    </row>
    <row r="321" spans="2:14" x14ac:dyDescent="0.25">
      <c r="B321" s="136">
        <v>46156</v>
      </c>
      <c r="C321" s="139">
        <v>1</v>
      </c>
      <c r="D321" s="139" t="s">
        <v>275</v>
      </c>
      <c r="E321" s="137" t="s">
        <v>178</v>
      </c>
      <c r="F321" s="137" t="s">
        <v>163</v>
      </c>
      <c r="G321" s="137" t="s">
        <v>164</v>
      </c>
      <c r="H321" s="137">
        <v>52</v>
      </c>
      <c r="I321" s="137" t="s">
        <v>165</v>
      </c>
      <c r="J321" s="137">
        <v>4784</v>
      </c>
      <c r="K321" s="141">
        <v>920.44</v>
      </c>
      <c r="L321" s="137" t="s">
        <v>3195</v>
      </c>
      <c r="M321" s="135" t="str">
        <f t="shared" si="4"/>
        <v>BRASIL MINERACAOUA SAO LUISPÓ DE BRITA</v>
      </c>
      <c r="N321" s="135" t="s">
        <v>224</v>
      </c>
    </row>
    <row r="322" spans="2:14" x14ac:dyDescent="0.25">
      <c r="B322" s="134">
        <v>46156</v>
      </c>
      <c r="C322" s="138">
        <v>1</v>
      </c>
      <c r="D322" s="138" t="s">
        <v>208</v>
      </c>
      <c r="E322" s="135" t="s">
        <v>209</v>
      </c>
      <c r="F322" s="135" t="s">
        <v>163</v>
      </c>
      <c r="G322" s="135" t="s">
        <v>164</v>
      </c>
      <c r="H322" s="135">
        <v>52</v>
      </c>
      <c r="I322" s="135" t="s">
        <v>175</v>
      </c>
      <c r="J322" s="135">
        <v>520</v>
      </c>
      <c r="K322" s="140">
        <v>1000.48</v>
      </c>
      <c r="L322" s="135" t="s">
        <v>3196</v>
      </c>
      <c r="M322" s="135" t="str">
        <f t="shared" si="4"/>
        <v>BRASIL MINERACAOUA SAO LUISBRITA 0</v>
      </c>
      <c r="N322" s="135" t="s">
        <v>224</v>
      </c>
    </row>
    <row r="323" spans="2:14" x14ac:dyDescent="0.25">
      <c r="B323" s="136">
        <v>46156</v>
      </c>
      <c r="C323" s="139">
        <v>1</v>
      </c>
      <c r="D323" s="139" t="s">
        <v>196</v>
      </c>
      <c r="E323" s="137" t="s">
        <v>197</v>
      </c>
      <c r="F323" s="137" t="s">
        <v>276</v>
      </c>
      <c r="G323" s="137" t="s">
        <v>307</v>
      </c>
      <c r="H323" s="137">
        <v>175</v>
      </c>
      <c r="I323" s="137" t="s">
        <v>165</v>
      </c>
      <c r="J323" s="137">
        <v>6634</v>
      </c>
      <c r="K323" s="141">
        <v>3715.04</v>
      </c>
      <c r="L323" s="137" t="s">
        <v>3197</v>
      </c>
      <c r="M323" s="135" t="str">
        <f t="shared" si="4"/>
        <v>MINERADORA PORTO FRANCOAUGUSTINOPOLIS TO (EDEC)PÓ DE BRITA</v>
      </c>
      <c r="N323" s="137" t="s">
        <v>307</v>
      </c>
    </row>
    <row r="324" spans="2:14" x14ac:dyDescent="0.25">
      <c r="B324" s="134">
        <v>46156</v>
      </c>
      <c r="C324" s="138">
        <v>1</v>
      </c>
      <c r="D324" s="138" t="s">
        <v>167</v>
      </c>
      <c r="E324" s="135" t="s">
        <v>168</v>
      </c>
      <c r="F324" s="135" t="s">
        <v>166</v>
      </c>
      <c r="G324" s="135" t="s">
        <v>164</v>
      </c>
      <c r="H324" s="135">
        <v>58</v>
      </c>
      <c r="I324" s="135" t="s">
        <v>195</v>
      </c>
      <c r="J324" s="135">
        <v>2588</v>
      </c>
      <c r="K324" s="140">
        <v>555.38</v>
      </c>
      <c r="L324" s="135" t="s">
        <v>3198</v>
      </c>
      <c r="M324" s="135" t="str">
        <f t="shared" si="4"/>
        <v>GRANORTEUA SAO LUISBRITA 1</v>
      </c>
      <c r="N324" s="135" t="s">
        <v>224</v>
      </c>
    </row>
    <row r="325" spans="2:14" x14ac:dyDescent="0.25">
      <c r="B325" s="136">
        <v>46156</v>
      </c>
      <c r="C325" s="139">
        <v>1</v>
      </c>
      <c r="D325" s="139" t="s">
        <v>167</v>
      </c>
      <c r="E325" s="137" t="s">
        <v>168</v>
      </c>
      <c r="F325" s="137" t="s">
        <v>166</v>
      </c>
      <c r="G325" s="137" t="s">
        <v>164</v>
      </c>
      <c r="H325" s="137">
        <v>58</v>
      </c>
      <c r="I325" s="137" t="s">
        <v>175</v>
      </c>
      <c r="J325" s="137">
        <v>2662</v>
      </c>
      <c r="K325" s="141">
        <v>571.27</v>
      </c>
      <c r="L325" s="137" t="s">
        <v>3199</v>
      </c>
      <c r="M325" s="135" t="str">
        <f t="shared" ref="M325:M388" si="5">CONCATENATE(F325&amp;G325&amp;I325)</f>
        <v>GRANORTEUA SAO LUISBRITA 0</v>
      </c>
      <c r="N325" s="135" t="s">
        <v>224</v>
      </c>
    </row>
    <row r="326" spans="2:14" x14ac:dyDescent="0.25">
      <c r="B326" s="134">
        <v>46156</v>
      </c>
      <c r="C326" s="138">
        <v>1</v>
      </c>
      <c r="D326" s="138" t="s">
        <v>2866</v>
      </c>
      <c r="E326" s="135" t="s">
        <v>281</v>
      </c>
      <c r="F326" s="135" t="s">
        <v>166</v>
      </c>
      <c r="G326" s="135" t="s">
        <v>164</v>
      </c>
      <c r="H326" s="135">
        <v>58</v>
      </c>
      <c r="I326" s="135" t="s">
        <v>195</v>
      </c>
      <c r="J326" s="135">
        <v>4266</v>
      </c>
      <c r="K326" s="140">
        <v>915.48</v>
      </c>
      <c r="L326" s="135" t="s">
        <v>3200</v>
      </c>
      <c r="M326" s="135" t="str">
        <f t="shared" si="5"/>
        <v>GRANORTEUA SAO LUISBRITA 1</v>
      </c>
      <c r="N326" s="135" t="s">
        <v>224</v>
      </c>
    </row>
    <row r="327" spans="2:14" x14ac:dyDescent="0.25">
      <c r="B327" s="136">
        <v>46156</v>
      </c>
      <c r="C327" s="139">
        <v>1</v>
      </c>
      <c r="D327" s="139" t="s">
        <v>300</v>
      </c>
      <c r="E327" s="137" t="s">
        <v>1536</v>
      </c>
      <c r="F327" s="137" t="s">
        <v>2757</v>
      </c>
      <c r="G327" s="137" t="s">
        <v>2867</v>
      </c>
      <c r="H327" s="137">
        <v>383</v>
      </c>
      <c r="I327" s="137" t="s">
        <v>279</v>
      </c>
      <c r="J327" s="137">
        <v>5026</v>
      </c>
      <c r="K327" s="141">
        <v>6159.87</v>
      </c>
      <c r="L327" s="137" t="s">
        <v>3201</v>
      </c>
      <c r="M327" s="135" t="str">
        <f t="shared" si="5"/>
        <v>MINERADORA PORTO FRANCO MAVALE KM324MATACO</v>
      </c>
      <c r="N327" s="135" t="s">
        <v>15</v>
      </c>
    </row>
    <row r="328" spans="2:14" x14ac:dyDescent="0.25">
      <c r="B328" s="134">
        <v>46156</v>
      </c>
      <c r="C328" s="138">
        <v>1</v>
      </c>
      <c r="D328" s="138" t="s">
        <v>199</v>
      </c>
      <c r="E328" s="135" t="s">
        <v>180</v>
      </c>
      <c r="F328" s="135" t="s">
        <v>166</v>
      </c>
      <c r="G328" s="135" t="s">
        <v>164</v>
      </c>
      <c r="H328" s="135">
        <v>58</v>
      </c>
      <c r="I328" s="135" t="s">
        <v>175</v>
      </c>
      <c r="J328" s="135">
        <v>2854</v>
      </c>
      <c r="K328" s="140">
        <v>612.47</v>
      </c>
      <c r="L328" s="135" t="s">
        <v>3202</v>
      </c>
      <c r="M328" s="135" t="str">
        <f t="shared" si="5"/>
        <v>GRANORTEUA SAO LUISBRITA 0</v>
      </c>
      <c r="N328" s="135" t="s">
        <v>224</v>
      </c>
    </row>
    <row r="329" spans="2:14" x14ac:dyDescent="0.25">
      <c r="B329" s="136">
        <v>46156</v>
      </c>
      <c r="C329" s="139">
        <v>1</v>
      </c>
      <c r="D329" s="139" t="s">
        <v>167</v>
      </c>
      <c r="E329" s="137" t="s">
        <v>168</v>
      </c>
      <c r="F329" s="137" t="s">
        <v>166</v>
      </c>
      <c r="G329" s="137" t="s">
        <v>164</v>
      </c>
      <c r="H329" s="137">
        <v>58</v>
      </c>
      <c r="I329" s="137" t="s">
        <v>175</v>
      </c>
      <c r="J329" s="137">
        <v>2668</v>
      </c>
      <c r="K329" s="141">
        <v>572.54999999999995</v>
      </c>
      <c r="L329" s="137" t="s">
        <v>3203</v>
      </c>
      <c r="M329" s="135" t="str">
        <f t="shared" si="5"/>
        <v>GRANORTEUA SAO LUISBRITA 0</v>
      </c>
      <c r="N329" s="135" t="s">
        <v>224</v>
      </c>
    </row>
    <row r="330" spans="2:14" x14ac:dyDescent="0.25">
      <c r="B330" s="134">
        <v>46156</v>
      </c>
      <c r="C330" s="138">
        <v>1</v>
      </c>
      <c r="D330" s="138" t="s">
        <v>2866</v>
      </c>
      <c r="E330" s="135" t="s">
        <v>281</v>
      </c>
      <c r="F330" s="135" t="s">
        <v>166</v>
      </c>
      <c r="G330" s="135" t="s">
        <v>164</v>
      </c>
      <c r="H330" s="135">
        <v>58</v>
      </c>
      <c r="I330" s="135" t="s">
        <v>195</v>
      </c>
      <c r="J330" s="135">
        <v>4044</v>
      </c>
      <c r="K330" s="140">
        <v>867.84</v>
      </c>
      <c r="L330" s="135" t="s">
        <v>3204</v>
      </c>
      <c r="M330" s="135" t="str">
        <f t="shared" si="5"/>
        <v>GRANORTEUA SAO LUISBRITA 1</v>
      </c>
      <c r="N330" s="135" t="s">
        <v>224</v>
      </c>
    </row>
    <row r="331" spans="2:14" x14ac:dyDescent="0.25">
      <c r="B331" s="136">
        <v>46156</v>
      </c>
      <c r="C331" s="139">
        <v>1</v>
      </c>
      <c r="D331" s="139" t="s">
        <v>173</v>
      </c>
      <c r="E331" s="137" t="s">
        <v>174</v>
      </c>
      <c r="F331" s="137" t="s">
        <v>166</v>
      </c>
      <c r="G331" s="137" t="s">
        <v>164</v>
      </c>
      <c r="H331" s="137">
        <v>58</v>
      </c>
      <c r="I331" s="137" t="s">
        <v>175</v>
      </c>
      <c r="J331" s="137">
        <v>2558</v>
      </c>
      <c r="K331" s="141">
        <v>548.95000000000005</v>
      </c>
      <c r="L331" s="137" t="s">
        <v>3205</v>
      </c>
      <c r="M331" s="135" t="str">
        <f t="shared" si="5"/>
        <v>GRANORTEUA SAO LUISBRITA 0</v>
      </c>
      <c r="N331" s="135" t="s">
        <v>224</v>
      </c>
    </row>
    <row r="332" spans="2:14" x14ac:dyDescent="0.25">
      <c r="B332" s="134">
        <v>46156</v>
      </c>
      <c r="C332" s="138">
        <v>1</v>
      </c>
      <c r="D332" s="138" t="s">
        <v>275</v>
      </c>
      <c r="E332" s="135" t="s">
        <v>178</v>
      </c>
      <c r="F332" s="135" t="s">
        <v>163</v>
      </c>
      <c r="G332" s="135" t="s">
        <v>164</v>
      </c>
      <c r="H332" s="135">
        <v>52</v>
      </c>
      <c r="I332" s="135" t="s">
        <v>165</v>
      </c>
      <c r="J332" s="135">
        <v>4814</v>
      </c>
      <c r="K332" s="140">
        <v>926.21</v>
      </c>
      <c r="L332" s="135" t="s">
        <v>3206</v>
      </c>
      <c r="M332" s="135" t="str">
        <f t="shared" si="5"/>
        <v>BRASIL MINERACAOUA SAO LUISPÓ DE BRITA</v>
      </c>
      <c r="N332" s="135" t="s">
        <v>224</v>
      </c>
    </row>
    <row r="333" spans="2:14" x14ac:dyDescent="0.25">
      <c r="B333" s="136">
        <v>46156</v>
      </c>
      <c r="C333" s="139">
        <v>1</v>
      </c>
      <c r="D333" s="139" t="s">
        <v>2866</v>
      </c>
      <c r="E333" s="137" t="s">
        <v>281</v>
      </c>
      <c r="F333" s="137" t="s">
        <v>166</v>
      </c>
      <c r="G333" s="137" t="s">
        <v>164</v>
      </c>
      <c r="H333" s="137">
        <v>58</v>
      </c>
      <c r="I333" s="137" t="s">
        <v>195</v>
      </c>
      <c r="J333" s="137">
        <v>4034</v>
      </c>
      <c r="K333" s="141">
        <v>865.7</v>
      </c>
      <c r="L333" s="137" t="s">
        <v>3207</v>
      </c>
      <c r="M333" s="135" t="str">
        <f t="shared" si="5"/>
        <v>GRANORTEUA SAO LUISBRITA 1</v>
      </c>
      <c r="N333" s="135" t="s">
        <v>224</v>
      </c>
    </row>
    <row r="334" spans="2:14" x14ac:dyDescent="0.25">
      <c r="B334" s="134">
        <v>46156</v>
      </c>
      <c r="C334" s="138">
        <v>1</v>
      </c>
      <c r="D334" s="138" t="s">
        <v>286</v>
      </c>
      <c r="E334" s="135" t="s">
        <v>506</v>
      </c>
      <c r="F334" s="135" t="s">
        <v>163</v>
      </c>
      <c r="G334" s="135" t="s">
        <v>164</v>
      </c>
      <c r="H334" s="135">
        <v>52</v>
      </c>
      <c r="I334" s="135" t="s">
        <v>165</v>
      </c>
      <c r="J334" s="135">
        <v>4574</v>
      </c>
      <c r="K334" s="140">
        <v>880.04</v>
      </c>
      <c r="L334" s="135" t="s">
        <v>3208</v>
      </c>
      <c r="M334" s="135" t="str">
        <f t="shared" si="5"/>
        <v>BRASIL MINERACAOUA SAO LUISPÓ DE BRITA</v>
      </c>
      <c r="N334" s="135" t="s">
        <v>224</v>
      </c>
    </row>
    <row r="335" spans="2:14" x14ac:dyDescent="0.25">
      <c r="B335" s="136">
        <v>46156</v>
      </c>
      <c r="C335" s="139">
        <v>1</v>
      </c>
      <c r="D335" s="139" t="s">
        <v>286</v>
      </c>
      <c r="E335" s="137" t="s">
        <v>506</v>
      </c>
      <c r="F335" s="137" t="s">
        <v>163</v>
      </c>
      <c r="G335" s="137" t="s">
        <v>164</v>
      </c>
      <c r="H335" s="137">
        <v>52</v>
      </c>
      <c r="I335" s="137" t="s">
        <v>165</v>
      </c>
      <c r="J335" s="137">
        <v>4518</v>
      </c>
      <c r="K335" s="141">
        <v>869.26</v>
      </c>
      <c r="L335" s="137" t="s">
        <v>3209</v>
      </c>
      <c r="M335" s="135" t="str">
        <f t="shared" si="5"/>
        <v>BRASIL MINERACAOUA SAO LUISPÓ DE BRITA</v>
      </c>
      <c r="N335" s="135" t="s">
        <v>224</v>
      </c>
    </row>
    <row r="336" spans="2:14" x14ac:dyDescent="0.25">
      <c r="B336" s="134">
        <v>46156</v>
      </c>
      <c r="C336" s="138">
        <v>1</v>
      </c>
      <c r="D336" s="138" t="s">
        <v>173</v>
      </c>
      <c r="E336" s="135" t="s">
        <v>174</v>
      </c>
      <c r="F336" s="135" t="s">
        <v>163</v>
      </c>
      <c r="G336" s="135" t="s">
        <v>164</v>
      </c>
      <c r="H336" s="135">
        <v>52</v>
      </c>
      <c r="I336" s="135" t="s">
        <v>175</v>
      </c>
      <c r="J336" s="135">
        <v>2662</v>
      </c>
      <c r="K336" s="140">
        <v>512.16999999999996</v>
      </c>
      <c r="L336" s="135" t="s">
        <v>3210</v>
      </c>
      <c r="M336" s="135" t="str">
        <f t="shared" si="5"/>
        <v>BRASIL MINERACAOUA SAO LUISBRITA 0</v>
      </c>
      <c r="N336" s="135" t="s">
        <v>224</v>
      </c>
    </row>
    <row r="337" spans="2:14" x14ac:dyDescent="0.25">
      <c r="B337" s="136">
        <v>46156</v>
      </c>
      <c r="C337" s="139">
        <v>1</v>
      </c>
      <c r="D337" s="139" t="s">
        <v>183</v>
      </c>
      <c r="E337" s="137" t="s">
        <v>184</v>
      </c>
      <c r="F337" s="137" t="s">
        <v>163</v>
      </c>
      <c r="G337" s="137" t="s">
        <v>164</v>
      </c>
      <c r="H337" s="137">
        <v>52</v>
      </c>
      <c r="I337" s="137" t="s">
        <v>175</v>
      </c>
      <c r="J337" s="137">
        <v>272</v>
      </c>
      <c r="K337" s="141">
        <v>523.33000000000004</v>
      </c>
      <c r="L337" s="137" t="s">
        <v>3211</v>
      </c>
      <c r="M337" s="135" t="str">
        <f t="shared" si="5"/>
        <v>BRASIL MINERACAOUA SAO LUISBRITA 0</v>
      </c>
      <c r="N337" s="135" t="s">
        <v>224</v>
      </c>
    </row>
    <row r="338" spans="2:14" x14ac:dyDescent="0.25">
      <c r="B338" s="134">
        <v>46156</v>
      </c>
      <c r="C338" s="138">
        <v>1</v>
      </c>
      <c r="D338" s="138" t="s">
        <v>183</v>
      </c>
      <c r="E338" s="135" t="s">
        <v>184</v>
      </c>
      <c r="F338" s="135" t="s">
        <v>163</v>
      </c>
      <c r="G338" s="135" t="s">
        <v>164</v>
      </c>
      <c r="H338" s="135">
        <v>52</v>
      </c>
      <c r="I338" s="135" t="s">
        <v>175</v>
      </c>
      <c r="J338" s="135">
        <v>269</v>
      </c>
      <c r="K338" s="140">
        <v>517.55999999999995</v>
      </c>
      <c r="L338" s="135" t="s">
        <v>3212</v>
      </c>
      <c r="M338" s="135" t="str">
        <f t="shared" si="5"/>
        <v>BRASIL MINERACAOUA SAO LUISBRITA 0</v>
      </c>
      <c r="N338" s="135" t="s">
        <v>224</v>
      </c>
    </row>
    <row r="339" spans="2:14" x14ac:dyDescent="0.25">
      <c r="B339" s="136">
        <v>46156</v>
      </c>
      <c r="C339" s="139">
        <v>1</v>
      </c>
      <c r="D339" s="139" t="s">
        <v>202</v>
      </c>
      <c r="E339" s="137" t="s">
        <v>214</v>
      </c>
      <c r="F339" s="137" t="s">
        <v>190</v>
      </c>
      <c r="G339" s="137" t="s">
        <v>212</v>
      </c>
      <c r="H339" s="137">
        <v>376</v>
      </c>
      <c r="I339" s="137" t="s">
        <v>165</v>
      </c>
      <c r="J339" s="137">
        <v>5984</v>
      </c>
      <c r="K339" s="141">
        <v>7199.95</v>
      </c>
      <c r="L339" s="137" t="s">
        <v>3213</v>
      </c>
      <c r="M339" s="135" t="str">
        <f t="shared" si="5"/>
        <v>SERVENGUSINA PINHEIROPÓ DE BRITA</v>
      </c>
      <c r="N339" s="137" t="s">
        <v>161</v>
      </c>
    </row>
    <row r="340" spans="2:14" x14ac:dyDescent="0.25">
      <c r="B340" s="134">
        <v>46156</v>
      </c>
      <c r="C340" s="138">
        <v>1</v>
      </c>
      <c r="D340" s="138" t="s">
        <v>219</v>
      </c>
      <c r="E340" s="135" t="s">
        <v>220</v>
      </c>
      <c r="F340" s="135" t="s">
        <v>166</v>
      </c>
      <c r="G340" s="135" t="s">
        <v>164</v>
      </c>
      <c r="H340" s="135">
        <v>58</v>
      </c>
      <c r="I340" s="135" t="s">
        <v>175</v>
      </c>
      <c r="J340" s="135">
        <v>383</v>
      </c>
      <c r="K340" s="140">
        <v>821.92</v>
      </c>
      <c r="L340" s="135" t="s">
        <v>3214</v>
      </c>
      <c r="M340" s="135" t="str">
        <f t="shared" si="5"/>
        <v>GRANORTEUA SAO LUISBRITA 0</v>
      </c>
      <c r="N340" s="135" t="s">
        <v>224</v>
      </c>
    </row>
    <row r="341" spans="2:14" x14ac:dyDescent="0.25">
      <c r="B341" s="136">
        <v>46156</v>
      </c>
      <c r="C341" s="139">
        <v>1</v>
      </c>
      <c r="D341" s="139" t="s">
        <v>219</v>
      </c>
      <c r="E341" s="137" t="s">
        <v>220</v>
      </c>
      <c r="F341" s="137" t="s">
        <v>163</v>
      </c>
      <c r="G341" s="137" t="s">
        <v>164</v>
      </c>
      <c r="H341" s="137">
        <v>52</v>
      </c>
      <c r="I341" s="137" t="s">
        <v>175</v>
      </c>
      <c r="J341" s="137">
        <v>587</v>
      </c>
      <c r="K341" s="141">
        <v>1129.3900000000001</v>
      </c>
      <c r="L341" s="137" t="s">
        <v>3215</v>
      </c>
      <c r="M341" s="135" t="str">
        <f t="shared" si="5"/>
        <v>BRASIL MINERACAOUA SAO LUISBRITA 0</v>
      </c>
      <c r="N341" s="135" t="s">
        <v>224</v>
      </c>
    </row>
    <row r="342" spans="2:14" x14ac:dyDescent="0.25">
      <c r="B342" s="134">
        <v>46156</v>
      </c>
      <c r="C342" s="138">
        <v>1</v>
      </c>
      <c r="D342" s="138" t="s">
        <v>193</v>
      </c>
      <c r="E342" s="135" t="s">
        <v>285</v>
      </c>
      <c r="F342" s="135" t="s">
        <v>166</v>
      </c>
      <c r="G342" s="135" t="s">
        <v>164</v>
      </c>
      <c r="H342" s="135">
        <v>58</v>
      </c>
      <c r="I342" s="135" t="s">
        <v>175</v>
      </c>
      <c r="J342" s="135">
        <v>2562</v>
      </c>
      <c r="K342" s="140">
        <v>549.80999999999995</v>
      </c>
      <c r="L342" s="135" t="s">
        <v>3216</v>
      </c>
      <c r="M342" s="135" t="str">
        <f t="shared" si="5"/>
        <v>GRANORTEUA SAO LUISBRITA 0</v>
      </c>
      <c r="N342" s="135" t="s">
        <v>224</v>
      </c>
    </row>
    <row r="343" spans="2:14" x14ac:dyDescent="0.25">
      <c r="B343" s="136">
        <v>46156</v>
      </c>
      <c r="C343" s="139">
        <v>1</v>
      </c>
      <c r="D343" s="139" t="s">
        <v>179</v>
      </c>
      <c r="E343" s="137" t="s">
        <v>2863</v>
      </c>
      <c r="F343" s="137" t="s">
        <v>166</v>
      </c>
      <c r="G343" s="137" t="s">
        <v>164</v>
      </c>
      <c r="H343" s="137">
        <v>58</v>
      </c>
      <c r="I343" s="137" t="s">
        <v>175</v>
      </c>
      <c r="J343" s="137">
        <v>2634</v>
      </c>
      <c r="K343" s="141">
        <v>565.26</v>
      </c>
      <c r="L343" s="137" t="s">
        <v>3217</v>
      </c>
      <c r="M343" s="135" t="str">
        <f t="shared" si="5"/>
        <v>GRANORTEUA SAO LUISBRITA 0</v>
      </c>
      <c r="N343" s="135" t="s">
        <v>224</v>
      </c>
    </row>
    <row r="344" spans="2:14" x14ac:dyDescent="0.25">
      <c r="B344" s="134">
        <v>46156</v>
      </c>
      <c r="C344" s="138">
        <v>1</v>
      </c>
      <c r="D344" s="138" t="s">
        <v>1948</v>
      </c>
      <c r="E344" s="135" t="s">
        <v>1949</v>
      </c>
      <c r="F344" s="135" t="s">
        <v>2868</v>
      </c>
      <c r="G344" s="135" t="s">
        <v>2871</v>
      </c>
      <c r="H344" s="135">
        <v>70</v>
      </c>
      <c r="I344" s="135" t="s">
        <v>2869</v>
      </c>
      <c r="J344" s="135">
        <v>518</v>
      </c>
      <c r="K344" s="140">
        <v>1341.62</v>
      </c>
      <c r="L344" s="135" t="s">
        <v>3218</v>
      </c>
      <c r="M344" s="135" t="str">
        <f t="shared" si="5"/>
        <v>FAZENDA PLATAFORMASILO PRODUCERESSOJA</v>
      </c>
      <c r="N344" s="135" t="s">
        <v>3729</v>
      </c>
    </row>
    <row r="345" spans="2:14" x14ac:dyDescent="0.25">
      <c r="B345" s="136">
        <v>46156</v>
      </c>
      <c r="C345" s="139">
        <v>1</v>
      </c>
      <c r="D345" s="139" t="s">
        <v>192</v>
      </c>
      <c r="E345" s="137" t="s">
        <v>287</v>
      </c>
      <c r="F345" s="137" t="s">
        <v>2868</v>
      </c>
      <c r="G345" s="137" t="s">
        <v>2871</v>
      </c>
      <c r="H345" s="137">
        <v>70</v>
      </c>
      <c r="I345" s="137" t="s">
        <v>2869</v>
      </c>
      <c r="J345" s="137">
        <v>52154</v>
      </c>
      <c r="K345" s="141">
        <v>1350.79</v>
      </c>
      <c r="L345" s="137" t="s">
        <v>3219</v>
      </c>
      <c r="M345" s="135" t="str">
        <f t="shared" si="5"/>
        <v>FAZENDA PLATAFORMASILO PRODUCERESSOJA</v>
      </c>
      <c r="N345" s="135" t="s">
        <v>3729</v>
      </c>
    </row>
    <row r="346" spans="2:14" x14ac:dyDescent="0.25">
      <c r="B346" s="134">
        <v>46157</v>
      </c>
      <c r="C346" s="138">
        <v>1</v>
      </c>
      <c r="D346" s="138" t="s">
        <v>205</v>
      </c>
      <c r="E346" s="135" t="s">
        <v>206</v>
      </c>
      <c r="F346" s="135" t="s">
        <v>2757</v>
      </c>
      <c r="G346" s="135" t="s">
        <v>2867</v>
      </c>
      <c r="H346" s="135">
        <v>383</v>
      </c>
      <c r="I346" s="135" t="s">
        <v>185</v>
      </c>
      <c r="J346" s="135">
        <v>534</v>
      </c>
      <c r="K346" s="140">
        <v>6544.7</v>
      </c>
      <c r="L346" s="135" t="s">
        <v>3220</v>
      </c>
      <c r="M346" s="135" t="str">
        <f t="shared" si="5"/>
        <v>MINERADORA PORTO FRANCO MAVALE KM324RACHÃOZINHO</v>
      </c>
      <c r="N346" s="135" t="s">
        <v>15</v>
      </c>
    </row>
    <row r="347" spans="2:14" x14ac:dyDescent="0.25">
      <c r="B347" s="136">
        <v>46157</v>
      </c>
      <c r="C347" s="139">
        <v>1</v>
      </c>
      <c r="D347" s="139" t="s">
        <v>167</v>
      </c>
      <c r="E347" s="137" t="s">
        <v>168</v>
      </c>
      <c r="F347" s="137" t="s">
        <v>166</v>
      </c>
      <c r="G347" s="137" t="s">
        <v>164</v>
      </c>
      <c r="H347" s="137">
        <v>58</v>
      </c>
      <c r="I347" s="137" t="s">
        <v>175</v>
      </c>
      <c r="J347" s="137">
        <v>2502</v>
      </c>
      <c r="K347" s="141">
        <v>536.92999999999995</v>
      </c>
      <c r="L347" s="137" t="s">
        <v>3221</v>
      </c>
      <c r="M347" s="135" t="str">
        <f t="shared" si="5"/>
        <v>GRANORTEUA SAO LUISBRITA 0</v>
      </c>
      <c r="N347" s="135" t="s">
        <v>224</v>
      </c>
    </row>
    <row r="348" spans="2:14" x14ac:dyDescent="0.25">
      <c r="B348" s="134">
        <v>46157</v>
      </c>
      <c r="C348" s="138">
        <v>1</v>
      </c>
      <c r="D348" s="138" t="s">
        <v>167</v>
      </c>
      <c r="E348" s="135" t="s">
        <v>168</v>
      </c>
      <c r="F348" s="135" t="s">
        <v>166</v>
      </c>
      <c r="G348" s="135" t="s">
        <v>164</v>
      </c>
      <c r="H348" s="135">
        <v>58</v>
      </c>
      <c r="I348" s="135" t="s">
        <v>175</v>
      </c>
      <c r="J348" s="135">
        <v>2654</v>
      </c>
      <c r="K348" s="140">
        <v>569.54999999999995</v>
      </c>
      <c r="L348" s="135" t="s">
        <v>3222</v>
      </c>
      <c r="M348" s="135" t="str">
        <f t="shared" si="5"/>
        <v>GRANORTEUA SAO LUISBRITA 0</v>
      </c>
      <c r="N348" s="135" t="s">
        <v>224</v>
      </c>
    </row>
    <row r="349" spans="2:14" x14ac:dyDescent="0.25">
      <c r="B349" s="136">
        <v>46157</v>
      </c>
      <c r="C349" s="139">
        <v>1</v>
      </c>
      <c r="D349" s="139" t="s">
        <v>208</v>
      </c>
      <c r="E349" s="137" t="s">
        <v>209</v>
      </c>
      <c r="F349" s="137" t="s">
        <v>190</v>
      </c>
      <c r="G349" s="137" t="s">
        <v>212</v>
      </c>
      <c r="H349" s="137">
        <v>376</v>
      </c>
      <c r="I349" s="137" t="s">
        <v>165</v>
      </c>
      <c r="J349" s="137">
        <v>520</v>
      </c>
      <c r="K349" s="141">
        <v>6256.64</v>
      </c>
      <c r="L349" s="137" t="s">
        <v>3223</v>
      </c>
      <c r="M349" s="135" t="str">
        <f t="shared" si="5"/>
        <v>SERVENGUSINA PINHEIROPÓ DE BRITA</v>
      </c>
      <c r="N349" s="137" t="s">
        <v>161</v>
      </c>
    </row>
    <row r="350" spans="2:14" x14ac:dyDescent="0.25">
      <c r="B350" s="134">
        <v>46157</v>
      </c>
      <c r="C350" s="138">
        <v>1</v>
      </c>
      <c r="D350" s="138" t="s">
        <v>270</v>
      </c>
      <c r="E350" s="135" t="s">
        <v>288</v>
      </c>
      <c r="F350" s="135" t="s">
        <v>190</v>
      </c>
      <c r="G350" s="135" t="s">
        <v>212</v>
      </c>
      <c r="H350" s="135">
        <v>376</v>
      </c>
      <c r="I350" s="135" t="s">
        <v>165</v>
      </c>
      <c r="J350" s="135">
        <v>519</v>
      </c>
      <c r="K350" s="140">
        <v>6244.61</v>
      </c>
      <c r="L350" s="135" t="s">
        <v>3224</v>
      </c>
      <c r="M350" s="135" t="str">
        <f t="shared" si="5"/>
        <v>SERVENGUSINA PINHEIROPÓ DE BRITA</v>
      </c>
      <c r="N350" s="137" t="s">
        <v>161</v>
      </c>
    </row>
    <row r="351" spans="2:14" x14ac:dyDescent="0.25">
      <c r="B351" s="136">
        <v>46157</v>
      </c>
      <c r="C351" s="139">
        <v>1</v>
      </c>
      <c r="D351" s="139" t="s">
        <v>283</v>
      </c>
      <c r="E351" s="137" t="s">
        <v>282</v>
      </c>
      <c r="F351" s="137" t="s">
        <v>166</v>
      </c>
      <c r="G351" s="137" t="s">
        <v>1178</v>
      </c>
      <c r="H351" s="137">
        <v>51</v>
      </c>
      <c r="I351" s="137" t="s">
        <v>172</v>
      </c>
      <c r="J351" s="137">
        <v>2856</v>
      </c>
      <c r="K351" s="141">
        <v>538.92999999999995</v>
      </c>
      <c r="L351" s="137" t="s">
        <v>3225</v>
      </c>
      <c r="M351" s="135" t="str">
        <f t="shared" si="5"/>
        <v>GRANORTEVETORBICA CORRIDA</v>
      </c>
      <c r="N351" s="137" t="s">
        <v>1178</v>
      </c>
    </row>
    <row r="352" spans="2:14" x14ac:dyDescent="0.25">
      <c r="B352" s="134">
        <v>46157</v>
      </c>
      <c r="C352" s="138">
        <v>1</v>
      </c>
      <c r="D352" s="138" t="s">
        <v>210</v>
      </c>
      <c r="E352" s="135" t="s">
        <v>211</v>
      </c>
      <c r="F352" s="135" t="s">
        <v>2868</v>
      </c>
      <c r="G352" s="135" t="s">
        <v>2871</v>
      </c>
      <c r="H352" s="135">
        <v>70</v>
      </c>
      <c r="I352" s="135" t="s">
        <v>2869</v>
      </c>
      <c r="J352" s="135">
        <v>47878</v>
      </c>
      <c r="K352" s="140">
        <v>1240.04</v>
      </c>
      <c r="L352" s="135" t="s">
        <v>3226</v>
      </c>
      <c r="M352" s="135" t="str">
        <f t="shared" si="5"/>
        <v>FAZENDA PLATAFORMASILO PRODUCERESSOJA</v>
      </c>
      <c r="N352" s="135" t="s">
        <v>3729</v>
      </c>
    </row>
    <row r="353" spans="2:14" x14ac:dyDescent="0.25">
      <c r="B353" s="136">
        <v>46157</v>
      </c>
      <c r="C353" s="139">
        <v>1</v>
      </c>
      <c r="D353" s="139" t="s">
        <v>2866</v>
      </c>
      <c r="E353" s="137" t="s">
        <v>281</v>
      </c>
      <c r="F353" s="137" t="s">
        <v>166</v>
      </c>
      <c r="G353" s="137" t="s">
        <v>164</v>
      </c>
      <c r="H353" s="137">
        <v>58</v>
      </c>
      <c r="I353" s="137" t="s">
        <v>165</v>
      </c>
      <c r="J353" s="137">
        <v>4178</v>
      </c>
      <c r="K353" s="141">
        <v>896.6</v>
      </c>
      <c r="L353" s="137" t="s">
        <v>3227</v>
      </c>
      <c r="M353" s="135" t="str">
        <f t="shared" si="5"/>
        <v>GRANORTEUA SAO LUISPÓ DE BRITA</v>
      </c>
      <c r="N353" s="135" t="s">
        <v>224</v>
      </c>
    </row>
    <row r="354" spans="2:14" x14ac:dyDescent="0.25">
      <c r="B354" s="134">
        <v>46157</v>
      </c>
      <c r="C354" s="138">
        <v>1</v>
      </c>
      <c r="D354" s="138" t="s">
        <v>176</v>
      </c>
      <c r="E354" s="135" t="s">
        <v>177</v>
      </c>
      <c r="F354" s="135" t="s">
        <v>2868</v>
      </c>
      <c r="G354" s="135" t="s">
        <v>2871</v>
      </c>
      <c r="H354" s="135">
        <v>70</v>
      </c>
      <c r="I354" s="135" t="s">
        <v>2869</v>
      </c>
      <c r="J354" s="135">
        <v>5422</v>
      </c>
      <c r="K354" s="140">
        <v>1404.3</v>
      </c>
      <c r="L354" s="135" t="s">
        <v>3228</v>
      </c>
      <c r="M354" s="135" t="str">
        <f t="shared" si="5"/>
        <v>FAZENDA PLATAFORMASILO PRODUCERESSOJA</v>
      </c>
      <c r="N354" s="135" t="s">
        <v>3729</v>
      </c>
    </row>
    <row r="355" spans="2:14" x14ac:dyDescent="0.25">
      <c r="B355" s="136">
        <v>46157</v>
      </c>
      <c r="C355" s="139">
        <v>1</v>
      </c>
      <c r="D355" s="139" t="s">
        <v>173</v>
      </c>
      <c r="E355" s="137" t="s">
        <v>174</v>
      </c>
      <c r="F355" s="137" t="s">
        <v>166</v>
      </c>
      <c r="G355" s="137" t="s">
        <v>164</v>
      </c>
      <c r="H355" s="137">
        <v>58</v>
      </c>
      <c r="I355" s="137" t="s">
        <v>175</v>
      </c>
      <c r="J355" s="137">
        <v>3854</v>
      </c>
      <c r="K355" s="141">
        <v>827.07</v>
      </c>
      <c r="L355" s="137" t="s">
        <v>3229</v>
      </c>
      <c r="M355" s="135" t="str">
        <f t="shared" si="5"/>
        <v>GRANORTEUA SAO LUISBRITA 0</v>
      </c>
      <c r="N355" s="135" t="s">
        <v>224</v>
      </c>
    </row>
    <row r="356" spans="2:14" x14ac:dyDescent="0.25">
      <c r="B356" s="134">
        <v>46157</v>
      </c>
      <c r="C356" s="138">
        <v>1</v>
      </c>
      <c r="D356" s="138" t="s">
        <v>167</v>
      </c>
      <c r="E356" s="135" t="s">
        <v>168</v>
      </c>
      <c r="F356" s="135" t="s">
        <v>166</v>
      </c>
      <c r="G356" s="135" t="s">
        <v>164</v>
      </c>
      <c r="H356" s="135">
        <v>58</v>
      </c>
      <c r="I356" s="135" t="s">
        <v>195</v>
      </c>
      <c r="J356" s="135">
        <v>2654</v>
      </c>
      <c r="K356" s="140">
        <v>569.54999999999995</v>
      </c>
      <c r="L356" s="135" t="s">
        <v>3230</v>
      </c>
      <c r="M356" s="135" t="str">
        <f t="shared" si="5"/>
        <v>GRANORTEUA SAO LUISBRITA 1</v>
      </c>
      <c r="N356" s="135" t="s">
        <v>224</v>
      </c>
    </row>
    <row r="357" spans="2:14" x14ac:dyDescent="0.25">
      <c r="B357" s="136">
        <v>46157</v>
      </c>
      <c r="C357" s="139">
        <v>1</v>
      </c>
      <c r="D357" s="139" t="s">
        <v>188</v>
      </c>
      <c r="E357" s="137" t="s">
        <v>189</v>
      </c>
      <c r="F357" s="137" t="s">
        <v>276</v>
      </c>
      <c r="G357" s="137" t="s">
        <v>2033</v>
      </c>
      <c r="H357" s="137">
        <v>323</v>
      </c>
      <c r="I357" s="137" t="s">
        <v>172</v>
      </c>
      <c r="J357" s="137">
        <v>7406</v>
      </c>
      <c r="K357" s="141">
        <v>7654.84</v>
      </c>
      <c r="L357" s="137" t="s">
        <v>3231</v>
      </c>
      <c r="M357" s="135" t="str">
        <f t="shared" si="5"/>
        <v>MINERADORA PORTO FRANCOVALE KM 386BICA CORRIDA</v>
      </c>
      <c r="N357" s="135" t="s">
        <v>15</v>
      </c>
    </row>
    <row r="358" spans="2:14" x14ac:dyDescent="0.25">
      <c r="B358" s="134">
        <v>46157</v>
      </c>
      <c r="C358" s="138">
        <v>1</v>
      </c>
      <c r="D358" s="138" t="s">
        <v>203</v>
      </c>
      <c r="E358" s="135" t="s">
        <v>204</v>
      </c>
      <c r="F358" s="135" t="s">
        <v>2868</v>
      </c>
      <c r="G358" s="135" t="s">
        <v>2871</v>
      </c>
      <c r="H358" s="135">
        <v>70</v>
      </c>
      <c r="I358" s="135" t="s">
        <v>2869</v>
      </c>
      <c r="J358" s="135">
        <v>51334</v>
      </c>
      <c r="K358" s="140">
        <v>1329.55</v>
      </c>
      <c r="L358" s="135" t="s">
        <v>3232</v>
      </c>
      <c r="M358" s="135" t="str">
        <f t="shared" si="5"/>
        <v>FAZENDA PLATAFORMASILO PRODUCERESSOJA</v>
      </c>
      <c r="N358" s="135" t="s">
        <v>3729</v>
      </c>
    </row>
    <row r="359" spans="2:14" x14ac:dyDescent="0.25">
      <c r="B359" s="136">
        <v>46157</v>
      </c>
      <c r="C359" s="139">
        <v>1</v>
      </c>
      <c r="D359" s="139" t="s">
        <v>173</v>
      </c>
      <c r="E359" s="137" t="s">
        <v>174</v>
      </c>
      <c r="F359" s="137" t="s">
        <v>166</v>
      </c>
      <c r="G359" s="137" t="s">
        <v>164</v>
      </c>
      <c r="H359" s="137">
        <v>58</v>
      </c>
      <c r="I359" s="137" t="s">
        <v>175</v>
      </c>
      <c r="J359" s="137">
        <v>2572</v>
      </c>
      <c r="K359" s="141">
        <v>551.95000000000005</v>
      </c>
      <c r="L359" s="137" t="s">
        <v>3233</v>
      </c>
      <c r="M359" s="135" t="str">
        <f t="shared" si="5"/>
        <v>GRANORTEUA SAO LUISBRITA 0</v>
      </c>
      <c r="N359" s="135" t="s">
        <v>224</v>
      </c>
    </row>
    <row r="360" spans="2:14" x14ac:dyDescent="0.25">
      <c r="B360" s="134">
        <v>46157</v>
      </c>
      <c r="C360" s="138">
        <v>1</v>
      </c>
      <c r="D360" s="138" t="s">
        <v>167</v>
      </c>
      <c r="E360" s="135" t="s">
        <v>168</v>
      </c>
      <c r="F360" s="135" t="s">
        <v>163</v>
      </c>
      <c r="G360" s="135" t="s">
        <v>164</v>
      </c>
      <c r="H360" s="135">
        <v>52</v>
      </c>
      <c r="I360" s="135" t="s">
        <v>195</v>
      </c>
      <c r="J360" s="135">
        <v>259</v>
      </c>
      <c r="K360" s="140">
        <v>498.32</v>
      </c>
      <c r="L360" s="135" t="s">
        <v>3234</v>
      </c>
      <c r="M360" s="135" t="str">
        <f t="shared" si="5"/>
        <v>BRASIL MINERACAOUA SAO LUISBRITA 1</v>
      </c>
      <c r="N360" s="135" t="s">
        <v>224</v>
      </c>
    </row>
    <row r="361" spans="2:14" x14ac:dyDescent="0.25">
      <c r="B361" s="136">
        <v>46157</v>
      </c>
      <c r="C361" s="139">
        <v>1</v>
      </c>
      <c r="D361" s="139" t="s">
        <v>283</v>
      </c>
      <c r="E361" s="137" t="s">
        <v>282</v>
      </c>
      <c r="F361" s="137" t="s">
        <v>166</v>
      </c>
      <c r="G361" s="137" t="s">
        <v>1178</v>
      </c>
      <c r="H361" s="137">
        <v>51</v>
      </c>
      <c r="I361" s="137" t="s">
        <v>172</v>
      </c>
      <c r="J361" s="137">
        <v>2644</v>
      </c>
      <c r="K361" s="141">
        <v>498.92</v>
      </c>
      <c r="L361" s="137" t="s">
        <v>3235</v>
      </c>
      <c r="M361" s="135" t="str">
        <f t="shared" si="5"/>
        <v>GRANORTEVETORBICA CORRIDA</v>
      </c>
      <c r="N361" s="137" t="s">
        <v>1178</v>
      </c>
    </row>
    <row r="362" spans="2:14" x14ac:dyDescent="0.25">
      <c r="B362" s="134">
        <v>46157</v>
      </c>
      <c r="C362" s="138">
        <v>1</v>
      </c>
      <c r="D362" s="138" t="s">
        <v>283</v>
      </c>
      <c r="E362" s="135" t="s">
        <v>282</v>
      </c>
      <c r="F362" s="135" t="s">
        <v>166</v>
      </c>
      <c r="G362" s="135" t="s">
        <v>1178</v>
      </c>
      <c r="H362" s="135">
        <v>51</v>
      </c>
      <c r="I362" s="135" t="s">
        <v>172</v>
      </c>
      <c r="J362" s="135">
        <v>2646</v>
      </c>
      <c r="K362" s="140">
        <v>499.3</v>
      </c>
      <c r="L362" s="135" t="s">
        <v>3236</v>
      </c>
      <c r="M362" s="135" t="str">
        <f t="shared" si="5"/>
        <v>GRANORTEVETORBICA CORRIDA</v>
      </c>
      <c r="N362" s="135" t="s">
        <v>1178</v>
      </c>
    </row>
    <row r="363" spans="2:14" x14ac:dyDescent="0.25">
      <c r="B363" s="136">
        <v>46157</v>
      </c>
      <c r="C363" s="139">
        <v>1</v>
      </c>
      <c r="D363" s="139" t="s">
        <v>2866</v>
      </c>
      <c r="E363" s="137" t="s">
        <v>281</v>
      </c>
      <c r="F363" s="137" t="s">
        <v>163</v>
      </c>
      <c r="G363" s="137" t="s">
        <v>164</v>
      </c>
      <c r="H363" s="137">
        <v>52</v>
      </c>
      <c r="I363" s="137" t="s">
        <v>165</v>
      </c>
      <c r="J363" s="137">
        <v>4378</v>
      </c>
      <c r="K363" s="141">
        <v>842.33</v>
      </c>
      <c r="L363" s="137" t="s">
        <v>3237</v>
      </c>
      <c r="M363" s="135" t="str">
        <f t="shared" si="5"/>
        <v>BRASIL MINERACAOUA SAO LUISPÓ DE BRITA</v>
      </c>
      <c r="N363" s="135" t="s">
        <v>224</v>
      </c>
    </row>
    <row r="364" spans="2:14" x14ac:dyDescent="0.25">
      <c r="B364" s="134">
        <v>46157</v>
      </c>
      <c r="C364" s="138">
        <v>1</v>
      </c>
      <c r="D364" s="138" t="s">
        <v>200</v>
      </c>
      <c r="E364" s="135" t="s">
        <v>201</v>
      </c>
      <c r="F364" s="135" t="s">
        <v>190</v>
      </c>
      <c r="G364" s="135" t="s">
        <v>212</v>
      </c>
      <c r="H364" s="135">
        <v>376</v>
      </c>
      <c r="I364" s="135" t="s">
        <v>165</v>
      </c>
      <c r="J364" s="135">
        <v>502</v>
      </c>
      <c r="K364" s="140">
        <v>6040.06</v>
      </c>
      <c r="L364" s="135" t="s">
        <v>3238</v>
      </c>
      <c r="M364" s="135" t="str">
        <f t="shared" si="5"/>
        <v>SERVENGUSINA PINHEIROPÓ DE BRITA</v>
      </c>
      <c r="N364" s="137" t="s">
        <v>161</v>
      </c>
    </row>
    <row r="365" spans="2:14" x14ac:dyDescent="0.25">
      <c r="B365" s="136">
        <v>46157</v>
      </c>
      <c r="C365" s="139">
        <v>1</v>
      </c>
      <c r="D365" s="139" t="s">
        <v>173</v>
      </c>
      <c r="E365" s="137" t="s">
        <v>174</v>
      </c>
      <c r="F365" s="137" t="s">
        <v>166</v>
      </c>
      <c r="G365" s="137" t="s">
        <v>164</v>
      </c>
      <c r="H365" s="137">
        <v>58</v>
      </c>
      <c r="I365" s="137" t="s">
        <v>172</v>
      </c>
      <c r="J365" s="137">
        <v>2988</v>
      </c>
      <c r="K365" s="141">
        <v>641.22</v>
      </c>
      <c r="L365" s="137" t="s">
        <v>3239</v>
      </c>
      <c r="M365" s="135" t="str">
        <f t="shared" si="5"/>
        <v>GRANORTEUA SAO LUISBICA CORRIDA</v>
      </c>
      <c r="N365" s="135" t="s">
        <v>224</v>
      </c>
    </row>
    <row r="366" spans="2:14" x14ac:dyDescent="0.25">
      <c r="B366" s="134">
        <v>46157</v>
      </c>
      <c r="C366" s="138">
        <v>1</v>
      </c>
      <c r="D366" s="138" t="s">
        <v>173</v>
      </c>
      <c r="E366" s="135" t="s">
        <v>174</v>
      </c>
      <c r="F366" s="135" t="s">
        <v>166</v>
      </c>
      <c r="G366" s="135" t="s">
        <v>164</v>
      </c>
      <c r="H366" s="135">
        <v>58</v>
      </c>
      <c r="I366" s="135" t="s">
        <v>175</v>
      </c>
      <c r="J366" s="135">
        <v>262</v>
      </c>
      <c r="K366" s="140">
        <v>562.25</v>
      </c>
      <c r="L366" s="135" t="s">
        <v>3240</v>
      </c>
      <c r="M366" s="135" t="str">
        <f t="shared" si="5"/>
        <v>GRANORTEUA SAO LUISBRITA 0</v>
      </c>
      <c r="N366" s="135" t="s">
        <v>224</v>
      </c>
    </row>
    <row r="367" spans="2:14" x14ac:dyDescent="0.25">
      <c r="B367" s="136">
        <v>46157</v>
      </c>
      <c r="C367" s="139">
        <v>1</v>
      </c>
      <c r="D367" s="139" t="s">
        <v>219</v>
      </c>
      <c r="E367" s="137" t="s">
        <v>220</v>
      </c>
      <c r="F367" s="137" t="s">
        <v>163</v>
      </c>
      <c r="G367" s="137" t="s">
        <v>164</v>
      </c>
      <c r="H367" s="137">
        <v>52</v>
      </c>
      <c r="I367" s="137" t="s">
        <v>175</v>
      </c>
      <c r="J367" s="137">
        <v>597</v>
      </c>
      <c r="K367" s="141">
        <v>1148.6300000000001</v>
      </c>
      <c r="L367" s="137" t="s">
        <v>3241</v>
      </c>
      <c r="M367" s="135" t="str">
        <f t="shared" si="5"/>
        <v>BRASIL MINERACAOUA SAO LUISBRITA 0</v>
      </c>
      <c r="N367" s="135" t="s">
        <v>224</v>
      </c>
    </row>
    <row r="368" spans="2:14" x14ac:dyDescent="0.25">
      <c r="B368" s="134">
        <v>46157</v>
      </c>
      <c r="C368" s="138">
        <v>1</v>
      </c>
      <c r="D368" s="138" t="s">
        <v>219</v>
      </c>
      <c r="E368" s="135" t="s">
        <v>220</v>
      </c>
      <c r="F368" s="135" t="s">
        <v>163</v>
      </c>
      <c r="G368" s="135" t="s">
        <v>164</v>
      </c>
      <c r="H368" s="135">
        <v>52</v>
      </c>
      <c r="I368" s="135" t="s">
        <v>165</v>
      </c>
      <c r="J368" s="135">
        <v>499</v>
      </c>
      <c r="K368" s="140">
        <v>960.08</v>
      </c>
      <c r="L368" s="135" t="s">
        <v>3242</v>
      </c>
      <c r="M368" s="135" t="str">
        <f t="shared" si="5"/>
        <v>BRASIL MINERACAOUA SAO LUISPÓ DE BRITA</v>
      </c>
      <c r="N368" s="135" t="s">
        <v>224</v>
      </c>
    </row>
    <row r="369" spans="2:14" x14ac:dyDescent="0.25">
      <c r="B369" s="136">
        <v>46157</v>
      </c>
      <c r="C369" s="139">
        <v>1</v>
      </c>
      <c r="D369" s="139" t="s">
        <v>219</v>
      </c>
      <c r="E369" s="137" t="s">
        <v>220</v>
      </c>
      <c r="F369" s="137" t="s">
        <v>163</v>
      </c>
      <c r="G369" s="137" t="s">
        <v>164</v>
      </c>
      <c r="H369" s="137">
        <v>52</v>
      </c>
      <c r="I369" s="137" t="s">
        <v>175</v>
      </c>
      <c r="J369" s="137">
        <v>588</v>
      </c>
      <c r="K369" s="141">
        <v>1131.31</v>
      </c>
      <c r="L369" s="137" t="s">
        <v>3243</v>
      </c>
      <c r="M369" s="135" t="str">
        <f t="shared" si="5"/>
        <v>BRASIL MINERACAOUA SAO LUISBRITA 0</v>
      </c>
      <c r="N369" s="135" t="s">
        <v>224</v>
      </c>
    </row>
    <row r="370" spans="2:14" x14ac:dyDescent="0.25">
      <c r="B370" s="134">
        <v>46157</v>
      </c>
      <c r="C370" s="138">
        <v>1</v>
      </c>
      <c r="D370" s="138" t="s">
        <v>202</v>
      </c>
      <c r="E370" s="135" t="s">
        <v>214</v>
      </c>
      <c r="F370" s="135" t="s">
        <v>190</v>
      </c>
      <c r="G370" s="135" t="s">
        <v>212</v>
      </c>
      <c r="H370" s="135">
        <v>376</v>
      </c>
      <c r="I370" s="135" t="s">
        <v>165</v>
      </c>
      <c r="J370" s="135">
        <v>645</v>
      </c>
      <c r="K370" s="140">
        <v>7760.64</v>
      </c>
      <c r="L370" s="135" t="s">
        <v>3244</v>
      </c>
      <c r="M370" s="135" t="str">
        <f t="shared" si="5"/>
        <v>SERVENGUSINA PINHEIROPÓ DE BRITA</v>
      </c>
      <c r="N370" s="137" t="s">
        <v>161</v>
      </c>
    </row>
    <row r="371" spans="2:14" x14ac:dyDescent="0.25">
      <c r="B371" s="136">
        <v>46157</v>
      </c>
      <c r="C371" s="139">
        <v>1</v>
      </c>
      <c r="D371" s="139" t="s">
        <v>286</v>
      </c>
      <c r="E371" s="137" t="s">
        <v>506</v>
      </c>
      <c r="F371" s="137" t="s">
        <v>163</v>
      </c>
      <c r="G371" s="137" t="s">
        <v>164</v>
      </c>
      <c r="H371" s="137">
        <v>52</v>
      </c>
      <c r="I371" s="137" t="s">
        <v>165</v>
      </c>
      <c r="J371" s="137">
        <v>4546</v>
      </c>
      <c r="K371" s="141">
        <v>874.65</v>
      </c>
      <c r="L371" s="137" t="s">
        <v>3245</v>
      </c>
      <c r="M371" s="135" t="str">
        <f t="shared" si="5"/>
        <v>BRASIL MINERACAOUA SAO LUISPÓ DE BRITA</v>
      </c>
      <c r="N371" s="135" t="s">
        <v>224</v>
      </c>
    </row>
    <row r="372" spans="2:14" x14ac:dyDescent="0.25">
      <c r="B372" s="134">
        <v>46157</v>
      </c>
      <c r="C372" s="138">
        <v>1</v>
      </c>
      <c r="D372" s="138" t="s">
        <v>286</v>
      </c>
      <c r="E372" s="135" t="s">
        <v>506</v>
      </c>
      <c r="F372" s="135" t="s">
        <v>163</v>
      </c>
      <c r="G372" s="135" t="s">
        <v>164</v>
      </c>
      <c r="H372" s="135">
        <v>52</v>
      </c>
      <c r="I372" s="135" t="s">
        <v>175</v>
      </c>
      <c r="J372" s="135">
        <v>4672</v>
      </c>
      <c r="K372" s="140">
        <v>898.89</v>
      </c>
      <c r="L372" s="135" t="s">
        <v>3246</v>
      </c>
      <c r="M372" s="135" t="str">
        <f t="shared" si="5"/>
        <v>BRASIL MINERACAOUA SAO LUISBRITA 0</v>
      </c>
      <c r="N372" s="135" t="s">
        <v>224</v>
      </c>
    </row>
    <row r="373" spans="2:14" x14ac:dyDescent="0.25">
      <c r="B373" s="136">
        <v>46157</v>
      </c>
      <c r="C373" s="139">
        <v>1</v>
      </c>
      <c r="D373" s="139" t="s">
        <v>179</v>
      </c>
      <c r="E373" s="137" t="s">
        <v>2863</v>
      </c>
      <c r="F373" s="137" t="s">
        <v>166</v>
      </c>
      <c r="G373" s="137" t="s">
        <v>164</v>
      </c>
      <c r="H373" s="137">
        <v>58</v>
      </c>
      <c r="I373" s="137" t="s">
        <v>175</v>
      </c>
      <c r="J373" s="137">
        <v>2698</v>
      </c>
      <c r="K373" s="141">
        <v>578.99</v>
      </c>
      <c r="L373" s="137" t="s">
        <v>3247</v>
      </c>
      <c r="M373" s="135" t="str">
        <f t="shared" si="5"/>
        <v>GRANORTEUA SAO LUISBRITA 0</v>
      </c>
      <c r="N373" s="135" t="s">
        <v>224</v>
      </c>
    </row>
    <row r="374" spans="2:14" x14ac:dyDescent="0.25">
      <c r="B374" s="134">
        <v>46157</v>
      </c>
      <c r="C374" s="138">
        <v>1</v>
      </c>
      <c r="D374" s="138" t="s">
        <v>179</v>
      </c>
      <c r="E374" s="135" t="s">
        <v>2863</v>
      </c>
      <c r="F374" s="135" t="s">
        <v>166</v>
      </c>
      <c r="G374" s="135" t="s">
        <v>164</v>
      </c>
      <c r="H374" s="135">
        <v>58</v>
      </c>
      <c r="I374" s="135" t="s">
        <v>175</v>
      </c>
      <c r="J374" s="135">
        <v>2598</v>
      </c>
      <c r="K374" s="140">
        <v>557.53</v>
      </c>
      <c r="L374" s="135" t="s">
        <v>3248</v>
      </c>
      <c r="M374" s="135" t="str">
        <f t="shared" si="5"/>
        <v>GRANORTEUA SAO LUISBRITA 0</v>
      </c>
      <c r="N374" s="135" t="s">
        <v>224</v>
      </c>
    </row>
    <row r="375" spans="2:14" x14ac:dyDescent="0.25">
      <c r="B375" s="136">
        <v>46157</v>
      </c>
      <c r="C375" s="139">
        <v>1</v>
      </c>
      <c r="D375" s="139" t="s">
        <v>179</v>
      </c>
      <c r="E375" s="137" t="s">
        <v>2863</v>
      </c>
      <c r="F375" s="137" t="s">
        <v>166</v>
      </c>
      <c r="G375" s="137" t="s">
        <v>164</v>
      </c>
      <c r="H375" s="137">
        <v>58</v>
      </c>
      <c r="I375" s="137" t="s">
        <v>175</v>
      </c>
      <c r="J375" s="137">
        <v>2634</v>
      </c>
      <c r="K375" s="141">
        <v>565.26</v>
      </c>
      <c r="L375" s="137" t="s">
        <v>3249</v>
      </c>
      <c r="M375" s="135" t="str">
        <f t="shared" si="5"/>
        <v>GRANORTEUA SAO LUISBRITA 0</v>
      </c>
      <c r="N375" s="135" t="s">
        <v>224</v>
      </c>
    </row>
    <row r="376" spans="2:14" x14ac:dyDescent="0.25">
      <c r="B376" s="134">
        <v>46157</v>
      </c>
      <c r="C376" s="138">
        <v>1</v>
      </c>
      <c r="D376" s="138" t="s">
        <v>183</v>
      </c>
      <c r="E376" s="135" t="s">
        <v>184</v>
      </c>
      <c r="F376" s="135" t="s">
        <v>166</v>
      </c>
      <c r="G376" s="135" t="s">
        <v>164</v>
      </c>
      <c r="H376" s="135">
        <v>58</v>
      </c>
      <c r="I376" s="135" t="s">
        <v>172</v>
      </c>
      <c r="J376" s="135">
        <v>2916</v>
      </c>
      <c r="K376" s="140">
        <v>625.77</v>
      </c>
      <c r="L376" s="135" t="s">
        <v>3250</v>
      </c>
      <c r="M376" s="135" t="str">
        <f t="shared" si="5"/>
        <v>GRANORTEUA SAO LUISBICA CORRIDA</v>
      </c>
      <c r="N376" s="135" t="s">
        <v>224</v>
      </c>
    </row>
    <row r="377" spans="2:14" x14ac:dyDescent="0.25">
      <c r="B377" s="136">
        <v>46157</v>
      </c>
      <c r="C377" s="139">
        <v>1</v>
      </c>
      <c r="D377" s="139" t="s">
        <v>183</v>
      </c>
      <c r="E377" s="137" t="s">
        <v>184</v>
      </c>
      <c r="F377" s="137" t="s">
        <v>166</v>
      </c>
      <c r="G377" s="137" t="s">
        <v>164</v>
      </c>
      <c r="H377" s="137">
        <v>58</v>
      </c>
      <c r="I377" s="137" t="s">
        <v>175</v>
      </c>
      <c r="J377" s="137">
        <v>2746</v>
      </c>
      <c r="K377" s="141">
        <v>589.29</v>
      </c>
      <c r="L377" s="137" t="s">
        <v>3251</v>
      </c>
      <c r="M377" s="135" t="str">
        <f t="shared" si="5"/>
        <v>GRANORTEUA SAO LUISBRITA 0</v>
      </c>
      <c r="N377" s="135" t="s">
        <v>224</v>
      </c>
    </row>
    <row r="378" spans="2:14" x14ac:dyDescent="0.25">
      <c r="B378" s="134">
        <v>46157</v>
      </c>
      <c r="C378" s="138">
        <v>1</v>
      </c>
      <c r="D378" s="138" t="s">
        <v>183</v>
      </c>
      <c r="E378" s="135" t="s">
        <v>184</v>
      </c>
      <c r="F378" s="135" t="s">
        <v>166</v>
      </c>
      <c r="G378" s="135" t="s">
        <v>164</v>
      </c>
      <c r="H378" s="135">
        <v>58</v>
      </c>
      <c r="I378" s="135" t="s">
        <v>175</v>
      </c>
      <c r="J378" s="135">
        <v>2626</v>
      </c>
      <c r="K378" s="140">
        <v>563.54</v>
      </c>
      <c r="L378" s="135" t="s">
        <v>3252</v>
      </c>
      <c r="M378" s="135" t="str">
        <f t="shared" si="5"/>
        <v>GRANORTEUA SAO LUISBRITA 0</v>
      </c>
      <c r="N378" s="135" t="s">
        <v>224</v>
      </c>
    </row>
    <row r="379" spans="2:14" x14ac:dyDescent="0.25">
      <c r="B379" s="136">
        <v>46157</v>
      </c>
      <c r="C379" s="139">
        <v>1</v>
      </c>
      <c r="D379" s="139" t="s">
        <v>1129</v>
      </c>
      <c r="E379" s="137" t="s">
        <v>2396</v>
      </c>
      <c r="F379" s="137" t="s">
        <v>163</v>
      </c>
      <c r="G379" s="137" t="s">
        <v>164</v>
      </c>
      <c r="H379" s="137">
        <v>52</v>
      </c>
      <c r="I379" s="137" t="s">
        <v>175</v>
      </c>
      <c r="J379" s="137">
        <v>265</v>
      </c>
      <c r="K379" s="141">
        <v>509.86</v>
      </c>
      <c r="L379" s="137" t="s">
        <v>3253</v>
      </c>
      <c r="M379" s="135" t="str">
        <f t="shared" si="5"/>
        <v>BRASIL MINERACAOUA SAO LUISBRITA 0</v>
      </c>
      <c r="N379" s="135" t="s">
        <v>224</v>
      </c>
    </row>
    <row r="380" spans="2:14" x14ac:dyDescent="0.25">
      <c r="B380" s="134">
        <v>46157</v>
      </c>
      <c r="C380" s="138">
        <v>1</v>
      </c>
      <c r="D380" s="138" t="s">
        <v>1129</v>
      </c>
      <c r="E380" s="135" t="s">
        <v>2396</v>
      </c>
      <c r="F380" s="135" t="s">
        <v>163</v>
      </c>
      <c r="G380" s="135" t="s">
        <v>164</v>
      </c>
      <c r="H380" s="135">
        <v>52</v>
      </c>
      <c r="I380" s="135" t="s">
        <v>165</v>
      </c>
      <c r="J380" s="135">
        <v>2632</v>
      </c>
      <c r="K380" s="140">
        <v>506.4</v>
      </c>
      <c r="L380" s="135" t="s">
        <v>3254</v>
      </c>
      <c r="M380" s="135" t="str">
        <f t="shared" si="5"/>
        <v>BRASIL MINERACAOUA SAO LUISPÓ DE BRITA</v>
      </c>
      <c r="N380" s="135" t="s">
        <v>224</v>
      </c>
    </row>
    <row r="381" spans="2:14" x14ac:dyDescent="0.25">
      <c r="B381" s="136">
        <v>46157</v>
      </c>
      <c r="C381" s="139">
        <v>1</v>
      </c>
      <c r="D381" s="139" t="s">
        <v>186</v>
      </c>
      <c r="E381" s="137" t="s">
        <v>187</v>
      </c>
      <c r="F381" s="137" t="s">
        <v>291</v>
      </c>
      <c r="G381" s="137" t="s">
        <v>2864</v>
      </c>
      <c r="H381" s="137">
        <v>277</v>
      </c>
      <c r="I381" s="137" t="s">
        <v>207</v>
      </c>
      <c r="J381" s="137">
        <v>5604</v>
      </c>
      <c r="K381" s="141">
        <v>5743.54</v>
      </c>
      <c r="L381" s="137" t="s">
        <v>3255</v>
      </c>
      <c r="M381" s="135" t="str">
        <f t="shared" si="5"/>
        <v>MINERADORA PORTO FRANCO - MAVALE KM 438RACHÃO</v>
      </c>
      <c r="N381" s="135" t="s">
        <v>15</v>
      </c>
    </row>
    <row r="382" spans="2:14" x14ac:dyDescent="0.25">
      <c r="B382" s="134">
        <v>46158</v>
      </c>
      <c r="C382" s="138">
        <v>1</v>
      </c>
      <c r="D382" s="138" t="s">
        <v>208</v>
      </c>
      <c r="E382" s="135" t="s">
        <v>209</v>
      </c>
      <c r="F382" s="135" t="s">
        <v>190</v>
      </c>
      <c r="G382" s="135" t="s">
        <v>212</v>
      </c>
      <c r="H382" s="135">
        <v>376</v>
      </c>
      <c r="I382" s="135" t="s">
        <v>165</v>
      </c>
      <c r="J382" s="135">
        <v>500</v>
      </c>
      <c r="K382" s="140">
        <v>6016</v>
      </c>
      <c r="L382" s="135" t="s">
        <v>3256</v>
      </c>
      <c r="M382" s="135" t="str">
        <f t="shared" si="5"/>
        <v>SERVENGUSINA PINHEIROPÓ DE BRITA</v>
      </c>
      <c r="N382" s="137" t="s">
        <v>161</v>
      </c>
    </row>
    <row r="383" spans="2:14" x14ac:dyDescent="0.25">
      <c r="B383" s="136">
        <v>46158</v>
      </c>
      <c r="C383" s="139">
        <v>1</v>
      </c>
      <c r="D383" s="139" t="s">
        <v>173</v>
      </c>
      <c r="E383" s="137" t="s">
        <v>174</v>
      </c>
      <c r="F383" s="137" t="s">
        <v>166</v>
      </c>
      <c r="G383" s="137" t="s">
        <v>164</v>
      </c>
      <c r="H383" s="137">
        <v>58</v>
      </c>
      <c r="I383" s="137" t="s">
        <v>165</v>
      </c>
      <c r="J383" s="137">
        <v>4558</v>
      </c>
      <c r="K383" s="141">
        <v>978.15</v>
      </c>
      <c r="L383" s="137" t="s">
        <v>3257</v>
      </c>
      <c r="M383" s="135" t="str">
        <f t="shared" si="5"/>
        <v>GRANORTEUA SAO LUISPÓ DE BRITA</v>
      </c>
      <c r="N383" s="135" t="s">
        <v>224</v>
      </c>
    </row>
    <row r="384" spans="2:14" x14ac:dyDescent="0.25">
      <c r="B384" s="134">
        <v>46158</v>
      </c>
      <c r="C384" s="138">
        <v>1</v>
      </c>
      <c r="D384" s="138" t="s">
        <v>270</v>
      </c>
      <c r="E384" s="135" t="s">
        <v>288</v>
      </c>
      <c r="F384" s="135" t="s">
        <v>190</v>
      </c>
      <c r="G384" s="135" t="s">
        <v>212</v>
      </c>
      <c r="H384" s="135">
        <v>376</v>
      </c>
      <c r="I384" s="135" t="s">
        <v>165</v>
      </c>
      <c r="J384" s="135">
        <v>4955</v>
      </c>
      <c r="K384" s="140">
        <v>5961.86</v>
      </c>
      <c r="L384" s="135" t="s">
        <v>3258</v>
      </c>
      <c r="M384" s="135" t="str">
        <f t="shared" si="5"/>
        <v>SERVENGUSINA PINHEIROPÓ DE BRITA</v>
      </c>
      <c r="N384" s="137" t="s">
        <v>161</v>
      </c>
    </row>
    <row r="385" spans="2:14" x14ac:dyDescent="0.25">
      <c r="B385" s="136">
        <v>46158</v>
      </c>
      <c r="C385" s="139">
        <v>1</v>
      </c>
      <c r="D385" s="139" t="s">
        <v>283</v>
      </c>
      <c r="E385" s="137" t="s">
        <v>282</v>
      </c>
      <c r="F385" s="137" t="s">
        <v>163</v>
      </c>
      <c r="G385" s="137" t="s">
        <v>875</v>
      </c>
      <c r="H385" s="137">
        <v>34</v>
      </c>
      <c r="I385" s="137" t="s">
        <v>175</v>
      </c>
      <c r="J385" s="137">
        <v>258</v>
      </c>
      <c r="K385" s="141">
        <v>324.56</v>
      </c>
      <c r="L385" s="137" t="s">
        <v>3259</v>
      </c>
      <c r="M385" s="135" t="str">
        <f t="shared" si="5"/>
        <v>BRASIL MINERACAOUSINA SANTA RITABRITA 0</v>
      </c>
      <c r="N385" s="137" t="s">
        <v>224</v>
      </c>
    </row>
    <row r="386" spans="2:14" x14ac:dyDescent="0.25">
      <c r="B386" s="134">
        <v>46158</v>
      </c>
      <c r="C386" s="138">
        <v>1</v>
      </c>
      <c r="D386" s="138" t="s">
        <v>342</v>
      </c>
      <c r="E386" s="135" t="s">
        <v>171</v>
      </c>
      <c r="F386" s="135" t="s">
        <v>163</v>
      </c>
      <c r="G386" s="135" t="s">
        <v>164</v>
      </c>
      <c r="H386" s="135">
        <v>52</v>
      </c>
      <c r="I386" s="135" t="s">
        <v>165</v>
      </c>
      <c r="J386" s="135">
        <v>4506</v>
      </c>
      <c r="K386" s="140">
        <v>866.95</v>
      </c>
      <c r="L386" s="135" t="s">
        <v>3260</v>
      </c>
      <c r="M386" s="135" t="str">
        <f t="shared" si="5"/>
        <v>BRASIL MINERACAOUA SAO LUISPÓ DE BRITA</v>
      </c>
      <c r="N386" s="135" t="s">
        <v>224</v>
      </c>
    </row>
    <row r="387" spans="2:14" x14ac:dyDescent="0.25">
      <c r="B387" s="136">
        <v>46158</v>
      </c>
      <c r="C387" s="139">
        <v>1</v>
      </c>
      <c r="D387" s="139" t="s">
        <v>219</v>
      </c>
      <c r="E387" s="137" t="s">
        <v>220</v>
      </c>
      <c r="F387" s="137" t="s">
        <v>166</v>
      </c>
      <c r="G387" s="137" t="s">
        <v>164</v>
      </c>
      <c r="H387" s="137">
        <v>58</v>
      </c>
      <c r="I387" s="137" t="s">
        <v>175</v>
      </c>
      <c r="J387" s="137">
        <v>341</v>
      </c>
      <c r="K387" s="141">
        <v>731.79</v>
      </c>
      <c r="L387" s="137" t="s">
        <v>3261</v>
      </c>
      <c r="M387" s="135" t="str">
        <f t="shared" si="5"/>
        <v>GRANORTEUA SAO LUISBRITA 0</v>
      </c>
      <c r="N387" s="135" t="s">
        <v>224</v>
      </c>
    </row>
    <row r="388" spans="2:14" x14ac:dyDescent="0.25">
      <c r="B388" s="134">
        <v>46158</v>
      </c>
      <c r="C388" s="138">
        <v>1</v>
      </c>
      <c r="D388" s="138" t="s">
        <v>219</v>
      </c>
      <c r="E388" s="135" t="s">
        <v>220</v>
      </c>
      <c r="F388" s="135" t="s">
        <v>163</v>
      </c>
      <c r="G388" s="135" t="s">
        <v>164</v>
      </c>
      <c r="H388" s="135">
        <v>52</v>
      </c>
      <c r="I388" s="135" t="s">
        <v>175</v>
      </c>
      <c r="J388" s="135">
        <v>575</v>
      </c>
      <c r="K388" s="140">
        <v>1106.3</v>
      </c>
      <c r="L388" s="135" t="s">
        <v>3262</v>
      </c>
      <c r="M388" s="135" t="str">
        <f t="shared" si="5"/>
        <v>BRASIL MINERACAOUA SAO LUISBRITA 0</v>
      </c>
      <c r="N388" s="135" t="s">
        <v>224</v>
      </c>
    </row>
    <row r="389" spans="2:14" x14ac:dyDescent="0.25">
      <c r="B389" s="136">
        <v>46158</v>
      </c>
      <c r="C389" s="139">
        <v>1</v>
      </c>
      <c r="D389" s="139" t="s">
        <v>173</v>
      </c>
      <c r="E389" s="137" t="s">
        <v>174</v>
      </c>
      <c r="F389" s="137" t="s">
        <v>166</v>
      </c>
      <c r="G389" s="137" t="s">
        <v>218</v>
      </c>
      <c r="H389" s="137">
        <v>71</v>
      </c>
      <c r="I389" s="137" t="s">
        <v>169</v>
      </c>
      <c r="J389" s="137">
        <v>3394</v>
      </c>
      <c r="K389" s="141">
        <v>891.6</v>
      </c>
      <c r="L389" s="137" t="s">
        <v>3263</v>
      </c>
      <c r="M389" s="135" t="str">
        <f t="shared" ref="M389:M452" si="6">CONCATENATE(F389&amp;G389&amp;I389)</f>
        <v>GRANORTEEXPOEMAPULMÃOZINHO</v>
      </c>
      <c r="N389" s="137" t="s">
        <v>111</v>
      </c>
    </row>
    <row r="390" spans="2:14" x14ac:dyDescent="0.25">
      <c r="B390" s="134">
        <v>46158</v>
      </c>
      <c r="C390" s="138">
        <v>1</v>
      </c>
      <c r="D390" s="138" t="s">
        <v>167</v>
      </c>
      <c r="E390" s="135" t="s">
        <v>168</v>
      </c>
      <c r="F390" s="135" t="s">
        <v>166</v>
      </c>
      <c r="G390" s="135" t="s">
        <v>164</v>
      </c>
      <c r="H390" s="135">
        <v>58</v>
      </c>
      <c r="I390" s="135" t="s">
        <v>175</v>
      </c>
      <c r="J390" s="135">
        <v>2728</v>
      </c>
      <c r="K390" s="140">
        <v>585.42999999999995</v>
      </c>
      <c r="L390" s="135" t="s">
        <v>3264</v>
      </c>
      <c r="M390" s="135" t="str">
        <f t="shared" si="6"/>
        <v>GRANORTEUA SAO LUISBRITA 0</v>
      </c>
      <c r="N390" s="135" t="s">
        <v>224</v>
      </c>
    </row>
    <row r="391" spans="2:14" x14ac:dyDescent="0.25">
      <c r="B391" s="136">
        <v>46158</v>
      </c>
      <c r="C391" s="139">
        <v>1</v>
      </c>
      <c r="D391" s="139" t="s">
        <v>167</v>
      </c>
      <c r="E391" s="137" t="s">
        <v>168</v>
      </c>
      <c r="F391" s="137" t="s">
        <v>163</v>
      </c>
      <c r="G391" s="137" t="s">
        <v>164</v>
      </c>
      <c r="H391" s="137">
        <v>52</v>
      </c>
      <c r="I391" s="137" t="s">
        <v>175</v>
      </c>
      <c r="J391" s="137">
        <v>2606</v>
      </c>
      <c r="K391" s="141">
        <v>501.39</v>
      </c>
      <c r="L391" s="137" t="s">
        <v>3265</v>
      </c>
      <c r="M391" s="135" t="str">
        <f t="shared" si="6"/>
        <v>BRASIL MINERACAOUA SAO LUISBRITA 0</v>
      </c>
      <c r="N391" s="135" t="s">
        <v>224</v>
      </c>
    </row>
    <row r="392" spans="2:14" x14ac:dyDescent="0.25">
      <c r="B392" s="134">
        <v>46158</v>
      </c>
      <c r="C392" s="138">
        <v>1</v>
      </c>
      <c r="D392" s="138" t="s">
        <v>167</v>
      </c>
      <c r="E392" s="135" t="s">
        <v>168</v>
      </c>
      <c r="F392" s="135" t="s">
        <v>163</v>
      </c>
      <c r="G392" s="135" t="s">
        <v>164</v>
      </c>
      <c r="H392" s="135">
        <v>52</v>
      </c>
      <c r="I392" s="135" t="s">
        <v>175</v>
      </c>
      <c r="J392" s="135">
        <v>2554</v>
      </c>
      <c r="K392" s="140">
        <v>491.39</v>
      </c>
      <c r="L392" s="135" t="s">
        <v>3266</v>
      </c>
      <c r="M392" s="135" t="str">
        <f t="shared" si="6"/>
        <v>BRASIL MINERACAOUA SAO LUISBRITA 0</v>
      </c>
      <c r="N392" s="135" t="s">
        <v>224</v>
      </c>
    </row>
    <row r="393" spans="2:14" x14ac:dyDescent="0.25">
      <c r="B393" s="136">
        <v>46158</v>
      </c>
      <c r="C393" s="139">
        <v>1</v>
      </c>
      <c r="D393" s="139" t="s">
        <v>183</v>
      </c>
      <c r="E393" s="137" t="s">
        <v>184</v>
      </c>
      <c r="F393" s="137" t="s">
        <v>166</v>
      </c>
      <c r="G393" s="137" t="s">
        <v>164</v>
      </c>
      <c r="H393" s="137">
        <v>58</v>
      </c>
      <c r="I393" s="137" t="s">
        <v>175</v>
      </c>
      <c r="J393" s="137">
        <v>2628</v>
      </c>
      <c r="K393" s="141">
        <v>563.97</v>
      </c>
      <c r="L393" s="137" t="s">
        <v>3267</v>
      </c>
      <c r="M393" s="135" t="str">
        <f t="shared" si="6"/>
        <v>GRANORTEUA SAO LUISBRITA 0</v>
      </c>
      <c r="N393" s="135" t="s">
        <v>224</v>
      </c>
    </row>
    <row r="394" spans="2:14" x14ac:dyDescent="0.25">
      <c r="B394" s="134">
        <v>46158</v>
      </c>
      <c r="C394" s="138">
        <v>1</v>
      </c>
      <c r="D394" s="138" t="s">
        <v>183</v>
      </c>
      <c r="E394" s="135" t="s">
        <v>184</v>
      </c>
      <c r="F394" s="135" t="s">
        <v>166</v>
      </c>
      <c r="G394" s="135" t="s">
        <v>164</v>
      </c>
      <c r="H394" s="135">
        <v>58</v>
      </c>
      <c r="I394" s="135" t="s">
        <v>175</v>
      </c>
      <c r="J394" s="135">
        <v>269</v>
      </c>
      <c r="K394" s="140">
        <v>577.27</v>
      </c>
      <c r="L394" s="135" t="s">
        <v>3268</v>
      </c>
      <c r="M394" s="135" t="str">
        <f t="shared" si="6"/>
        <v>GRANORTEUA SAO LUISBRITA 0</v>
      </c>
      <c r="N394" s="135" t="s">
        <v>224</v>
      </c>
    </row>
    <row r="395" spans="2:14" x14ac:dyDescent="0.25">
      <c r="B395" s="136">
        <v>46158</v>
      </c>
      <c r="C395" s="139">
        <v>1</v>
      </c>
      <c r="D395" s="139" t="s">
        <v>286</v>
      </c>
      <c r="E395" s="137" t="s">
        <v>506</v>
      </c>
      <c r="F395" s="137" t="s">
        <v>163</v>
      </c>
      <c r="G395" s="137" t="s">
        <v>164</v>
      </c>
      <c r="H395" s="137">
        <v>52</v>
      </c>
      <c r="I395" s="137" t="s">
        <v>165</v>
      </c>
      <c r="J395" s="137">
        <v>480</v>
      </c>
      <c r="K395" s="141">
        <v>923.52</v>
      </c>
      <c r="L395" s="137" t="s">
        <v>3269</v>
      </c>
      <c r="M395" s="135" t="str">
        <f t="shared" si="6"/>
        <v>BRASIL MINERACAOUA SAO LUISPÓ DE BRITA</v>
      </c>
      <c r="N395" s="135" t="s">
        <v>224</v>
      </c>
    </row>
    <row r="396" spans="2:14" x14ac:dyDescent="0.25">
      <c r="B396" s="134">
        <v>46158</v>
      </c>
      <c r="C396" s="138">
        <v>1</v>
      </c>
      <c r="D396" s="138" t="s">
        <v>1129</v>
      </c>
      <c r="E396" s="135" t="s">
        <v>2396</v>
      </c>
      <c r="F396" s="135" t="s">
        <v>163</v>
      </c>
      <c r="G396" s="135" t="s">
        <v>164</v>
      </c>
      <c r="H396" s="135">
        <v>52</v>
      </c>
      <c r="I396" s="135" t="s">
        <v>165</v>
      </c>
      <c r="J396" s="135">
        <v>2706</v>
      </c>
      <c r="K396" s="140">
        <v>520.63</v>
      </c>
      <c r="L396" s="135" t="s">
        <v>3270</v>
      </c>
      <c r="M396" s="135" t="str">
        <f t="shared" si="6"/>
        <v>BRASIL MINERACAOUA SAO LUISPÓ DE BRITA</v>
      </c>
      <c r="N396" s="135" t="s">
        <v>224</v>
      </c>
    </row>
    <row r="397" spans="2:14" x14ac:dyDescent="0.25">
      <c r="B397" s="136">
        <v>46158</v>
      </c>
      <c r="C397" s="139">
        <v>1</v>
      </c>
      <c r="D397" s="139" t="s">
        <v>1129</v>
      </c>
      <c r="E397" s="137" t="s">
        <v>2396</v>
      </c>
      <c r="F397" s="137" t="s">
        <v>163</v>
      </c>
      <c r="G397" s="137" t="s">
        <v>164</v>
      </c>
      <c r="H397" s="137">
        <v>52</v>
      </c>
      <c r="I397" s="137" t="s">
        <v>165</v>
      </c>
      <c r="J397" s="137">
        <v>2644</v>
      </c>
      <c r="K397" s="141">
        <v>508.71</v>
      </c>
      <c r="L397" s="137" t="s">
        <v>3271</v>
      </c>
      <c r="M397" s="135" t="str">
        <f t="shared" si="6"/>
        <v>BRASIL MINERACAOUA SAO LUISPÓ DE BRITA</v>
      </c>
      <c r="N397" s="135" t="s">
        <v>224</v>
      </c>
    </row>
    <row r="398" spans="2:14" x14ac:dyDescent="0.25">
      <c r="B398" s="134">
        <v>46158</v>
      </c>
      <c r="C398" s="138">
        <v>1</v>
      </c>
      <c r="D398" s="138" t="s">
        <v>200</v>
      </c>
      <c r="E398" s="135" t="s">
        <v>201</v>
      </c>
      <c r="F398" s="135" t="s">
        <v>190</v>
      </c>
      <c r="G398" s="135" t="s">
        <v>212</v>
      </c>
      <c r="H398" s="135">
        <v>376</v>
      </c>
      <c r="I398" s="135" t="s">
        <v>165</v>
      </c>
      <c r="J398" s="135">
        <v>5298</v>
      </c>
      <c r="K398" s="140">
        <v>6374.55</v>
      </c>
      <c r="L398" s="135" t="s">
        <v>3272</v>
      </c>
      <c r="M398" s="135" t="str">
        <f t="shared" si="6"/>
        <v>SERVENGUSINA PINHEIROPÓ DE BRITA</v>
      </c>
      <c r="N398" s="137" t="s">
        <v>161</v>
      </c>
    </row>
    <row r="399" spans="2:14" x14ac:dyDescent="0.25">
      <c r="B399" s="136">
        <v>46159</v>
      </c>
      <c r="C399" s="139">
        <v>1</v>
      </c>
      <c r="D399" s="139" t="s">
        <v>176</v>
      </c>
      <c r="E399" s="137" t="s">
        <v>177</v>
      </c>
      <c r="F399" s="137" t="s">
        <v>2868</v>
      </c>
      <c r="G399" s="137" t="s">
        <v>2871</v>
      </c>
      <c r="H399" s="137">
        <v>70</v>
      </c>
      <c r="I399" s="137" t="s">
        <v>2869</v>
      </c>
      <c r="J399" s="137">
        <v>512</v>
      </c>
      <c r="K399" s="141">
        <v>1326.08</v>
      </c>
      <c r="L399" s="137" t="s">
        <v>3273</v>
      </c>
      <c r="M399" s="135" t="str">
        <f t="shared" si="6"/>
        <v>FAZENDA PLATAFORMASILO PRODUCERESSOJA</v>
      </c>
      <c r="N399" s="135" t="s">
        <v>3729</v>
      </c>
    </row>
    <row r="400" spans="2:14" x14ac:dyDescent="0.25">
      <c r="B400" s="134">
        <v>46159</v>
      </c>
      <c r="C400" s="138">
        <v>1</v>
      </c>
      <c r="D400" s="138" t="s">
        <v>203</v>
      </c>
      <c r="E400" s="135" t="s">
        <v>204</v>
      </c>
      <c r="F400" s="135" t="s">
        <v>2868</v>
      </c>
      <c r="G400" s="135" t="s">
        <v>2871</v>
      </c>
      <c r="H400" s="135">
        <v>70</v>
      </c>
      <c r="I400" s="135" t="s">
        <v>2869</v>
      </c>
      <c r="J400" s="135">
        <v>50836</v>
      </c>
      <c r="K400" s="140">
        <v>1316.65</v>
      </c>
      <c r="L400" s="135" t="s">
        <v>3274</v>
      </c>
      <c r="M400" s="135" t="str">
        <f t="shared" si="6"/>
        <v>FAZENDA PLATAFORMASILO PRODUCERESSOJA</v>
      </c>
      <c r="N400" s="135" t="s">
        <v>3729</v>
      </c>
    </row>
    <row r="401" spans="2:14" x14ac:dyDescent="0.25">
      <c r="B401" s="136">
        <v>46159</v>
      </c>
      <c r="C401" s="139">
        <v>1</v>
      </c>
      <c r="D401" s="139" t="s">
        <v>192</v>
      </c>
      <c r="E401" s="137" t="s">
        <v>287</v>
      </c>
      <c r="F401" s="137" t="s">
        <v>2868</v>
      </c>
      <c r="G401" s="137" t="s">
        <v>2871</v>
      </c>
      <c r="H401" s="137">
        <v>70</v>
      </c>
      <c r="I401" s="137" t="s">
        <v>2869</v>
      </c>
      <c r="J401" s="137">
        <v>5258</v>
      </c>
      <c r="K401" s="141">
        <v>1361.82</v>
      </c>
      <c r="L401" s="137" t="s">
        <v>3275</v>
      </c>
      <c r="M401" s="135" t="str">
        <f t="shared" si="6"/>
        <v>FAZENDA PLATAFORMASILO PRODUCERESSOJA</v>
      </c>
      <c r="N401" s="135" t="s">
        <v>3729</v>
      </c>
    </row>
    <row r="402" spans="2:14" x14ac:dyDescent="0.25">
      <c r="B402" s="134">
        <v>46159</v>
      </c>
      <c r="C402" s="138">
        <v>1</v>
      </c>
      <c r="D402" s="138" t="s">
        <v>1948</v>
      </c>
      <c r="E402" s="135" t="s">
        <v>1949</v>
      </c>
      <c r="F402" s="135" t="s">
        <v>2868</v>
      </c>
      <c r="G402" s="135" t="s">
        <v>2871</v>
      </c>
      <c r="H402" s="135">
        <v>70</v>
      </c>
      <c r="I402" s="135" t="s">
        <v>2869</v>
      </c>
      <c r="J402" s="135">
        <v>497</v>
      </c>
      <c r="K402" s="140">
        <v>1287.23</v>
      </c>
      <c r="L402" s="135" t="s">
        <v>3276</v>
      </c>
      <c r="M402" s="135" t="str">
        <f t="shared" si="6"/>
        <v>FAZENDA PLATAFORMASILO PRODUCERESSOJA</v>
      </c>
      <c r="N402" s="135" t="s">
        <v>3729</v>
      </c>
    </row>
    <row r="403" spans="2:14" x14ac:dyDescent="0.25">
      <c r="B403" s="136">
        <v>46160</v>
      </c>
      <c r="C403" s="139">
        <v>1</v>
      </c>
      <c r="D403" s="139" t="s">
        <v>208</v>
      </c>
      <c r="E403" s="137" t="s">
        <v>209</v>
      </c>
      <c r="F403" s="137" t="s">
        <v>163</v>
      </c>
      <c r="G403" s="137" t="s">
        <v>164</v>
      </c>
      <c r="H403" s="137">
        <v>52</v>
      </c>
      <c r="I403" s="137" t="s">
        <v>175</v>
      </c>
      <c r="J403" s="137">
        <v>510</v>
      </c>
      <c r="K403" s="141">
        <v>981.24</v>
      </c>
      <c r="L403" s="137" t="s">
        <v>3277</v>
      </c>
      <c r="M403" s="135" t="str">
        <f t="shared" si="6"/>
        <v>BRASIL MINERACAOUA SAO LUISBRITA 0</v>
      </c>
      <c r="N403" s="135" t="s">
        <v>224</v>
      </c>
    </row>
    <row r="404" spans="2:14" x14ac:dyDescent="0.25">
      <c r="B404" s="134">
        <v>46160</v>
      </c>
      <c r="C404" s="138">
        <v>1</v>
      </c>
      <c r="D404" s="138" t="s">
        <v>200</v>
      </c>
      <c r="E404" s="135" t="s">
        <v>201</v>
      </c>
      <c r="F404" s="135" t="s">
        <v>190</v>
      </c>
      <c r="G404" s="135" t="s">
        <v>212</v>
      </c>
      <c r="H404" s="135">
        <v>376</v>
      </c>
      <c r="I404" s="135" t="s">
        <v>165</v>
      </c>
      <c r="J404" s="135">
        <v>5286</v>
      </c>
      <c r="K404" s="140">
        <v>6360.12</v>
      </c>
      <c r="L404" s="135" t="s">
        <v>3278</v>
      </c>
      <c r="M404" s="135" t="str">
        <f t="shared" si="6"/>
        <v>SERVENGUSINA PINHEIROPÓ DE BRITA</v>
      </c>
      <c r="N404" s="137" t="s">
        <v>161</v>
      </c>
    </row>
    <row r="405" spans="2:14" x14ac:dyDescent="0.25">
      <c r="B405" s="136">
        <v>46160</v>
      </c>
      <c r="C405" s="139">
        <v>1</v>
      </c>
      <c r="D405" s="139" t="s">
        <v>2866</v>
      </c>
      <c r="E405" s="137" t="s">
        <v>281</v>
      </c>
      <c r="F405" s="137" t="s">
        <v>166</v>
      </c>
      <c r="G405" s="137" t="s">
        <v>164</v>
      </c>
      <c r="H405" s="137">
        <v>58</v>
      </c>
      <c r="I405" s="137" t="s">
        <v>165</v>
      </c>
      <c r="J405" s="137">
        <v>4186</v>
      </c>
      <c r="K405" s="141">
        <v>898.32</v>
      </c>
      <c r="L405" s="137" t="s">
        <v>3279</v>
      </c>
      <c r="M405" s="135" t="str">
        <f t="shared" si="6"/>
        <v>GRANORTEUA SAO LUISPÓ DE BRITA</v>
      </c>
      <c r="N405" s="135" t="s">
        <v>224</v>
      </c>
    </row>
    <row r="406" spans="2:14" x14ac:dyDescent="0.25">
      <c r="B406" s="134">
        <v>46160</v>
      </c>
      <c r="C406" s="138">
        <v>1</v>
      </c>
      <c r="D406" s="138" t="s">
        <v>210</v>
      </c>
      <c r="E406" s="135" t="s">
        <v>211</v>
      </c>
      <c r="F406" s="135" t="s">
        <v>2868</v>
      </c>
      <c r="G406" s="135" t="s">
        <v>2871</v>
      </c>
      <c r="H406" s="135">
        <v>70</v>
      </c>
      <c r="I406" s="135" t="s">
        <v>2869</v>
      </c>
      <c r="J406" s="135">
        <v>50329</v>
      </c>
      <c r="K406" s="140">
        <v>1303.52</v>
      </c>
      <c r="L406" s="135" t="s">
        <v>3280</v>
      </c>
      <c r="M406" s="135" t="str">
        <f t="shared" si="6"/>
        <v>FAZENDA PLATAFORMASILO PRODUCERESSOJA</v>
      </c>
      <c r="N406" s="135" t="s">
        <v>3729</v>
      </c>
    </row>
    <row r="407" spans="2:14" x14ac:dyDescent="0.25">
      <c r="B407" s="136">
        <v>46160</v>
      </c>
      <c r="C407" s="139">
        <v>1</v>
      </c>
      <c r="D407" s="139" t="s">
        <v>300</v>
      </c>
      <c r="E407" s="137" t="s">
        <v>1536</v>
      </c>
      <c r="F407" s="137" t="s">
        <v>291</v>
      </c>
      <c r="G407" s="137" t="s">
        <v>2864</v>
      </c>
      <c r="H407" s="137">
        <v>277</v>
      </c>
      <c r="I407" s="137" t="s">
        <v>207</v>
      </c>
      <c r="J407" s="137">
        <v>556</v>
      </c>
      <c r="K407" s="141">
        <v>4928.38</v>
      </c>
      <c r="L407" s="137" t="s">
        <v>3281</v>
      </c>
      <c r="M407" s="135" t="str">
        <f t="shared" si="6"/>
        <v>MINERADORA PORTO FRANCO - MAVALE KM 438RACHÃO</v>
      </c>
      <c r="N407" s="135" t="s">
        <v>15</v>
      </c>
    </row>
    <row r="408" spans="2:14" x14ac:dyDescent="0.25">
      <c r="B408" s="134">
        <v>46160</v>
      </c>
      <c r="C408" s="138">
        <v>1</v>
      </c>
      <c r="D408" s="138" t="s">
        <v>342</v>
      </c>
      <c r="E408" s="135" t="s">
        <v>171</v>
      </c>
      <c r="F408" s="135" t="s">
        <v>166</v>
      </c>
      <c r="G408" s="135" t="s">
        <v>164</v>
      </c>
      <c r="H408" s="135">
        <v>58</v>
      </c>
      <c r="I408" s="135" t="s">
        <v>165</v>
      </c>
      <c r="J408" s="135">
        <v>4586</v>
      </c>
      <c r="K408" s="140">
        <v>984.16</v>
      </c>
      <c r="L408" s="135" t="s">
        <v>3282</v>
      </c>
      <c r="M408" s="135" t="str">
        <f t="shared" si="6"/>
        <v>GRANORTEUA SAO LUISPÓ DE BRITA</v>
      </c>
      <c r="N408" s="135" t="s">
        <v>224</v>
      </c>
    </row>
    <row r="409" spans="2:14" x14ac:dyDescent="0.25">
      <c r="B409" s="136">
        <v>46160</v>
      </c>
      <c r="C409" s="139">
        <v>1</v>
      </c>
      <c r="D409" s="139" t="s">
        <v>173</v>
      </c>
      <c r="E409" s="137" t="s">
        <v>174</v>
      </c>
      <c r="F409" s="137" t="s">
        <v>166</v>
      </c>
      <c r="G409" s="137" t="s">
        <v>111</v>
      </c>
      <c r="H409" s="137">
        <v>79</v>
      </c>
      <c r="I409" s="137" t="s">
        <v>169</v>
      </c>
      <c r="J409" s="137">
        <v>2556</v>
      </c>
      <c r="K409" s="141">
        <v>747.12</v>
      </c>
      <c r="L409" s="137" t="s">
        <v>3283</v>
      </c>
      <c r="M409" s="135" t="str">
        <f t="shared" si="6"/>
        <v>GRANORTEBEIRA RIOPULMÃOZINHO</v>
      </c>
      <c r="N409" s="137" t="s">
        <v>111</v>
      </c>
    </row>
    <row r="410" spans="2:14" x14ac:dyDescent="0.25">
      <c r="B410" s="134">
        <v>46160</v>
      </c>
      <c r="C410" s="138">
        <v>1</v>
      </c>
      <c r="D410" s="138" t="s">
        <v>2866</v>
      </c>
      <c r="E410" s="135" t="s">
        <v>281</v>
      </c>
      <c r="F410" s="135" t="s">
        <v>166</v>
      </c>
      <c r="G410" s="135" t="s">
        <v>164</v>
      </c>
      <c r="H410" s="135">
        <v>58</v>
      </c>
      <c r="I410" s="135" t="s">
        <v>165</v>
      </c>
      <c r="J410" s="135">
        <v>371</v>
      </c>
      <c r="K410" s="140">
        <v>796.17</v>
      </c>
      <c r="L410" s="135" t="s">
        <v>3284</v>
      </c>
      <c r="M410" s="135" t="str">
        <f t="shared" si="6"/>
        <v>GRANORTEUA SAO LUISPÓ DE BRITA</v>
      </c>
      <c r="N410" s="135" t="s">
        <v>224</v>
      </c>
    </row>
    <row r="411" spans="2:14" x14ac:dyDescent="0.25">
      <c r="B411" s="136">
        <v>46160</v>
      </c>
      <c r="C411" s="139">
        <v>1</v>
      </c>
      <c r="D411" s="139" t="s">
        <v>188</v>
      </c>
      <c r="E411" s="137" t="s">
        <v>189</v>
      </c>
      <c r="F411" s="137" t="s">
        <v>276</v>
      </c>
      <c r="G411" s="137" t="s">
        <v>2033</v>
      </c>
      <c r="H411" s="137">
        <v>323</v>
      </c>
      <c r="I411" s="137" t="s">
        <v>172</v>
      </c>
      <c r="J411" s="137">
        <v>760</v>
      </c>
      <c r="K411" s="141">
        <v>7855.36</v>
      </c>
      <c r="L411" s="137" t="s">
        <v>3285</v>
      </c>
      <c r="M411" s="135" t="str">
        <f t="shared" si="6"/>
        <v>MINERADORA PORTO FRANCOVALE KM 386BICA CORRIDA</v>
      </c>
      <c r="N411" s="135" t="s">
        <v>15</v>
      </c>
    </row>
    <row r="412" spans="2:14" x14ac:dyDescent="0.25">
      <c r="B412" s="134">
        <v>46160</v>
      </c>
      <c r="C412" s="138">
        <v>1</v>
      </c>
      <c r="D412" s="138" t="s">
        <v>342</v>
      </c>
      <c r="E412" s="135" t="s">
        <v>171</v>
      </c>
      <c r="F412" s="135" t="s">
        <v>163</v>
      </c>
      <c r="G412" s="135" t="s">
        <v>164</v>
      </c>
      <c r="H412" s="135">
        <v>52</v>
      </c>
      <c r="I412" s="135" t="s">
        <v>165</v>
      </c>
      <c r="J412" s="135">
        <v>454</v>
      </c>
      <c r="K412" s="140">
        <v>873.5</v>
      </c>
      <c r="L412" s="135" t="s">
        <v>3286</v>
      </c>
      <c r="M412" s="135" t="str">
        <f t="shared" si="6"/>
        <v>BRASIL MINERACAOUA SAO LUISPÓ DE BRITA</v>
      </c>
      <c r="N412" s="135" t="s">
        <v>224</v>
      </c>
    </row>
    <row r="413" spans="2:14" x14ac:dyDescent="0.25">
      <c r="B413" s="136">
        <v>46160</v>
      </c>
      <c r="C413" s="139">
        <v>1</v>
      </c>
      <c r="D413" s="139" t="s">
        <v>283</v>
      </c>
      <c r="E413" s="137" t="s">
        <v>282</v>
      </c>
      <c r="F413" s="137" t="s">
        <v>166</v>
      </c>
      <c r="G413" s="137" t="s">
        <v>1178</v>
      </c>
      <c r="H413" s="137">
        <v>51</v>
      </c>
      <c r="I413" s="137" t="s">
        <v>172</v>
      </c>
      <c r="J413" s="137">
        <v>2626</v>
      </c>
      <c r="K413" s="141">
        <v>495.53</v>
      </c>
      <c r="L413" s="137" t="s">
        <v>3287</v>
      </c>
      <c r="M413" s="135" t="str">
        <f t="shared" si="6"/>
        <v>GRANORTEVETORBICA CORRIDA</v>
      </c>
      <c r="N413" s="137" t="s">
        <v>1178</v>
      </c>
    </row>
    <row r="414" spans="2:14" x14ac:dyDescent="0.25">
      <c r="B414" s="134">
        <v>46160</v>
      </c>
      <c r="C414" s="138">
        <v>1</v>
      </c>
      <c r="D414" s="138" t="s">
        <v>283</v>
      </c>
      <c r="E414" s="135" t="s">
        <v>282</v>
      </c>
      <c r="F414" s="135" t="s">
        <v>166</v>
      </c>
      <c r="G414" s="135" t="s">
        <v>1178</v>
      </c>
      <c r="H414" s="135">
        <v>51</v>
      </c>
      <c r="I414" s="135" t="s">
        <v>172</v>
      </c>
      <c r="J414" s="135">
        <v>2626</v>
      </c>
      <c r="K414" s="140">
        <v>495.53</v>
      </c>
      <c r="L414" s="135" t="s">
        <v>3288</v>
      </c>
      <c r="M414" s="135" t="str">
        <f t="shared" si="6"/>
        <v>GRANORTEVETORBICA CORRIDA</v>
      </c>
      <c r="N414" s="135" t="s">
        <v>1178</v>
      </c>
    </row>
    <row r="415" spans="2:14" x14ac:dyDescent="0.25">
      <c r="B415" s="136">
        <v>46160</v>
      </c>
      <c r="C415" s="139">
        <v>1</v>
      </c>
      <c r="D415" s="139" t="s">
        <v>2866</v>
      </c>
      <c r="E415" s="137" t="s">
        <v>281</v>
      </c>
      <c r="F415" s="137" t="s">
        <v>163</v>
      </c>
      <c r="G415" s="137" t="s">
        <v>164</v>
      </c>
      <c r="H415" s="137">
        <v>52</v>
      </c>
      <c r="I415" s="137" t="s">
        <v>165</v>
      </c>
      <c r="J415" s="137">
        <v>4398</v>
      </c>
      <c r="K415" s="141">
        <v>846.18</v>
      </c>
      <c r="L415" s="137" t="s">
        <v>3289</v>
      </c>
      <c r="M415" s="135" t="str">
        <f t="shared" si="6"/>
        <v>BRASIL MINERACAOUA SAO LUISPÓ DE BRITA</v>
      </c>
      <c r="N415" s="135" t="s">
        <v>224</v>
      </c>
    </row>
    <row r="416" spans="2:14" x14ac:dyDescent="0.25">
      <c r="B416" s="134">
        <v>46160</v>
      </c>
      <c r="C416" s="138">
        <v>1</v>
      </c>
      <c r="D416" s="138" t="s">
        <v>173</v>
      </c>
      <c r="E416" s="135" t="s">
        <v>174</v>
      </c>
      <c r="F416" s="135" t="s">
        <v>166</v>
      </c>
      <c r="G416" s="135" t="s">
        <v>111</v>
      </c>
      <c r="H416" s="135">
        <v>79</v>
      </c>
      <c r="I416" s="135" t="s">
        <v>169</v>
      </c>
      <c r="J416" s="135">
        <v>2636</v>
      </c>
      <c r="K416" s="140">
        <v>770.5</v>
      </c>
      <c r="L416" s="135" t="s">
        <v>3290</v>
      </c>
      <c r="M416" s="135" t="str">
        <f t="shared" si="6"/>
        <v>GRANORTEBEIRA RIOPULMÃOZINHO</v>
      </c>
      <c r="N416" s="135" t="s">
        <v>111</v>
      </c>
    </row>
    <row r="417" spans="2:14" x14ac:dyDescent="0.25">
      <c r="B417" s="136">
        <v>46160</v>
      </c>
      <c r="C417" s="139">
        <v>1</v>
      </c>
      <c r="D417" s="139" t="s">
        <v>183</v>
      </c>
      <c r="E417" s="137" t="s">
        <v>184</v>
      </c>
      <c r="F417" s="137" t="s">
        <v>166</v>
      </c>
      <c r="G417" s="137" t="s">
        <v>164</v>
      </c>
      <c r="H417" s="137">
        <v>58</v>
      </c>
      <c r="I417" s="137" t="s">
        <v>175</v>
      </c>
      <c r="J417" s="137">
        <v>3112</v>
      </c>
      <c r="K417" s="141">
        <v>667.84</v>
      </c>
      <c r="L417" s="137" t="s">
        <v>3291</v>
      </c>
      <c r="M417" s="135" t="str">
        <f t="shared" si="6"/>
        <v>GRANORTEUA SAO LUISBRITA 0</v>
      </c>
      <c r="N417" s="135" t="s">
        <v>224</v>
      </c>
    </row>
    <row r="418" spans="2:14" x14ac:dyDescent="0.25">
      <c r="B418" s="134">
        <v>46160</v>
      </c>
      <c r="C418" s="138">
        <v>1</v>
      </c>
      <c r="D418" s="138" t="s">
        <v>167</v>
      </c>
      <c r="E418" s="135" t="s">
        <v>168</v>
      </c>
      <c r="F418" s="135" t="s">
        <v>163</v>
      </c>
      <c r="G418" s="135" t="s">
        <v>164</v>
      </c>
      <c r="H418" s="135">
        <v>52</v>
      </c>
      <c r="I418" s="135" t="s">
        <v>195</v>
      </c>
      <c r="J418" s="135">
        <v>259</v>
      </c>
      <c r="K418" s="140">
        <v>498.32</v>
      </c>
      <c r="L418" s="135" t="s">
        <v>3292</v>
      </c>
      <c r="M418" s="135" t="str">
        <f t="shared" si="6"/>
        <v>BRASIL MINERACAOUA SAO LUISBRITA 1</v>
      </c>
      <c r="N418" s="135" t="s">
        <v>224</v>
      </c>
    </row>
    <row r="419" spans="2:14" x14ac:dyDescent="0.25">
      <c r="B419" s="136">
        <v>46160</v>
      </c>
      <c r="C419" s="139">
        <v>1</v>
      </c>
      <c r="D419" s="139" t="s">
        <v>183</v>
      </c>
      <c r="E419" s="137" t="s">
        <v>184</v>
      </c>
      <c r="F419" s="137" t="s">
        <v>166</v>
      </c>
      <c r="G419" s="137" t="s">
        <v>164</v>
      </c>
      <c r="H419" s="137">
        <v>58</v>
      </c>
      <c r="I419" s="137" t="s">
        <v>175</v>
      </c>
      <c r="J419" s="137">
        <v>2628</v>
      </c>
      <c r="K419" s="141">
        <v>563.97</v>
      </c>
      <c r="L419" s="137" t="s">
        <v>3293</v>
      </c>
      <c r="M419" s="135" t="str">
        <f t="shared" si="6"/>
        <v>GRANORTEUA SAO LUISBRITA 0</v>
      </c>
      <c r="N419" s="135" t="s">
        <v>224</v>
      </c>
    </row>
    <row r="420" spans="2:14" x14ac:dyDescent="0.25">
      <c r="B420" s="134">
        <v>46160</v>
      </c>
      <c r="C420" s="138">
        <v>1</v>
      </c>
      <c r="D420" s="138" t="s">
        <v>183</v>
      </c>
      <c r="E420" s="135" t="s">
        <v>184</v>
      </c>
      <c r="F420" s="135" t="s">
        <v>166</v>
      </c>
      <c r="G420" s="135" t="s">
        <v>111</v>
      </c>
      <c r="H420" s="135">
        <v>79</v>
      </c>
      <c r="I420" s="135" t="s">
        <v>169</v>
      </c>
      <c r="J420" s="135">
        <v>2702</v>
      </c>
      <c r="K420" s="140">
        <v>789.79</v>
      </c>
      <c r="L420" s="135" t="s">
        <v>3294</v>
      </c>
      <c r="M420" s="135" t="str">
        <f t="shared" si="6"/>
        <v>GRANORTEBEIRA RIOPULMÃOZINHO</v>
      </c>
      <c r="N420" s="135" t="s">
        <v>111</v>
      </c>
    </row>
    <row r="421" spans="2:14" x14ac:dyDescent="0.25">
      <c r="B421" s="136">
        <v>46160</v>
      </c>
      <c r="C421" s="139">
        <v>1</v>
      </c>
      <c r="D421" s="139" t="s">
        <v>1129</v>
      </c>
      <c r="E421" s="137" t="s">
        <v>2396</v>
      </c>
      <c r="F421" s="137" t="s">
        <v>163</v>
      </c>
      <c r="G421" s="137" t="s">
        <v>164</v>
      </c>
      <c r="H421" s="137">
        <v>52</v>
      </c>
      <c r="I421" s="137" t="s">
        <v>185</v>
      </c>
      <c r="J421" s="137">
        <v>2708</v>
      </c>
      <c r="K421" s="141">
        <v>521.02</v>
      </c>
      <c r="L421" s="137" t="s">
        <v>3295</v>
      </c>
      <c r="M421" s="135" t="str">
        <f t="shared" si="6"/>
        <v>BRASIL MINERACAOUA SAO LUISRACHÃOZINHO</v>
      </c>
      <c r="N421" s="135" t="s">
        <v>224</v>
      </c>
    </row>
    <row r="422" spans="2:14" x14ac:dyDescent="0.25">
      <c r="B422" s="134">
        <v>46160</v>
      </c>
      <c r="C422" s="138">
        <v>1</v>
      </c>
      <c r="D422" s="138" t="s">
        <v>167</v>
      </c>
      <c r="E422" s="135" t="s">
        <v>168</v>
      </c>
      <c r="F422" s="135" t="s">
        <v>166</v>
      </c>
      <c r="G422" s="135" t="s">
        <v>111</v>
      </c>
      <c r="H422" s="135">
        <v>79</v>
      </c>
      <c r="I422" s="135" t="s">
        <v>169</v>
      </c>
      <c r="J422" s="135">
        <v>2604</v>
      </c>
      <c r="K422" s="140">
        <v>761.15</v>
      </c>
      <c r="L422" s="135" t="s">
        <v>3296</v>
      </c>
      <c r="M422" s="135" t="str">
        <f t="shared" si="6"/>
        <v>GRANORTEBEIRA RIOPULMÃOZINHO</v>
      </c>
      <c r="N422" s="135" t="s">
        <v>111</v>
      </c>
    </row>
    <row r="423" spans="2:14" x14ac:dyDescent="0.25">
      <c r="B423" s="136">
        <v>46160</v>
      </c>
      <c r="C423" s="139">
        <v>1</v>
      </c>
      <c r="D423" s="139" t="s">
        <v>1129</v>
      </c>
      <c r="E423" s="137" t="s">
        <v>2396</v>
      </c>
      <c r="F423" s="137" t="s">
        <v>163</v>
      </c>
      <c r="G423" s="137" t="s">
        <v>164</v>
      </c>
      <c r="H423" s="137">
        <v>52</v>
      </c>
      <c r="I423" s="137" t="s">
        <v>185</v>
      </c>
      <c r="J423" s="137">
        <v>2676</v>
      </c>
      <c r="K423" s="141">
        <v>514.86</v>
      </c>
      <c r="L423" s="137" t="s">
        <v>3297</v>
      </c>
      <c r="M423" s="135" t="str">
        <f t="shared" si="6"/>
        <v>BRASIL MINERACAOUA SAO LUISRACHÃOZINHO</v>
      </c>
      <c r="N423" s="135" t="s">
        <v>224</v>
      </c>
    </row>
    <row r="424" spans="2:14" x14ac:dyDescent="0.25">
      <c r="B424" s="134">
        <v>46160</v>
      </c>
      <c r="C424" s="138">
        <v>1</v>
      </c>
      <c r="D424" s="138" t="s">
        <v>286</v>
      </c>
      <c r="E424" s="135" t="s">
        <v>506</v>
      </c>
      <c r="F424" s="135" t="s">
        <v>163</v>
      </c>
      <c r="G424" s="135" t="s">
        <v>164</v>
      </c>
      <c r="H424" s="135">
        <v>52</v>
      </c>
      <c r="I424" s="135" t="s">
        <v>175</v>
      </c>
      <c r="J424" s="135">
        <v>4492</v>
      </c>
      <c r="K424" s="140">
        <v>864.26</v>
      </c>
      <c r="L424" s="135" t="s">
        <v>3298</v>
      </c>
      <c r="M424" s="135" t="str">
        <f t="shared" si="6"/>
        <v>BRASIL MINERACAOUA SAO LUISBRITA 0</v>
      </c>
      <c r="N424" s="135" t="s">
        <v>224</v>
      </c>
    </row>
    <row r="425" spans="2:14" x14ac:dyDescent="0.25">
      <c r="B425" s="136">
        <v>46160</v>
      </c>
      <c r="C425" s="139">
        <v>1</v>
      </c>
      <c r="D425" s="139" t="s">
        <v>286</v>
      </c>
      <c r="E425" s="137" t="s">
        <v>506</v>
      </c>
      <c r="F425" s="137" t="s">
        <v>163</v>
      </c>
      <c r="G425" s="137" t="s">
        <v>164</v>
      </c>
      <c r="H425" s="137">
        <v>52</v>
      </c>
      <c r="I425" s="137" t="s">
        <v>165</v>
      </c>
      <c r="J425" s="137">
        <v>462</v>
      </c>
      <c r="K425" s="141">
        <v>888.89</v>
      </c>
      <c r="L425" s="137" t="s">
        <v>3299</v>
      </c>
      <c r="M425" s="135" t="str">
        <f t="shared" si="6"/>
        <v>BRASIL MINERACAOUA SAO LUISPÓ DE BRITA</v>
      </c>
      <c r="N425" s="135" t="s">
        <v>224</v>
      </c>
    </row>
    <row r="426" spans="2:14" x14ac:dyDescent="0.25">
      <c r="B426" s="134">
        <v>46160</v>
      </c>
      <c r="C426" s="138">
        <v>1</v>
      </c>
      <c r="D426" s="138" t="s">
        <v>193</v>
      </c>
      <c r="E426" s="135" t="s">
        <v>285</v>
      </c>
      <c r="F426" s="135" t="s">
        <v>163</v>
      </c>
      <c r="G426" s="135" t="s">
        <v>111</v>
      </c>
      <c r="H426" s="135">
        <v>75</v>
      </c>
      <c r="I426" s="135" t="s">
        <v>185</v>
      </c>
      <c r="J426" s="135">
        <v>243</v>
      </c>
      <c r="K426" s="140">
        <v>674.33</v>
      </c>
      <c r="L426" s="135" t="s">
        <v>3300</v>
      </c>
      <c r="M426" s="135" t="str">
        <f t="shared" si="6"/>
        <v>BRASIL MINERACAOBEIRA RIORACHÃOZINHO</v>
      </c>
      <c r="N426" s="135" t="s">
        <v>111</v>
      </c>
    </row>
    <row r="427" spans="2:14" x14ac:dyDescent="0.25">
      <c r="B427" s="136">
        <v>46160</v>
      </c>
      <c r="C427" s="139">
        <v>1</v>
      </c>
      <c r="D427" s="139" t="s">
        <v>193</v>
      </c>
      <c r="E427" s="137" t="s">
        <v>285</v>
      </c>
      <c r="F427" s="137" t="s">
        <v>166</v>
      </c>
      <c r="G427" s="137" t="s">
        <v>111</v>
      </c>
      <c r="H427" s="137">
        <v>79</v>
      </c>
      <c r="I427" s="137" t="s">
        <v>169</v>
      </c>
      <c r="J427" s="137">
        <v>2714</v>
      </c>
      <c r="K427" s="141">
        <v>793.3</v>
      </c>
      <c r="L427" s="137" t="s">
        <v>3301</v>
      </c>
      <c r="M427" s="135" t="str">
        <f t="shared" si="6"/>
        <v>GRANORTEBEIRA RIOPULMÃOZINHO</v>
      </c>
      <c r="N427" s="137" t="s">
        <v>111</v>
      </c>
    </row>
    <row r="428" spans="2:14" x14ac:dyDescent="0.25">
      <c r="B428" s="134">
        <v>46160</v>
      </c>
      <c r="C428" s="138">
        <v>1</v>
      </c>
      <c r="D428" s="138" t="s">
        <v>179</v>
      </c>
      <c r="E428" s="135" t="s">
        <v>2863</v>
      </c>
      <c r="F428" s="135" t="s">
        <v>166</v>
      </c>
      <c r="G428" s="135" t="s">
        <v>111</v>
      </c>
      <c r="H428" s="135">
        <v>79</v>
      </c>
      <c r="I428" s="135" t="s">
        <v>169</v>
      </c>
      <c r="J428" s="135">
        <v>2642</v>
      </c>
      <c r="K428" s="140">
        <v>772.26</v>
      </c>
      <c r="L428" s="135" t="s">
        <v>3302</v>
      </c>
      <c r="M428" s="135" t="str">
        <f t="shared" si="6"/>
        <v>GRANORTEBEIRA RIOPULMÃOZINHO</v>
      </c>
      <c r="N428" s="135" t="s">
        <v>111</v>
      </c>
    </row>
    <row r="429" spans="2:14" x14ac:dyDescent="0.25">
      <c r="B429" s="136">
        <v>46160</v>
      </c>
      <c r="C429" s="139">
        <v>1</v>
      </c>
      <c r="D429" s="139" t="s">
        <v>219</v>
      </c>
      <c r="E429" s="137" t="s">
        <v>220</v>
      </c>
      <c r="F429" s="137" t="s">
        <v>166</v>
      </c>
      <c r="G429" s="137" t="s">
        <v>164</v>
      </c>
      <c r="H429" s="137">
        <v>58</v>
      </c>
      <c r="I429" s="137" t="s">
        <v>165</v>
      </c>
      <c r="J429" s="137">
        <v>558</v>
      </c>
      <c r="K429" s="141">
        <v>1197.47</v>
      </c>
      <c r="L429" s="137" t="s">
        <v>3303</v>
      </c>
      <c r="M429" s="135" t="str">
        <f t="shared" si="6"/>
        <v>GRANORTEUA SAO LUISPÓ DE BRITA</v>
      </c>
      <c r="N429" s="135" t="s">
        <v>224</v>
      </c>
    </row>
    <row r="430" spans="2:14" x14ac:dyDescent="0.25">
      <c r="B430" s="134">
        <v>46160</v>
      </c>
      <c r="C430" s="138">
        <v>1</v>
      </c>
      <c r="D430" s="138" t="s">
        <v>219</v>
      </c>
      <c r="E430" s="135" t="s">
        <v>220</v>
      </c>
      <c r="F430" s="135" t="s">
        <v>166</v>
      </c>
      <c r="G430" s="135" t="s">
        <v>164</v>
      </c>
      <c r="H430" s="135">
        <v>58</v>
      </c>
      <c r="I430" s="135" t="s">
        <v>165</v>
      </c>
      <c r="J430" s="135">
        <v>469</v>
      </c>
      <c r="K430" s="140">
        <v>1006.47</v>
      </c>
      <c r="L430" s="135" t="s">
        <v>3304</v>
      </c>
      <c r="M430" s="135" t="str">
        <f t="shared" si="6"/>
        <v>GRANORTEUA SAO LUISPÓ DE BRITA</v>
      </c>
      <c r="N430" s="135" t="s">
        <v>224</v>
      </c>
    </row>
    <row r="431" spans="2:14" x14ac:dyDescent="0.25">
      <c r="B431" s="136">
        <v>46160</v>
      </c>
      <c r="C431" s="139">
        <v>1</v>
      </c>
      <c r="D431" s="139" t="s">
        <v>219</v>
      </c>
      <c r="E431" s="137" t="s">
        <v>220</v>
      </c>
      <c r="F431" s="137" t="s">
        <v>163</v>
      </c>
      <c r="G431" s="137" t="s">
        <v>164</v>
      </c>
      <c r="H431" s="137">
        <v>52</v>
      </c>
      <c r="I431" s="137" t="s">
        <v>195</v>
      </c>
      <c r="J431" s="137">
        <v>488</v>
      </c>
      <c r="K431" s="141">
        <v>938.91</v>
      </c>
      <c r="L431" s="137" t="s">
        <v>3305</v>
      </c>
      <c r="M431" s="135" t="str">
        <f t="shared" si="6"/>
        <v>BRASIL MINERACAOUA SAO LUISBRITA 1</v>
      </c>
      <c r="N431" s="135" t="s">
        <v>224</v>
      </c>
    </row>
    <row r="432" spans="2:14" x14ac:dyDescent="0.25">
      <c r="B432" s="134">
        <v>46160</v>
      </c>
      <c r="C432" s="138">
        <v>1</v>
      </c>
      <c r="D432" s="138" t="s">
        <v>219</v>
      </c>
      <c r="E432" s="135" t="s">
        <v>220</v>
      </c>
      <c r="F432" s="135" t="s">
        <v>166</v>
      </c>
      <c r="G432" s="135" t="s">
        <v>164</v>
      </c>
      <c r="H432" s="135">
        <v>58</v>
      </c>
      <c r="I432" s="135" t="s">
        <v>175</v>
      </c>
      <c r="J432" s="135">
        <v>361</v>
      </c>
      <c r="K432" s="140">
        <v>774.71</v>
      </c>
      <c r="L432" s="135" t="s">
        <v>3306</v>
      </c>
      <c r="M432" s="135" t="str">
        <f t="shared" si="6"/>
        <v>GRANORTEUA SAO LUISBRITA 0</v>
      </c>
      <c r="N432" s="135" t="s">
        <v>224</v>
      </c>
    </row>
    <row r="433" spans="2:14" x14ac:dyDescent="0.25">
      <c r="B433" s="136">
        <v>46160</v>
      </c>
      <c r="C433" s="139">
        <v>1</v>
      </c>
      <c r="D433" s="139" t="s">
        <v>275</v>
      </c>
      <c r="E433" s="137" t="s">
        <v>178</v>
      </c>
      <c r="F433" s="137" t="s">
        <v>190</v>
      </c>
      <c r="G433" s="137" t="s">
        <v>191</v>
      </c>
      <c r="H433" s="137">
        <v>217</v>
      </c>
      <c r="I433" s="137" t="s">
        <v>165</v>
      </c>
      <c r="J433" s="137">
        <v>518</v>
      </c>
      <c r="K433" s="141">
        <v>4159.0200000000004</v>
      </c>
      <c r="L433" s="137" t="s">
        <v>3307</v>
      </c>
      <c r="M433" s="135" t="str">
        <f t="shared" si="6"/>
        <v>SERVENGOLINDA NOVA - MAPÓ DE BRITA</v>
      </c>
      <c r="N433" s="137" t="s">
        <v>3730</v>
      </c>
    </row>
    <row r="434" spans="2:14" x14ac:dyDescent="0.25">
      <c r="B434" s="134">
        <v>46160</v>
      </c>
      <c r="C434" s="138">
        <v>1</v>
      </c>
      <c r="D434" s="138" t="s">
        <v>270</v>
      </c>
      <c r="E434" s="135" t="s">
        <v>288</v>
      </c>
      <c r="F434" s="135" t="s">
        <v>163</v>
      </c>
      <c r="G434" s="135" t="s">
        <v>164</v>
      </c>
      <c r="H434" s="135">
        <v>52</v>
      </c>
      <c r="I434" s="135" t="s">
        <v>165</v>
      </c>
      <c r="J434" s="135">
        <v>4412</v>
      </c>
      <c r="K434" s="140">
        <v>848.87</v>
      </c>
      <c r="L434" s="135" t="s">
        <v>3308</v>
      </c>
      <c r="M434" s="135" t="str">
        <f t="shared" si="6"/>
        <v>BRASIL MINERACAOUA SAO LUISPÓ DE BRITA</v>
      </c>
      <c r="N434" s="135" t="s">
        <v>224</v>
      </c>
    </row>
    <row r="435" spans="2:14" x14ac:dyDescent="0.25">
      <c r="B435" s="136">
        <v>46160</v>
      </c>
      <c r="C435" s="139">
        <v>1</v>
      </c>
      <c r="D435" s="139" t="s">
        <v>179</v>
      </c>
      <c r="E435" s="137" t="s">
        <v>2863</v>
      </c>
      <c r="F435" s="137" t="s">
        <v>166</v>
      </c>
      <c r="G435" s="137" t="s">
        <v>111</v>
      </c>
      <c r="H435" s="137">
        <v>79</v>
      </c>
      <c r="I435" s="137" t="s">
        <v>169</v>
      </c>
      <c r="J435" s="137">
        <v>2676</v>
      </c>
      <c r="K435" s="141">
        <v>782.19</v>
      </c>
      <c r="L435" s="137" t="s">
        <v>3309</v>
      </c>
      <c r="M435" s="135" t="str">
        <f t="shared" si="6"/>
        <v>GRANORTEBEIRA RIOPULMÃOZINHO</v>
      </c>
      <c r="N435" s="137" t="s">
        <v>111</v>
      </c>
    </row>
    <row r="436" spans="2:14" x14ac:dyDescent="0.25">
      <c r="B436" s="134">
        <v>46160</v>
      </c>
      <c r="C436" s="138">
        <v>1</v>
      </c>
      <c r="D436" s="138" t="s">
        <v>186</v>
      </c>
      <c r="E436" s="135" t="s">
        <v>187</v>
      </c>
      <c r="F436" s="135" t="s">
        <v>2757</v>
      </c>
      <c r="G436" s="135" t="s">
        <v>2867</v>
      </c>
      <c r="H436" s="135">
        <v>383</v>
      </c>
      <c r="I436" s="135" t="s">
        <v>207</v>
      </c>
      <c r="J436" s="135">
        <v>480</v>
      </c>
      <c r="K436" s="140">
        <v>5882.88</v>
      </c>
      <c r="L436" s="135" t="s">
        <v>3310</v>
      </c>
      <c r="M436" s="135" t="str">
        <f t="shared" si="6"/>
        <v>MINERADORA PORTO FRANCO MAVALE KM324RACHÃO</v>
      </c>
      <c r="N436" s="135" t="s">
        <v>15</v>
      </c>
    </row>
    <row r="437" spans="2:14" x14ac:dyDescent="0.25">
      <c r="B437" s="136">
        <v>46160</v>
      </c>
      <c r="C437" s="139">
        <v>1</v>
      </c>
      <c r="D437" s="139" t="s">
        <v>1948</v>
      </c>
      <c r="E437" s="137" t="s">
        <v>1949</v>
      </c>
      <c r="F437" s="137" t="s">
        <v>2868</v>
      </c>
      <c r="G437" s="137" t="s">
        <v>2871</v>
      </c>
      <c r="H437" s="137">
        <v>70</v>
      </c>
      <c r="I437" s="137" t="s">
        <v>2869</v>
      </c>
      <c r="J437" s="137">
        <v>498</v>
      </c>
      <c r="K437" s="141">
        <v>1289.82</v>
      </c>
      <c r="L437" s="137" t="s">
        <v>3311</v>
      </c>
      <c r="M437" s="135" t="str">
        <f t="shared" si="6"/>
        <v>FAZENDA PLATAFORMASILO PRODUCERESSOJA</v>
      </c>
      <c r="N437" s="135" t="s">
        <v>3729</v>
      </c>
    </row>
    <row r="438" spans="2:14" x14ac:dyDescent="0.25">
      <c r="B438" s="134">
        <v>46161</v>
      </c>
      <c r="C438" s="138">
        <v>1</v>
      </c>
      <c r="D438" s="138" t="s">
        <v>167</v>
      </c>
      <c r="E438" s="135" t="s">
        <v>168</v>
      </c>
      <c r="F438" s="135" t="s">
        <v>166</v>
      </c>
      <c r="G438" s="135" t="s">
        <v>111</v>
      </c>
      <c r="H438" s="135">
        <v>79</v>
      </c>
      <c r="I438" s="135" t="s">
        <v>169</v>
      </c>
      <c r="J438" s="135">
        <v>268</v>
      </c>
      <c r="K438" s="140">
        <v>783.36</v>
      </c>
      <c r="L438" s="135" t="s">
        <v>3312</v>
      </c>
      <c r="M438" s="135" t="str">
        <f t="shared" si="6"/>
        <v>GRANORTEBEIRA RIOPULMÃOZINHO</v>
      </c>
      <c r="N438" s="135" t="s">
        <v>111</v>
      </c>
    </row>
    <row r="439" spans="2:14" x14ac:dyDescent="0.25">
      <c r="B439" s="136">
        <v>46161</v>
      </c>
      <c r="C439" s="139">
        <v>1</v>
      </c>
      <c r="D439" s="139" t="s">
        <v>2866</v>
      </c>
      <c r="E439" s="137" t="s">
        <v>281</v>
      </c>
      <c r="F439" s="137" t="s">
        <v>163</v>
      </c>
      <c r="G439" s="137" t="s">
        <v>164</v>
      </c>
      <c r="H439" s="137">
        <v>52</v>
      </c>
      <c r="I439" s="137" t="s">
        <v>165</v>
      </c>
      <c r="J439" s="137">
        <v>4192</v>
      </c>
      <c r="K439" s="141">
        <v>806.54</v>
      </c>
      <c r="L439" s="137" t="s">
        <v>3313</v>
      </c>
      <c r="M439" s="135" t="str">
        <f t="shared" si="6"/>
        <v>BRASIL MINERACAOUA SAO LUISPÓ DE BRITA</v>
      </c>
      <c r="N439" s="135" t="s">
        <v>224</v>
      </c>
    </row>
    <row r="440" spans="2:14" x14ac:dyDescent="0.25">
      <c r="B440" s="134">
        <v>46161</v>
      </c>
      <c r="C440" s="138">
        <v>1</v>
      </c>
      <c r="D440" s="138" t="s">
        <v>342</v>
      </c>
      <c r="E440" s="135" t="s">
        <v>171</v>
      </c>
      <c r="F440" s="135" t="s">
        <v>163</v>
      </c>
      <c r="G440" s="135" t="s">
        <v>164</v>
      </c>
      <c r="H440" s="135">
        <v>52</v>
      </c>
      <c r="I440" s="135" t="s">
        <v>165</v>
      </c>
      <c r="J440" s="135">
        <v>4556</v>
      </c>
      <c r="K440" s="140">
        <v>876.57</v>
      </c>
      <c r="L440" s="135" t="s">
        <v>3314</v>
      </c>
      <c r="M440" s="135" t="str">
        <f t="shared" si="6"/>
        <v>BRASIL MINERACAOUA SAO LUISPÓ DE BRITA</v>
      </c>
      <c r="N440" s="135" t="s">
        <v>224</v>
      </c>
    </row>
    <row r="441" spans="2:14" x14ac:dyDescent="0.25">
      <c r="B441" s="136">
        <v>46161</v>
      </c>
      <c r="C441" s="139">
        <v>1</v>
      </c>
      <c r="D441" s="139" t="s">
        <v>176</v>
      </c>
      <c r="E441" s="137" t="s">
        <v>177</v>
      </c>
      <c r="F441" s="137" t="s">
        <v>2868</v>
      </c>
      <c r="G441" s="137" t="s">
        <v>2871</v>
      </c>
      <c r="H441" s="137">
        <v>70</v>
      </c>
      <c r="I441" s="137" t="s">
        <v>2869</v>
      </c>
      <c r="J441" s="137">
        <v>5114</v>
      </c>
      <c r="K441" s="141">
        <v>1324.53</v>
      </c>
      <c r="L441" s="137" t="s">
        <v>3315</v>
      </c>
      <c r="M441" s="135" t="str">
        <f t="shared" si="6"/>
        <v>FAZENDA PLATAFORMASILO PRODUCERESSOJA</v>
      </c>
      <c r="N441" s="135" t="s">
        <v>3729</v>
      </c>
    </row>
    <row r="442" spans="2:14" x14ac:dyDescent="0.25">
      <c r="B442" s="134">
        <v>46161</v>
      </c>
      <c r="C442" s="138">
        <v>1</v>
      </c>
      <c r="D442" s="138" t="s">
        <v>208</v>
      </c>
      <c r="E442" s="135" t="s">
        <v>209</v>
      </c>
      <c r="F442" s="135" t="s">
        <v>190</v>
      </c>
      <c r="G442" s="135" t="s">
        <v>212</v>
      </c>
      <c r="H442" s="135">
        <v>376</v>
      </c>
      <c r="I442" s="135" t="s">
        <v>165</v>
      </c>
      <c r="J442" s="135">
        <v>520</v>
      </c>
      <c r="K442" s="140">
        <v>6256.64</v>
      </c>
      <c r="L442" s="135" t="s">
        <v>3316</v>
      </c>
      <c r="M442" s="135" t="str">
        <f t="shared" si="6"/>
        <v>SERVENGUSINA PINHEIROPÓ DE BRITA</v>
      </c>
      <c r="N442" s="137" t="s">
        <v>161</v>
      </c>
    </row>
    <row r="443" spans="2:14" x14ac:dyDescent="0.25">
      <c r="B443" s="136">
        <v>46161</v>
      </c>
      <c r="C443" s="139">
        <v>1</v>
      </c>
      <c r="D443" s="139" t="s">
        <v>203</v>
      </c>
      <c r="E443" s="137" t="s">
        <v>204</v>
      </c>
      <c r="F443" s="137" t="s">
        <v>2868</v>
      </c>
      <c r="G443" s="137" t="s">
        <v>2871</v>
      </c>
      <c r="H443" s="137">
        <v>70</v>
      </c>
      <c r="I443" s="137" t="s">
        <v>2869</v>
      </c>
      <c r="J443" s="137">
        <v>52244</v>
      </c>
      <c r="K443" s="141">
        <v>1353.12</v>
      </c>
      <c r="L443" s="137" t="s">
        <v>3317</v>
      </c>
      <c r="M443" s="135" t="str">
        <f t="shared" si="6"/>
        <v>FAZENDA PLATAFORMASILO PRODUCERESSOJA</v>
      </c>
      <c r="N443" s="135" t="s">
        <v>3729</v>
      </c>
    </row>
    <row r="444" spans="2:14" x14ac:dyDescent="0.25">
      <c r="B444" s="134">
        <v>46161</v>
      </c>
      <c r="C444" s="138">
        <v>1</v>
      </c>
      <c r="D444" s="138" t="s">
        <v>173</v>
      </c>
      <c r="E444" s="135" t="s">
        <v>174</v>
      </c>
      <c r="F444" s="135" t="s">
        <v>166</v>
      </c>
      <c r="G444" s="135" t="s">
        <v>111</v>
      </c>
      <c r="H444" s="135">
        <v>79</v>
      </c>
      <c r="I444" s="135" t="s">
        <v>169</v>
      </c>
      <c r="J444" s="135">
        <v>349</v>
      </c>
      <c r="K444" s="140">
        <v>1020.13</v>
      </c>
      <c r="L444" s="135" t="s">
        <v>3318</v>
      </c>
      <c r="M444" s="135" t="str">
        <f t="shared" si="6"/>
        <v>GRANORTEBEIRA RIOPULMÃOZINHO</v>
      </c>
      <c r="N444" s="135" t="s">
        <v>111</v>
      </c>
    </row>
    <row r="445" spans="2:14" x14ac:dyDescent="0.25">
      <c r="B445" s="136">
        <v>46161</v>
      </c>
      <c r="C445" s="139">
        <v>1</v>
      </c>
      <c r="D445" s="139" t="s">
        <v>167</v>
      </c>
      <c r="E445" s="137" t="s">
        <v>168</v>
      </c>
      <c r="F445" s="137" t="s">
        <v>166</v>
      </c>
      <c r="G445" s="137" t="s">
        <v>111</v>
      </c>
      <c r="H445" s="137">
        <v>79</v>
      </c>
      <c r="I445" s="137" t="s">
        <v>169</v>
      </c>
      <c r="J445" s="137">
        <v>250</v>
      </c>
      <c r="K445" s="141">
        <v>730.75</v>
      </c>
      <c r="L445" s="137" t="s">
        <v>3319</v>
      </c>
      <c r="M445" s="135" t="str">
        <f t="shared" si="6"/>
        <v>GRANORTEBEIRA RIOPULMÃOZINHO</v>
      </c>
      <c r="N445" s="137" t="s">
        <v>111</v>
      </c>
    </row>
    <row r="446" spans="2:14" x14ac:dyDescent="0.25">
      <c r="B446" s="134">
        <v>46161</v>
      </c>
      <c r="C446" s="138">
        <v>1</v>
      </c>
      <c r="D446" s="138" t="s">
        <v>196</v>
      </c>
      <c r="E446" s="135" t="s">
        <v>197</v>
      </c>
      <c r="F446" s="135" t="s">
        <v>276</v>
      </c>
      <c r="G446" s="135" t="s">
        <v>2033</v>
      </c>
      <c r="H446" s="135">
        <v>323</v>
      </c>
      <c r="I446" s="135" t="s">
        <v>172</v>
      </c>
      <c r="J446" s="135">
        <v>8132</v>
      </c>
      <c r="K446" s="140">
        <v>8405.24</v>
      </c>
      <c r="L446" s="135" t="s">
        <v>3320</v>
      </c>
      <c r="M446" s="135" t="str">
        <f t="shared" si="6"/>
        <v>MINERADORA PORTO FRANCOVALE KM 386BICA CORRIDA</v>
      </c>
      <c r="N446" s="135" t="s">
        <v>15</v>
      </c>
    </row>
    <row r="447" spans="2:14" x14ac:dyDescent="0.25">
      <c r="B447" s="136">
        <v>46161</v>
      </c>
      <c r="C447" s="139">
        <v>1</v>
      </c>
      <c r="D447" s="139" t="s">
        <v>2866</v>
      </c>
      <c r="E447" s="137" t="s">
        <v>281</v>
      </c>
      <c r="F447" s="137" t="s">
        <v>166</v>
      </c>
      <c r="G447" s="137" t="s">
        <v>164</v>
      </c>
      <c r="H447" s="137">
        <v>58</v>
      </c>
      <c r="I447" s="137" t="s">
        <v>195</v>
      </c>
      <c r="J447" s="137">
        <v>4248</v>
      </c>
      <c r="K447" s="141">
        <v>911.62</v>
      </c>
      <c r="L447" s="137" t="s">
        <v>3321</v>
      </c>
      <c r="M447" s="135" t="str">
        <f t="shared" si="6"/>
        <v>GRANORTEUA SAO LUISBRITA 1</v>
      </c>
      <c r="N447" s="135" t="s">
        <v>224</v>
      </c>
    </row>
    <row r="448" spans="2:14" x14ac:dyDescent="0.25">
      <c r="B448" s="134">
        <v>46161</v>
      </c>
      <c r="C448" s="138">
        <v>1</v>
      </c>
      <c r="D448" s="138" t="s">
        <v>210</v>
      </c>
      <c r="E448" s="135" t="s">
        <v>211</v>
      </c>
      <c r="F448" s="135" t="s">
        <v>2868</v>
      </c>
      <c r="G448" s="135" t="s">
        <v>2871</v>
      </c>
      <c r="H448" s="135">
        <v>70</v>
      </c>
      <c r="I448" s="135" t="s">
        <v>2869</v>
      </c>
      <c r="J448" s="135">
        <v>49033</v>
      </c>
      <c r="K448" s="140">
        <v>1269.95</v>
      </c>
      <c r="L448" s="135" t="s">
        <v>3322</v>
      </c>
      <c r="M448" s="135" t="str">
        <f t="shared" si="6"/>
        <v>FAZENDA PLATAFORMASILO PRODUCERESSOJA</v>
      </c>
      <c r="N448" s="135" t="s">
        <v>3729</v>
      </c>
    </row>
    <row r="449" spans="2:14" x14ac:dyDescent="0.25">
      <c r="B449" s="136">
        <v>46161</v>
      </c>
      <c r="C449" s="139">
        <v>1</v>
      </c>
      <c r="D449" s="139" t="s">
        <v>283</v>
      </c>
      <c r="E449" s="137" t="s">
        <v>282</v>
      </c>
      <c r="F449" s="137" t="s">
        <v>166</v>
      </c>
      <c r="G449" s="137" t="s">
        <v>1178</v>
      </c>
      <c r="H449" s="137">
        <v>51</v>
      </c>
      <c r="I449" s="137" t="s">
        <v>172</v>
      </c>
      <c r="J449" s="137">
        <v>2742</v>
      </c>
      <c r="K449" s="141">
        <v>517.41999999999996</v>
      </c>
      <c r="L449" s="137" t="s">
        <v>3323</v>
      </c>
      <c r="M449" s="135" t="str">
        <f t="shared" si="6"/>
        <v>GRANORTEVETORBICA CORRIDA</v>
      </c>
      <c r="N449" s="137" t="s">
        <v>1178</v>
      </c>
    </row>
    <row r="450" spans="2:14" x14ac:dyDescent="0.25">
      <c r="B450" s="134">
        <v>46161</v>
      </c>
      <c r="C450" s="138">
        <v>1</v>
      </c>
      <c r="D450" s="138" t="s">
        <v>283</v>
      </c>
      <c r="E450" s="135" t="s">
        <v>282</v>
      </c>
      <c r="F450" s="135" t="s">
        <v>166</v>
      </c>
      <c r="G450" s="135" t="s">
        <v>1178</v>
      </c>
      <c r="H450" s="135">
        <v>51</v>
      </c>
      <c r="I450" s="135" t="s">
        <v>169</v>
      </c>
      <c r="J450" s="135">
        <v>2572</v>
      </c>
      <c r="K450" s="140">
        <v>485.34</v>
      </c>
      <c r="L450" s="135" t="s">
        <v>3324</v>
      </c>
      <c r="M450" s="135" t="str">
        <f t="shared" si="6"/>
        <v>GRANORTEVETORPULMÃOZINHO</v>
      </c>
      <c r="N450" s="135" t="s">
        <v>1178</v>
      </c>
    </row>
    <row r="451" spans="2:14" x14ac:dyDescent="0.25">
      <c r="B451" s="136">
        <v>46161</v>
      </c>
      <c r="C451" s="139">
        <v>1</v>
      </c>
      <c r="D451" s="139" t="s">
        <v>342</v>
      </c>
      <c r="E451" s="137" t="s">
        <v>171</v>
      </c>
      <c r="F451" s="137" t="s">
        <v>163</v>
      </c>
      <c r="G451" s="137" t="s">
        <v>164</v>
      </c>
      <c r="H451" s="137">
        <v>52</v>
      </c>
      <c r="I451" s="137" t="s">
        <v>175</v>
      </c>
      <c r="J451" s="137">
        <v>4474</v>
      </c>
      <c r="K451" s="141">
        <v>860.8</v>
      </c>
      <c r="L451" s="137" t="s">
        <v>3325</v>
      </c>
      <c r="M451" s="135" t="str">
        <f t="shared" si="6"/>
        <v>BRASIL MINERACAOUA SAO LUISBRITA 0</v>
      </c>
      <c r="N451" s="135" t="s">
        <v>224</v>
      </c>
    </row>
    <row r="452" spans="2:14" x14ac:dyDescent="0.25">
      <c r="B452" s="134">
        <v>46161</v>
      </c>
      <c r="C452" s="138">
        <v>1</v>
      </c>
      <c r="D452" s="138" t="s">
        <v>2866</v>
      </c>
      <c r="E452" s="135" t="s">
        <v>281</v>
      </c>
      <c r="F452" s="135" t="s">
        <v>166</v>
      </c>
      <c r="G452" s="135" t="s">
        <v>164</v>
      </c>
      <c r="H452" s="135">
        <v>58</v>
      </c>
      <c r="I452" s="135" t="s">
        <v>195</v>
      </c>
      <c r="J452" s="135">
        <v>3856</v>
      </c>
      <c r="K452" s="140">
        <v>827.5</v>
      </c>
      <c r="L452" s="135" t="s">
        <v>3326</v>
      </c>
      <c r="M452" s="135" t="str">
        <f t="shared" si="6"/>
        <v>GRANORTEUA SAO LUISBRITA 1</v>
      </c>
      <c r="N452" s="135" t="s">
        <v>224</v>
      </c>
    </row>
    <row r="453" spans="2:14" x14ac:dyDescent="0.25">
      <c r="B453" s="136">
        <v>46161</v>
      </c>
      <c r="C453" s="139">
        <v>1</v>
      </c>
      <c r="D453" s="139" t="s">
        <v>202</v>
      </c>
      <c r="E453" s="137" t="s">
        <v>214</v>
      </c>
      <c r="F453" s="137" t="s">
        <v>190</v>
      </c>
      <c r="G453" s="137" t="s">
        <v>212</v>
      </c>
      <c r="H453" s="137">
        <v>376</v>
      </c>
      <c r="I453" s="137" t="s">
        <v>165</v>
      </c>
      <c r="J453" s="137">
        <v>6536</v>
      </c>
      <c r="K453" s="141">
        <v>7864.12</v>
      </c>
      <c r="L453" s="137" t="s">
        <v>3327</v>
      </c>
      <c r="M453" s="135" t="str">
        <f t="shared" ref="M453:M516" si="7">CONCATENATE(F453&amp;G453&amp;I453)</f>
        <v>SERVENGUSINA PINHEIROPÓ DE BRITA</v>
      </c>
      <c r="N453" s="137" t="s">
        <v>161</v>
      </c>
    </row>
    <row r="454" spans="2:14" x14ac:dyDescent="0.25">
      <c r="B454" s="134">
        <v>46161</v>
      </c>
      <c r="C454" s="138">
        <v>1</v>
      </c>
      <c r="D454" s="138" t="s">
        <v>1129</v>
      </c>
      <c r="E454" s="135" t="s">
        <v>2396</v>
      </c>
      <c r="F454" s="135" t="s">
        <v>163</v>
      </c>
      <c r="G454" s="135" t="s">
        <v>111</v>
      </c>
      <c r="H454" s="135">
        <v>75</v>
      </c>
      <c r="I454" s="135" t="s">
        <v>185</v>
      </c>
      <c r="J454" s="135">
        <v>2738</v>
      </c>
      <c r="K454" s="140">
        <v>759.8</v>
      </c>
      <c r="L454" s="135" t="s">
        <v>3328</v>
      </c>
      <c r="M454" s="135" t="str">
        <f t="shared" si="7"/>
        <v>BRASIL MINERACAOBEIRA RIORACHÃOZINHO</v>
      </c>
      <c r="N454" s="135" t="s">
        <v>111</v>
      </c>
    </row>
    <row r="455" spans="2:14" x14ac:dyDescent="0.25">
      <c r="B455" s="136">
        <v>46161</v>
      </c>
      <c r="C455" s="139">
        <v>1</v>
      </c>
      <c r="D455" s="139" t="s">
        <v>188</v>
      </c>
      <c r="E455" s="137" t="s">
        <v>189</v>
      </c>
      <c r="F455" s="137" t="s">
        <v>276</v>
      </c>
      <c r="G455" s="137" t="s">
        <v>2033</v>
      </c>
      <c r="H455" s="137">
        <v>323</v>
      </c>
      <c r="I455" s="137" t="s">
        <v>172</v>
      </c>
      <c r="J455" s="137">
        <v>8044</v>
      </c>
      <c r="K455" s="141">
        <v>8314.2800000000007</v>
      </c>
      <c r="L455" s="137" t="s">
        <v>3329</v>
      </c>
      <c r="M455" s="135" t="str">
        <f t="shared" si="7"/>
        <v>MINERADORA PORTO FRANCOVALE KM 386BICA CORRIDA</v>
      </c>
      <c r="N455" s="135" t="s">
        <v>15</v>
      </c>
    </row>
    <row r="456" spans="2:14" x14ac:dyDescent="0.25">
      <c r="B456" s="134">
        <v>46161</v>
      </c>
      <c r="C456" s="138">
        <v>1</v>
      </c>
      <c r="D456" s="138" t="s">
        <v>183</v>
      </c>
      <c r="E456" s="135" t="s">
        <v>184</v>
      </c>
      <c r="F456" s="135" t="s">
        <v>166</v>
      </c>
      <c r="G456" s="135" t="s">
        <v>111</v>
      </c>
      <c r="H456" s="135">
        <v>79</v>
      </c>
      <c r="I456" s="135" t="s">
        <v>169</v>
      </c>
      <c r="J456" s="135">
        <v>276</v>
      </c>
      <c r="K456" s="140">
        <v>806.75</v>
      </c>
      <c r="L456" s="135" t="s">
        <v>3330</v>
      </c>
      <c r="M456" s="135" t="str">
        <f t="shared" si="7"/>
        <v>GRANORTEBEIRA RIOPULMÃOZINHO</v>
      </c>
      <c r="N456" s="135" t="s">
        <v>111</v>
      </c>
    </row>
    <row r="457" spans="2:14" x14ac:dyDescent="0.25">
      <c r="B457" s="136">
        <v>46161</v>
      </c>
      <c r="C457" s="139">
        <v>1</v>
      </c>
      <c r="D457" s="139" t="s">
        <v>183</v>
      </c>
      <c r="E457" s="137" t="s">
        <v>184</v>
      </c>
      <c r="F457" s="137" t="s">
        <v>166</v>
      </c>
      <c r="G457" s="137" t="s">
        <v>111</v>
      </c>
      <c r="H457" s="137">
        <v>79</v>
      </c>
      <c r="I457" s="137" t="s">
        <v>169</v>
      </c>
      <c r="J457" s="137">
        <v>266</v>
      </c>
      <c r="K457" s="141">
        <v>777.52</v>
      </c>
      <c r="L457" s="137" t="s">
        <v>3331</v>
      </c>
      <c r="M457" s="135" t="str">
        <f t="shared" si="7"/>
        <v>GRANORTEBEIRA RIOPULMÃOZINHO</v>
      </c>
      <c r="N457" s="137" t="s">
        <v>111</v>
      </c>
    </row>
    <row r="458" spans="2:14" x14ac:dyDescent="0.25">
      <c r="B458" s="134">
        <v>46161</v>
      </c>
      <c r="C458" s="138">
        <v>1</v>
      </c>
      <c r="D458" s="138" t="s">
        <v>300</v>
      </c>
      <c r="E458" s="135" t="s">
        <v>1536</v>
      </c>
      <c r="F458" s="135" t="s">
        <v>2757</v>
      </c>
      <c r="G458" s="135" t="s">
        <v>2867</v>
      </c>
      <c r="H458" s="135">
        <v>383</v>
      </c>
      <c r="I458" s="135" t="s">
        <v>279</v>
      </c>
      <c r="J458" s="135">
        <v>5728</v>
      </c>
      <c r="K458" s="140">
        <v>7020.24</v>
      </c>
      <c r="L458" s="135" t="s">
        <v>3332</v>
      </c>
      <c r="M458" s="135" t="str">
        <f t="shared" si="7"/>
        <v>MINERADORA PORTO FRANCO MAVALE KM324MATACO</v>
      </c>
      <c r="N458" s="135" t="s">
        <v>15</v>
      </c>
    </row>
    <row r="459" spans="2:14" x14ac:dyDescent="0.25">
      <c r="B459" s="136">
        <v>46161</v>
      </c>
      <c r="C459" s="139">
        <v>1</v>
      </c>
      <c r="D459" s="139" t="s">
        <v>219</v>
      </c>
      <c r="E459" s="137" t="s">
        <v>220</v>
      </c>
      <c r="F459" s="137" t="s">
        <v>163</v>
      </c>
      <c r="G459" s="137" t="s">
        <v>164</v>
      </c>
      <c r="H459" s="137">
        <v>52</v>
      </c>
      <c r="I459" s="137" t="s">
        <v>165</v>
      </c>
      <c r="J459" s="137">
        <v>523</v>
      </c>
      <c r="K459" s="141">
        <v>1006.25</v>
      </c>
      <c r="L459" s="137" t="s">
        <v>3333</v>
      </c>
      <c r="M459" s="135" t="str">
        <f t="shared" si="7"/>
        <v>BRASIL MINERACAOUA SAO LUISPÓ DE BRITA</v>
      </c>
      <c r="N459" s="135" t="s">
        <v>224</v>
      </c>
    </row>
    <row r="460" spans="2:14" x14ac:dyDescent="0.25">
      <c r="B460" s="134">
        <v>46161</v>
      </c>
      <c r="C460" s="138">
        <v>1</v>
      </c>
      <c r="D460" s="138" t="s">
        <v>219</v>
      </c>
      <c r="E460" s="135" t="s">
        <v>220</v>
      </c>
      <c r="F460" s="135" t="s">
        <v>163</v>
      </c>
      <c r="G460" s="135" t="s">
        <v>164</v>
      </c>
      <c r="H460" s="135">
        <v>52</v>
      </c>
      <c r="I460" s="135" t="s">
        <v>165</v>
      </c>
      <c r="J460" s="135">
        <v>541</v>
      </c>
      <c r="K460" s="140">
        <v>1040.8800000000001</v>
      </c>
      <c r="L460" s="135" t="s">
        <v>3334</v>
      </c>
      <c r="M460" s="135" t="str">
        <f t="shared" si="7"/>
        <v>BRASIL MINERACAOUA SAO LUISPÓ DE BRITA</v>
      </c>
      <c r="N460" s="135" t="s">
        <v>224</v>
      </c>
    </row>
    <row r="461" spans="2:14" x14ac:dyDescent="0.25">
      <c r="B461" s="136">
        <v>46161</v>
      </c>
      <c r="C461" s="139">
        <v>1</v>
      </c>
      <c r="D461" s="139" t="s">
        <v>219</v>
      </c>
      <c r="E461" s="137" t="s">
        <v>220</v>
      </c>
      <c r="F461" s="137" t="s">
        <v>163</v>
      </c>
      <c r="G461" s="137" t="s">
        <v>164</v>
      </c>
      <c r="H461" s="137">
        <v>52</v>
      </c>
      <c r="I461" s="137" t="s">
        <v>165</v>
      </c>
      <c r="J461" s="137">
        <v>529</v>
      </c>
      <c r="K461" s="141">
        <v>1017.8</v>
      </c>
      <c r="L461" s="137" t="s">
        <v>3335</v>
      </c>
      <c r="M461" s="135" t="str">
        <f t="shared" si="7"/>
        <v>BRASIL MINERACAOUA SAO LUISPÓ DE BRITA</v>
      </c>
      <c r="N461" s="135" t="s">
        <v>224</v>
      </c>
    </row>
    <row r="462" spans="2:14" x14ac:dyDescent="0.25">
      <c r="B462" s="134">
        <v>46161</v>
      </c>
      <c r="C462" s="138">
        <v>1</v>
      </c>
      <c r="D462" s="138" t="s">
        <v>193</v>
      </c>
      <c r="E462" s="135" t="s">
        <v>285</v>
      </c>
      <c r="F462" s="135" t="s">
        <v>166</v>
      </c>
      <c r="G462" s="135" t="s">
        <v>111</v>
      </c>
      <c r="H462" s="135">
        <v>79</v>
      </c>
      <c r="I462" s="135" t="s">
        <v>169</v>
      </c>
      <c r="J462" s="135">
        <v>27766</v>
      </c>
      <c r="K462" s="140">
        <v>811.6</v>
      </c>
      <c r="L462" s="135" t="s">
        <v>3336</v>
      </c>
      <c r="M462" s="135" t="str">
        <f t="shared" si="7"/>
        <v>GRANORTEBEIRA RIOPULMÃOZINHO</v>
      </c>
      <c r="N462" s="135" t="s">
        <v>111</v>
      </c>
    </row>
    <row r="463" spans="2:14" x14ac:dyDescent="0.25">
      <c r="B463" s="136">
        <v>46161</v>
      </c>
      <c r="C463" s="139">
        <v>1</v>
      </c>
      <c r="D463" s="139" t="s">
        <v>270</v>
      </c>
      <c r="E463" s="137" t="s">
        <v>288</v>
      </c>
      <c r="F463" s="137" t="s">
        <v>190</v>
      </c>
      <c r="G463" s="137" t="s">
        <v>212</v>
      </c>
      <c r="H463" s="137">
        <v>376</v>
      </c>
      <c r="I463" s="137" t="s">
        <v>165</v>
      </c>
      <c r="J463" s="137">
        <v>519</v>
      </c>
      <c r="K463" s="141">
        <v>6244.61</v>
      </c>
      <c r="L463" s="137" t="s">
        <v>3337</v>
      </c>
      <c r="M463" s="135" t="str">
        <f t="shared" si="7"/>
        <v>SERVENGUSINA PINHEIROPÓ DE BRITA</v>
      </c>
      <c r="N463" s="137" t="s">
        <v>161</v>
      </c>
    </row>
    <row r="464" spans="2:14" x14ac:dyDescent="0.25">
      <c r="B464" s="134">
        <v>46161</v>
      </c>
      <c r="C464" s="138">
        <v>1</v>
      </c>
      <c r="D464" s="138" t="s">
        <v>179</v>
      </c>
      <c r="E464" s="135" t="s">
        <v>2863</v>
      </c>
      <c r="F464" s="135" t="s">
        <v>166</v>
      </c>
      <c r="G464" s="135" t="s">
        <v>111</v>
      </c>
      <c r="H464" s="135">
        <v>79</v>
      </c>
      <c r="I464" s="135" t="s">
        <v>169</v>
      </c>
      <c r="J464" s="135">
        <v>260</v>
      </c>
      <c r="K464" s="140">
        <v>759.98</v>
      </c>
      <c r="L464" s="135" t="s">
        <v>3338</v>
      </c>
      <c r="M464" s="135" t="str">
        <f t="shared" si="7"/>
        <v>GRANORTEBEIRA RIOPULMÃOZINHO</v>
      </c>
      <c r="N464" s="135" t="s">
        <v>111</v>
      </c>
    </row>
    <row r="465" spans="2:14" x14ac:dyDescent="0.25">
      <c r="B465" s="136">
        <v>46161</v>
      </c>
      <c r="C465" s="139">
        <v>1</v>
      </c>
      <c r="D465" s="139" t="s">
        <v>179</v>
      </c>
      <c r="E465" s="137" t="s">
        <v>2863</v>
      </c>
      <c r="F465" s="137" t="s">
        <v>166</v>
      </c>
      <c r="G465" s="137" t="s">
        <v>111</v>
      </c>
      <c r="H465" s="137">
        <v>79</v>
      </c>
      <c r="I465" s="137" t="s">
        <v>169</v>
      </c>
      <c r="J465" s="137">
        <v>2692</v>
      </c>
      <c r="K465" s="141">
        <v>786.87</v>
      </c>
      <c r="L465" s="137" t="s">
        <v>3339</v>
      </c>
      <c r="M465" s="135" t="str">
        <f t="shared" si="7"/>
        <v>GRANORTEBEIRA RIOPULMÃOZINHO</v>
      </c>
      <c r="N465" s="137" t="s">
        <v>111</v>
      </c>
    </row>
    <row r="466" spans="2:14" x14ac:dyDescent="0.25">
      <c r="B466" s="134">
        <v>46161</v>
      </c>
      <c r="C466" s="138">
        <v>1</v>
      </c>
      <c r="D466" s="138" t="s">
        <v>1948</v>
      </c>
      <c r="E466" s="135" t="s">
        <v>1949</v>
      </c>
      <c r="F466" s="135" t="s">
        <v>2868</v>
      </c>
      <c r="G466" s="135" t="s">
        <v>2871</v>
      </c>
      <c r="H466" s="135">
        <v>70</v>
      </c>
      <c r="I466" s="135" t="s">
        <v>2869</v>
      </c>
      <c r="J466" s="135">
        <v>520</v>
      </c>
      <c r="K466" s="140">
        <v>1346.8</v>
      </c>
      <c r="L466" s="135" t="s">
        <v>3340</v>
      </c>
      <c r="M466" s="135" t="str">
        <f t="shared" si="7"/>
        <v>FAZENDA PLATAFORMASILO PRODUCERESSOJA</v>
      </c>
      <c r="N466" s="135" t="s">
        <v>3729</v>
      </c>
    </row>
    <row r="467" spans="2:14" x14ac:dyDescent="0.25">
      <c r="B467" s="136">
        <v>46161</v>
      </c>
      <c r="C467" s="139">
        <v>1</v>
      </c>
      <c r="D467" s="139" t="s">
        <v>286</v>
      </c>
      <c r="E467" s="137" t="s">
        <v>506</v>
      </c>
      <c r="F467" s="137" t="s">
        <v>190</v>
      </c>
      <c r="G467" s="137" t="s">
        <v>198</v>
      </c>
      <c r="H467" s="137">
        <v>70</v>
      </c>
      <c r="I467" s="137" t="s">
        <v>165</v>
      </c>
      <c r="J467" s="137">
        <v>481</v>
      </c>
      <c r="K467" s="141">
        <v>1245.79</v>
      </c>
      <c r="L467" s="137" t="s">
        <v>3341</v>
      </c>
      <c r="M467" s="135" t="str">
        <f t="shared" si="7"/>
        <v>SERVENGUSINA SAO LUISPÓ DE BRITA</v>
      </c>
      <c r="N467" s="135" t="s">
        <v>224</v>
      </c>
    </row>
    <row r="468" spans="2:14" x14ac:dyDescent="0.25">
      <c r="B468" s="134">
        <v>46161</v>
      </c>
      <c r="C468" s="138">
        <v>1</v>
      </c>
      <c r="D468" s="138" t="s">
        <v>286</v>
      </c>
      <c r="E468" s="135" t="s">
        <v>506</v>
      </c>
      <c r="F468" s="135" t="s">
        <v>163</v>
      </c>
      <c r="G468" s="135" t="s">
        <v>164</v>
      </c>
      <c r="H468" s="135">
        <v>52</v>
      </c>
      <c r="I468" s="135" t="s">
        <v>175</v>
      </c>
      <c r="J468" s="135">
        <v>4468</v>
      </c>
      <c r="K468" s="140">
        <v>859.64</v>
      </c>
      <c r="L468" s="135" t="s">
        <v>3342</v>
      </c>
      <c r="M468" s="135" t="str">
        <f t="shared" si="7"/>
        <v>BRASIL MINERACAOUA SAO LUISBRITA 0</v>
      </c>
      <c r="N468" s="135" t="s">
        <v>224</v>
      </c>
    </row>
    <row r="469" spans="2:14" x14ac:dyDescent="0.25">
      <c r="B469" s="136">
        <v>46161</v>
      </c>
      <c r="C469" s="139">
        <v>1</v>
      </c>
      <c r="D469" s="139" t="s">
        <v>192</v>
      </c>
      <c r="E469" s="137" t="s">
        <v>287</v>
      </c>
      <c r="F469" s="137" t="s">
        <v>2868</v>
      </c>
      <c r="G469" s="137" t="s">
        <v>2871</v>
      </c>
      <c r="H469" s="137">
        <v>70</v>
      </c>
      <c r="I469" s="137" t="s">
        <v>2869</v>
      </c>
      <c r="J469" s="137">
        <v>5148</v>
      </c>
      <c r="K469" s="141">
        <v>1333.33</v>
      </c>
      <c r="L469" s="137" t="s">
        <v>3343</v>
      </c>
      <c r="M469" s="135" t="str">
        <f t="shared" si="7"/>
        <v>FAZENDA PLATAFORMASILO PRODUCERESSOJA</v>
      </c>
      <c r="N469" s="135" t="s">
        <v>3729</v>
      </c>
    </row>
    <row r="470" spans="2:14" x14ac:dyDescent="0.25">
      <c r="B470" s="134">
        <v>46161</v>
      </c>
      <c r="C470" s="138">
        <v>1</v>
      </c>
      <c r="D470" s="138" t="s">
        <v>192</v>
      </c>
      <c r="E470" s="135" t="s">
        <v>287</v>
      </c>
      <c r="F470" s="135" t="s">
        <v>2868</v>
      </c>
      <c r="G470" s="135" t="s">
        <v>2871</v>
      </c>
      <c r="H470" s="135">
        <v>70</v>
      </c>
      <c r="I470" s="135" t="s">
        <v>2869</v>
      </c>
      <c r="J470" s="135">
        <v>51301</v>
      </c>
      <c r="K470" s="140">
        <v>1328.7</v>
      </c>
      <c r="L470" s="135" t="s">
        <v>3344</v>
      </c>
      <c r="M470" s="135" t="str">
        <f t="shared" si="7"/>
        <v>FAZENDA PLATAFORMASILO PRODUCERESSOJA</v>
      </c>
      <c r="N470" s="135" t="s">
        <v>3729</v>
      </c>
    </row>
    <row r="471" spans="2:14" x14ac:dyDescent="0.25">
      <c r="B471" s="136">
        <v>46161</v>
      </c>
      <c r="C471" s="139">
        <v>1</v>
      </c>
      <c r="D471" s="139" t="s">
        <v>173</v>
      </c>
      <c r="E471" s="137" t="s">
        <v>174</v>
      </c>
      <c r="F471" s="137" t="s">
        <v>166</v>
      </c>
      <c r="G471" s="137" t="s">
        <v>111</v>
      </c>
      <c r="H471" s="137">
        <v>79</v>
      </c>
      <c r="I471" s="137" t="s">
        <v>169</v>
      </c>
      <c r="J471" s="137">
        <v>259</v>
      </c>
      <c r="K471" s="141">
        <v>757.06</v>
      </c>
      <c r="L471" s="137" t="s">
        <v>3345</v>
      </c>
      <c r="M471" s="135" t="str">
        <f t="shared" si="7"/>
        <v>GRANORTEBEIRA RIOPULMÃOZINHO</v>
      </c>
      <c r="N471" s="137" t="s">
        <v>111</v>
      </c>
    </row>
    <row r="472" spans="2:14" x14ac:dyDescent="0.25">
      <c r="B472" s="134">
        <v>46161</v>
      </c>
      <c r="C472" s="138">
        <v>1</v>
      </c>
      <c r="D472" s="138" t="s">
        <v>167</v>
      </c>
      <c r="E472" s="135" t="s">
        <v>168</v>
      </c>
      <c r="F472" s="135" t="s">
        <v>166</v>
      </c>
      <c r="G472" s="135" t="s">
        <v>164</v>
      </c>
      <c r="H472" s="135">
        <v>58</v>
      </c>
      <c r="I472" s="135" t="s">
        <v>195</v>
      </c>
      <c r="J472" s="135">
        <v>2616</v>
      </c>
      <c r="K472" s="140">
        <v>561.39</v>
      </c>
      <c r="L472" s="135" t="s">
        <v>3346</v>
      </c>
      <c r="M472" s="135" t="str">
        <f t="shared" si="7"/>
        <v>GRANORTEUA SAO LUISBRITA 1</v>
      </c>
      <c r="N472" s="135" t="s">
        <v>224</v>
      </c>
    </row>
    <row r="473" spans="2:14" x14ac:dyDescent="0.25">
      <c r="B473" s="136">
        <v>46162</v>
      </c>
      <c r="C473" s="139">
        <v>1</v>
      </c>
      <c r="D473" s="139" t="s">
        <v>283</v>
      </c>
      <c r="E473" s="137" t="s">
        <v>282</v>
      </c>
      <c r="F473" s="137" t="s">
        <v>166</v>
      </c>
      <c r="G473" s="137" t="s">
        <v>1178</v>
      </c>
      <c r="H473" s="137">
        <v>51</v>
      </c>
      <c r="I473" s="137" t="s">
        <v>172</v>
      </c>
      <c r="J473" s="137">
        <v>2524</v>
      </c>
      <c r="K473" s="141">
        <v>476.28</v>
      </c>
      <c r="L473" s="137" t="s">
        <v>3347</v>
      </c>
      <c r="M473" s="135" t="str">
        <f t="shared" si="7"/>
        <v>GRANORTEVETORBICA CORRIDA</v>
      </c>
      <c r="N473" s="137" t="s">
        <v>1178</v>
      </c>
    </row>
    <row r="474" spans="2:14" x14ac:dyDescent="0.25">
      <c r="B474" s="134">
        <v>46162</v>
      </c>
      <c r="C474" s="138">
        <v>1</v>
      </c>
      <c r="D474" s="138" t="s">
        <v>283</v>
      </c>
      <c r="E474" s="135" t="s">
        <v>282</v>
      </c>
      <c r="F474" s="135" t="s">
        <v>166</v>
      </c>
      <c r="G474" s="135" t="s">
        <v>1178</v>
      </c>
      <c r="H474" s="135">
        <v>51</v>
      </c>
      <c r="I474" s="135" t="s">
        <v>292</v>
      </c>
      <c r="J474" s="135">
        <v>2622</v>
      </c>
      <c r="K474" s="140">
        <v>494.77</v>
      </c>
      <c r="L474" s="135" t="s">
        <v>3348</v>
      </c>
      <c r="M474" s="135" t="str">
        <f t="shared" si="7"/>
        <v>GRANORTEVETORPEDRA PULMÃO</v>
      </c>
      <c r="N474" s="135" t="s">
        <v>1178</v>
      </c>
    </row>
    <row r="475" spans="2:14" x14ac:dyDescent="0.25">
      <c r="B475" s="136">
        <v>46162</v>
      </c>
      <c r="C475" s="139">
        <v>1</v>
      </c>
      <c r="D475" s="139" t="s">
        <v>167</v>
      </c>
      <c r="E475" s="137" t="s">
        <v>168</v>
      </c>
      <c r="F475" s="137" t="s">
        <v>166</v>
      </c>
      <c r="G475" s="137" t="s">
        <v>111</v>
      </c>
      <c r="H475" s="137">
        <v>79</v>
      </c>
      <c r="I475" s="137" t="s">
        <v>169</v>
      </c>
      <c r="J475" s="137">
        <v>2514</v>
      </c>
      <c r="K475" s="141">
        <v>734.84</v>
      </c>
      <c r="L475" s="137" t="s">
        <v>3349</v>
      </c>
      <c r="M475" s="135" t="str">
        <f t="shared" si="7"/>
        <v>GRANORTEBEIRA RIOPULMÃOZINHO</v>
      </c>
      <c r="N475" s="137" t="s">
        <v>111</v>
      </c>
    </row>
    <row r="476" spans="2:14" x14ac:dyDescent="0.25">
      <c r="B476" s="134">
        <v>46162</v>
      </c>
      <c r="C476" s="138">
        <v>1</v>
      </c>
      <c r="D476" s="138" t="s">
        <v>203</v>
      </c>
      <c r="E476" s="135" t="s">
        <v>204</v>
      </c>
      <c r="F476" s="135" t="s">
        <v>2868</v>
      </c>
      <c r="G476" s="135" t="s">
        <v>2871</v>
      </c>
      <c r="H476" s="135">
        <v>70</v>
      </c>
      <c r="I476" s="135" t="s">
        <v>2869</v>
      </c>
      <c r="J476" s="135">
        <v>53404</v>
      </c>
      <c r="K476" s="140">
        <v>1383.16</v>
      </c>
      <c r="L476" s="135" t="s">
        <v>3350</v>
      </c>
      <c r="M476" s="135" t="str">
        <f t="shared" si="7"/>
        <v>FAZENDA PLATAFORMASILO PRODUCERESSOJA</v>
      </c>
      <c r="N476" s="135" t="s">
        <v>3729</v>
      </c>
    </row>
    <row r="477" spans="2:14" x14ac:dyDescent="0.25">
      <c r="B477" s="136">
        <v>46162</v>
      </c>
      <c r="C477" s="139">
        <v>1</v>
      </c>
      <c r="D477" s="139" t="s">
        <v>2866</v>
      </c>
      <c r="E477" s="137" t="s">
        <v>281</v>
      </c>
      <c r="F477" s="137" t="s">
        <v>166</v>
      </c>
      <c r="G477" s="137" t="s">
        <v>164</v>
      </c>
      <c r="H477" s="137">
        <v>58</v>
      </c>
      <c r="I477" s="137" t="s">
        <v>195</v>
      </c>
      <c r="J477" s="137">
        <v>4148</v>
      </c>
      <c r="K477" s="141">
        <v>890.16</v>
      </c>
      <c r="L477" s="137" t="s">
        <v>3351</v>
      </c>
      <c r="M477" s="135" t="str">
        <f t="shared" si="7"/>
        <v>GRANORTEUA SAO LUISBRITA 1</v>
      </c>
      <c r="N477" s="135" t="s">
        <v>224</v>
      </c>
    </row>
    <row r="478" spans="2:14" x14ac:dyDescent="0.25">
      <c r="B478" s="134">
        <v>46162</v>
      </c>
      <c r="C478" s="138">
        <v>1</v>
      </c>
      <c r="D478" s="138" t="s">
        <v>283</v>
      </c>
      <c r="E478" s="135" t="s">
        <v>282</v>
      </c>
      <c r="F478" s="135" t="s">
        <v>166</v>
      </c>
      <c r="G478" s="135" t="s">
        <v>1178</v>
      </c>
      <c r="H478" s="135">
        <v>51</v>
      </c>
      <c r="I478" s="135" t="s">
        <v>292</v>
      </c>
      <c r="J478" s="135">
        <v>2646</v>
      </c>
      <c r="K478" s="140">
        <v>499.3</v>
      </c>
      <c r="L478" s="135" t="s">
        <v>3352</v>
      </c>
      <c r="M478" s="135" t="str">
        <f t="shared" si="7"/>
        <v>GRANORTEVETORPEDRA PULMÃO</v>
      </c>
      <c r="N478" s="135" t="s">
        <v>1178</v>
      </c>
    </row>
    <row r="479" spans="2:14" x14ac:dyDescent="0.25">
      <c r="B479" s="136">
        <v>46162</v>
      </c>
      <c r="C479" s="139">
        <v>1</v>
      </c>
      <c r="D479" s="139" t="s">
        <v>167</v>
      </c>
      <c r="E479" s="137" t="s">
        <v>168</v>
      </c>
      <c r="F479" s="137" t="s">
        <v>166</v>
      </c>
      <c r="G479" s="137" t="s">
        <v>111</v>
      </c>
      <c r="H479" s="137">
        <v>79</v>
      </c>
      <c r="I479" s="137" t="s">
        <v>169</v>
      </c>
      <c r="J479" s="137">
        <v>259</v>
      </c>
      <c r="K479" s="141">
        <v>757.06</v>
      </c>
      <c r="L479" s="137" t="s">
        <v>3353</v>
      </c>
      <c r="M479" s="135" t="str">
        <f t="shared" si="7"/>
        <v>GRANORTEBEIRA RIOPULMÃOZINHO</v>
      </c>
      <c r="N479" s="137" t="s">
        <v>111</v>
      </c>
    </row>
    <row r="480" spans="2:14" x14ac:dyDescent="0.25">
      <c r="B480" s="134">
        <v>46162</v>
      </c>
      <c r="C480" s="138">
        <v>1</v>
      </c>
      <c r="D480" s="138" t="s">
        <v>342</v>
      </c>
      <c r="E480" s="135" t="s">
        <v>171</v>
      </c>
      <c r="F480" s="135" t="s">
        <v>163</v>
      </c>
      <c r="G480" s="135" t="s">
        <v>164</v>
      </c>
      <c r="H480" s="135">
        <v>52</v>
      </c>
      <c r="I480" s="135" t="s">
        <v>165</v>
      </c>
      <c r="J480" s="135">
        <v>4424</v>
      </c>
      <c r="K480" s="140">
        <v>851.18</v>
      </c>
      <c r="L480" s="135" t="s">
        <v>3354</v>
      </c>
      <c r="M480" s="135" t="str">
        <f t="shared" si="7"/>
        <v>BRASIL MINERACAOUA SAO LUISPÓ DE BRITA</v>
      </c>
      <c r="N480" s="135" t="s">
        <v>224</v>
      </c>
    </row>
    <row r="481" spans="2:14" x14ac:dyDescent="0.25">
      <c r="B481" s="136">
        <v>46162</v>
      </c>
      <c r="C481" s="139">
        <v>1</v>
      </c>
      <c r="D481" s="139" t="s">
        <v>342</v>
      </c>
      <c r="E481" s="137" t="s">
        <v>171</v>
      </c>
      <c r="F481" s="137" t="s">
        <v>163</v>
      </c>
      <c r="G481" s="137" t="s">
        <v>164</v>
      </c>
      <c r="H481" s="137">
        <v>52</v>
      </c>
      <c r="I481" s="137" t="s">
        <v>165</v>
      </c>
      <c r="J481" s="137">
        <v>453</v>
      </c>
      <c r="K481" s="141">
        <v>871.57</v>
      </c>
      <c r="L481" s="137" t="s">
        <v>3355</v>
      </c>
      <c r="M481" s="135" t="str">
        <f t="shared" si="7"/>
        <v>BRASIL MINERACAOUA SAO LUISPÓ DE BRITA</v>
      </c>
      <c r="N481" s="135" t="s">
        <v>224</v>
      </c>
    </row>
    <row r="482" spans="2:14" x14ac:dyDescent="0.25">
      <c r="B482" s="134">
        <v>46162</v>
      </c>
      <c r="C482" s="138">
        <v>1</v>
      </c>
      <c r="D482" s="138" t="s">
        <v>176</v>
      </c>
      <c r="E482" s="135" t="s">
        <v>177</v>
      </c>
      <c r="F482" s="135" t="s">
        <v>2868</v>
      </c>
      <c r="G482" s="135" t="s">
        <v>2871</v>
      </c>
      <c r="H482" s="135">
        <v>70</v>
      </c>
      <c r="I482" s="135" t="s">
        <v>2869</v>
      </c>
      <c r="J482" s="135">
        <v>5054</v>
      </c>
      <c r="K482" s="140">
        <v>1308.99</v>
      </c>
      <c r="L482" s="135" t="s">
        <v>3356</v>
      </c>
      <c r="M482" s="135" t="str">
        <f t="shared" si="7"/>
        <v>FAZENDA PLATAFORMASILO PRODUCERESSOJA</v>
      </c>
      <c r="N482" s="135" t="s">
        <v>3729</v>
      </c>
    </row>
    <row r="483" spans="2:14" x14ac:dyDescent="0.25">
      <c r="B483" s="136">
        <v>46162</v>
      </c>
      <c r="C483" s="139">
        <v>1</v>
      </c>
      <c r="D483" s="139" t="s">
        <v>283</v>
      </c>
      <c r="E483" s="137" t="s">
        <v>282</v>
      </c>
      <c r="F483" s="137" t="s">
        <v>166</v>
      </c>
      <c r="G483" s="137" t="s">
        <v>1178</v>
      </c>
      <c r="H483" s="137">
        <v>51</v>
      </c>
      <c r="I483" s="137" t="s">
        <v>292</v>
      </c>
      <c r="J483" s="137">
        <v>2614</v>
      </c>
      <c r="K483" s="141">
        <v>493.26</v>
      </c>
      <c r="L483" s="137" t="s">
        <v>3357</v>
      </c>
      <c r="M483" s="135" t="str">
        <f t="shared" si="7"/>
        <v>GRANORTEVETORPEDRA PULMÃO</v>
      </c>
      <c r="N483" s="137" t="s">
        <v>1178</v>
      </c>
    </row>
    <row r="484" spans="2:14" x14ac:dyDescent="0.25">
      <c r="B484" s="134">
        <v>46162</v>
      </c>
      <c r="C484" s="138">
        <v>1</v>
      </c>
      <c r="D484" s="138" t="s">
        <v>210</v>
      </c>
      <c r="E484" s="135" t="s">
        <v>211</v>
      </c>
      <c r="F484" s="135" t="s">
        <v>2868</v>
      </c>
      <c r="G484" s="135" t="s">
        <v>2871</v>
      </c>
      <c r="H484" s="135">
        <v>70</v>
      </c>
      <c r="I484" s="135" t="s">
        <v>2869</v>
      </c>
      <c r="J484" s="135">
        <v>52687</v>
      </c>
      <c r="K484" s="140">
        <v>1364.59</v>
      </c>
      <c r="L484" s="135" t="s">
        <v>3358</v>
      </c>
      <c r="M484" s="135" t="str">
        <f t="shared" si="7"/>
        <v>FAZENDA PLATAFORMASILO PRODUCERESSOJA</v>
      </c>
      <c r="N484" s="135" t="s">
        <v>3729</v>
      </c>
    </row>
    <row r="485" spans="2:14" x14ac:dyDescent="0.25">
      <c r="B485" s="136">
        <v>46162</v>
      </c>
      <c r="C485" s="139">
        <v>1</v>
      </c>
      <c r="D485" s="139" t="s">
        <v>286</v>
      </c>
      <c r="E485" s="137" t="s">
        <v>506</v>
      </c>
      <c r="F485" s="137" t="s">
        <v>163</v>
      </c>
      <c r="G485" s="137" t="s">
        <v>164</v>
      </c>
      <c r="H485" s="137">
        <v>52</v>
      </c>
      <c r="I485" s="137" t="s">
        <v>165</v>
      </c>
      <c r="J485" s="137">
        <v>4466</v>
      </c>
      <c r="K485" s="141">
        <v>859.26</v>
      </c>
      <c r="L485" s="137" t="s">
        <v>3359</v>
      </c>
      <c r="M485" s="135" t="str">
        <f t="shared" si="7"/>
        <v>BRASIL MINERACAOUA SAO LUISPÓ DE BRITA</v>
      </c>
      <c r="N485" s="135" t="s">
        <v>224</v>
      </c>
    </row>
    <row r="486" spans="2:14" x14ac:dyDescent="0.25">
      <c r="B486" s="134">
        <v>46162</v>
      </c>
      <c r="C486" s="138">
        <v>1</v>
      </c>
      <c r="D486" s="138" t="s">
        <v>286</v>
      </c>
      <c r="E486" s="135" t="s">
        <v>506</v>
      </c>
      <c r="F486" s="135" t="s">
        <v>163</v>
      </c>
      <c r="G486" s="135" t="s">
        <v>164</v>
      </c>
      <c r="H486" s="135">
        <v>52</v>
      </c>
      <c r="I486" s="135" t="s">
        <v>165</v>
      </c>
      <c r="J486" s="135">
        <v>447</v>
      </c>
      <c r="K486" s="140">
        <v>860.03</v>
      </c>
      <c r="L486" s="135" t="s">
        <v>3360</v>
      </c>
      <c r="M486" s="135" t="str">
        <f t="shared" si="7"/>
        <v>BRASIL MINERACAOUA SAO LUISPÓ DE BRITA</v>
      </c>
      <c r="N486" s="135" t="s">
        <v>224</v>
      </c>
    </row>
    <row r="487" spans="2:14" x14ac:dyDescent="0.25">
      <c r="B487" s="136">
        <v>46162</v>
      </c>
      <c r="C487" s="139">
        <v>1</v>
      </c>
      <c r="D487" s="139" t="s">
        <v>208</v>
      </c>
      <c r="E487" s="137" t="s">
        <v>209</v>
      </c>
      <c r="F487" s="137" t="s">
        <v>190</v>
      </c>
      <c r="G487" s="137" t="s">
        <v>212</v>
      </c>
      <c r="H487" s="137">
        <v>376</v>
      </c>
      <c r="I487" s="137" t="s">
        <v>165</v>
      </c>
      <c r="J487" s="137">
        <v>500</v>
      </c>
      <c r="K487" s="141">
        <v>6016</v>
      </c>
      <c r="L487" s="137" t="s">
        <v>3361</v>
      </c>
      <c r="M487" s="135" t="str">
        <f t="shared" si="7"/>
        <v>SERVENGUSINA PINHEIROPÓ DE BRITA</v>
      </c>
      <c r="N487" s="137" t="s">
        <v>161</v>
      </c>
    </row>
    <row r="488" spans="2:14" x14ac:dyDescent="0.25">
      <c r="B488" s="134">
        <v>46162</v>
      </c>
      <c r="C488" s="138">
        <v>1</v>
      </c>
      <c r="D488" s="138" t="s">
        <v>2866</v>
      </c>
      <c r="E488" s="135" t="s">
        <v>281</v>
      </c>
      <c r="F488" s="135" t="s">
        <v>166</v>
      </c>
      <c r="G488" s="135" t="s">
        <v>164</v>
      </c>
      <c r="H488" s="135">
        <v>58</v>
      </c>
      <c r="I488" s="135" t="s">
        <v>195</v>
      </c>
      <c r="J488" s="135">
        <v>4182</v>
      </c>
      <c r="K488" s="140">
        <v>897.46</v>
      </c>
      <c r="L488" s="135" t="s">
        <v>3362</v>
      </c>
      <c r="M488" s="135" t="str">
        <f t="shared" si="7"/>
        <v>GRANORTEUA SAO LUISBRITA 1</v>
      </c>
      <c r="N488" s="135" t="s">
        <v>224</v>
      </c>
    </row>
    <row r="489" spans="2:14" x14ac:dyDescent="0.25">
      <c r="B489" s="136">
        <v>46162</v>
      </c>
      <c r="C489" s="139">
        <v>1</v>
      </c>
      <c r="D489" s="139" t="s">
        <v>213</v>
      </c>
      <c r="E489" s="137" t="s">
        <v>1153</v>
      </c>
      <c r="F489" s="137" t="s">
        <v>190</v>
      </c>
      <c r="G489" s="137" t="s">
        <v>212</v>
      </c>
      <c r="H489" s="137">
        <v>376</v>
      </c>
      <c r="I489" s="137" t="s">
        <v>165</v>
      </c>
      <c r="J489" s="137">
        <v>6238</v>
      </c>
      <c r="K489" s="141">
        <v>7505.56</v>
      </c>
      <c r="L489" s="137" t="s">
        <v>3363</v>
      </c>
      <c r="M489" s="135" t="str">
        <f t="shared" si="7"/>
        <v>SERVENGUSINA PINHEIROPÓ DE BRITA</v>
      </c>
      <c r="N489" s="137" t="s">
        <v>161</v>
      </c>
    </row>
    <row r="490" spans="2:14" x14ac:dyDescent="0.25">
      <c r="B490" s="134">
        <v>46162</v>
      </c>
      <c r="C490" s="138">
        <v>1</v>
      </c>
      <c r="D490" s="138" t="s">
        <v>202</v>
      </c>
      <c r="E490" s="135" t="s">
        <v>214</v>
      </c>
      <c r="F490" s="135" t="s">
        <v>190</v>
      </c>
      <c r="G490" s="135" t="s">
        <v>212</v>
      </c>
      <c r="H490" s="135">
        <v>376</v>
      </c>
      <c r="I490" s="135" t="s">
        <v>165</v>
      </c>
      <c r="J490" s="135">
        <v>6188</v>
      </c>
      <c r="K490" s="140">
        <v>7445.4</v>
      </c>
      <c r="L490" s="135" t="s">
        <v>3364</v>
      </c>
      <c r="M490" s="135" t="str">
        <f t="shared" si="7"/>
        <v>SERVENGUSINA PINHEIROPÓ DE BRITA</v>
      </c>
      <c r="N490" s="137" t="s">
        <v>161</v>
      </c>
    </row>
    <row r="491" spans="2:14" x14ac:dyDescent="0.25">
      <c r="B491" s="136">
        <v>46162</v>
      </c>
      <c r="C491" s="139">
        <v>1</v>
      </c>
      <c r="D491" s="139" t="s">
        <v>183</v>
      </c>
      <c r="E491" s="137" t="s">
        <v>184</v>
      </c>
      <c r="F491" s="137" t="s">
        <v>166</v>
      </c>
      <c r="G491" s="137" t="s">
        <v>111</v>
      </c>
      <c r="H491" s="137">
        <v>79</v>
      </c>
      <c r="I491" s="137" t="s">
        <v>169</v>
      </c>
      <c r="J491" s="137">
        <v>2656</v>
      </c>
      <c r="K491" s="141">
        <v>776.35</v>
      </c>
      <c r="L491" s="137" t="s">
        <v>3365</v>
      </c>
      <c r="M491" s="135" t="str">
        <f t="shared" si="7"/>
        <v>GRANORTEBEIRA RIOPULMÃOZINHO</v>
      </c>
      <c r="N491" s="137" t="s">
        <v>111</v>
      </c>
    </row>
    <row r="492" spans="2:14" x14ac:dyDescent="0.25">
      <c r="B492" s="134">
        <v>46162</v>
      </c>
      <c r="C492" s="138">
        <v>1</v>
      </c>
      <c r="D492" s="138" t="s">
        <v>183</v>
      </c>
      <c r="E492" s="135" t="s">
        <v>184</v>
      </c>
      <c r="F492" s="135" t="s">
        <v>166</v>
      </c>
      <c r="G492" s="135" t="s">
        <v>111</v>
      </c>
      <c r="H492" s="135">
        <v>79</v>
      </c>
      <c r="I492" s="135" t="s">
        <v>169</v>
      </c>
      <c r="J492" s="135">
        <v>2654</v>
      </c>
      <c r="K492" s="140">
        <v>775.76</v>
      </c>
      <c r="L492" s="135" t="s">
        <v>3366</v>
      </c>
      <c r="M492" s="135" t="str">
        <f t="shared" si="7"/>
        <v>GRANORTEBEIRA RIOPULMÃOZINHO</v>
      </c>
      <c r="N492" s="135" t="s">
        <v>111</v>
      </c>
    </row>
    <row r="493" spans="2:14" x14ac:dyDescent="0.25">
      <c r="B493" s="136">
        <v>46162</v>
      </c>
      <c r="C493" s="139">
        <v>1</v>
      </c>
      <c r="D493" s="139" t="s">
        <v>193</v>
      </c>
      <c r="E493" s="137" t="s">
        <v>285</v>
      </c>
      <c r="F493" s="137" t="s">
        <v>166</v>
      </c>
      <c r="G493" s="137" t="s">
        <v>111</v>
      </c>
      <c r="H493" s="137">
        <v>79</v>
      </c>
      <c r="I493" s="137" t="s">
        <v>169</v>
      </c>
      <c r="J493" s="137">
        <v>255</v>
      </c>
      <c r="K493" s="141">
        <v>745.37</v>
      </c>
      <c r="L493" s="137" t="s">
        <v>3367</v>
      </c>
      <c r="M493" s="135" t="str">
        <f t="shared" si="7"/>
        <v>GRANORTEBEIRA RIOPULMÃOZINHO</v>
      </c>
      <c r="N493" s="137" t="s">
        <v>111</v>
      </c>
    </row>
    <row r="494" spans="2:14" x14ac:dyDescent="0.25">
      <c r="B494" s="134">
        <v>46162</v>
      </c>
      <c r="C494" s="138">
        <v>1</v>
      </c>
      <c r="D494" s="138" t="s">
        <v>193</v>
      </c>
      <c r="E494" s="135" t="s">
        <v>285</v>
      </c>
      <c r="F494" s="135" t="s">
        <v>166</v>
      </c>
      <c r="G494" s="135" t="s">
        <v>111</v>
      </c>
      <c r="H494" s="135">
        <v>79</v>
      </c>
      <c r="I494" s="135" t="s">
        <v>169</v>
      </c>
      <c r="J494" s="135">
        <v>2678</v>
      </c>
      <c r="K494" s="140">
        <v>782.78</v>
      </c>
      <c r="L494" s="135" t="s">
        <v>3368</v>
      </c>
      <c r="M494" s="135" t="str">
        <f t="shared" si="7"/>
        <v>GRANORTEBEIRA RIOPULMÃOZINHO</v>
      </c>
      <c r="N494" s="135" t="s">
        <v>111</v>
      </c>
    </row>
    <row r="495" spans="2:14" x14ac:dyDescent="0.25">
      <c r="B495" s="136">
        <v>46162</v>
      </c>
      <c r="C495" s="139">
        <v>1</v>
      </c>
      <c r="D495" s="139" t="s">
        <v>270</v>
      </c>
      <c r="E495" s="137" t="s">
        <v>288</v>
      </c>
      <c r="F495" s="137" t="s">
        <v>190</v>
      </c>
      <c r="G495" s="137" t="s">
        <v>212</v>
      </c>
      <c r="H495" s="137">
        <v>376</v>
      </c>
      <c r="I495" s="137" t="s">
        <v>165</v>
      </c>
      <c r="J495" s="137">
        <v>5892</v>
      </c>
      <c r="K495" s="141">
        <v>7089.25</v>
      </c>
      <c r="L495" s="137" t="s">
        <v>3369</v>
      </c>
      <c r="M495" s="135" t="str">
        <f t="shared" si="7"/>
        <v>SERVENGUSINA PINHEIROPÓ DE BRITA</v>
      </c>
      <c r="N495" s="137" t="s">
        <v>161</v>
      </c>
    </row>
    <row r="496" spans="2:14" x14ac:dyDescent="0.25">
      <c r="B496" s="134">
        <v>46162</v>
      </c>
      <c r="C496" s="138">
        <v>1</v>
      </c>
      <c r="D496" s="138" t="s">
        <v>192</v>
      </c>
      <c r="E496" s="135" t="s">
        <v>287</v>
      </c>
      <c r="F496" s="135" t="s">
        <v>2868</v>
      </c>
      <c r="G496" s="135" t="s">
        <v>2871</v>
      </c>
      <c r="H496" s="135">
        <v>70</v>
      </c>
      <c r="I496" s="135" t="s">
        <v>2869</v>
      </c>
      <c r="J496" s="135">
        <v>55373</v>
      </c>
      <c r="K496" s="140">
        <v>1434.16</v>
      </c>
      <c r="L496" s="135" t="s">
        <v>3370</v>
      </c>
      <c r="M496" s="135" t="str">
        <f t="shared" si="7"/>
        <v>FAZENDA PLATAFORMASILO PRODUCERESSOJA</v>
      </c>
      <c r="N496" s="135" t="s">
        <v>3729</v>
      </c>
    </row>
    <row r="497" spans="2:14" x14ac:dyDescent="0.25">
      <c r="B497" s="136">
        <v>46162</v>
      </c>
      <c r="C497" s="139">
        <v>1</v>
      </c>
      <c r="D497" s="139" t="s">
        <v>219</v>
      </c>
      <c r="E497" s="137" t="s">
        <v>220</v>
      </c>
      <c r="F497" s="137" t="s">
        <v>163</v>
      </c>
      <c r="G497" s="137" t="s">
        <v>164</v>
      </c>
      <c r="H497" s="137">
        <v>52</v>
      </c>
      <c r="I497" s="137" t="s">
        <v>175</v>
      </c>
      <c r="J497" s="137">
        <v>861</v>
      </c>
      <c r="K497" s="141">
        <v>1656.56</v>
      </c>
      <c r="L497" s="137" t="s">
        <v>3371</v>
      </c>
      <c r="M497" s="135" t="str">
        <f t="shared" si="7"/>
        <v>BRASIL MINERACAOUA SAO LUISBRITA 0</v>
      </c>
      <c r="N497" s="135" t="s">
        <v>224</v>
      </c>
    </row>
    <row r="498" spans="2:14" x14ac:dyDescent="0.25">
      <c r="B498" s="134">
        <v>46162</v>
      </c>
      <c r="C498" s="138">
        <v>1</v>
      </c>
      <c r="D498" s="138" t="s">
        <v>219</v>
      </c>
      <c r="E498" s="135" t="s">
        <v>220</v>
      </c>
      <c r="F498" s="135" t="s">
        <v>163</v>
      </c>
      <c r="G498" s="135" t="s">
        <v>164</v>
      </c>
      <c r="H498" s="135">
        <v>52</v>
      </c>
      <c r="I498" s="135" t="s">
        <v>175</v>
      </c>
      <c r="J498" s="135">
        <v>867</v>
      </c>
      <c r="K498" s="140">
        <v>1668.11</v>
      </c>
      <c r="L498" s="135" t="s">
        <v>3372</v>
      </c>
      <c r="M498" s="135" t="str">
        <f t="shared" si="7"/>
        <v>BRASIL MINERACAOUA SAO LUISBRITA 0</v>
      </c>
      <c r="N498" s="135" t="s">
        <v>224</v>
      </c>
    </row>
    <row r="499" spans="2:14" x14ac:dyDescent="0.25">
      <c r="B499" s="136">
        <v>46162</v>
      </c>
      <c r="C499" s="139">
        <v>1</v>
      </c>
      <c r="D499" s="139" t="s">
        <v>179</v>
      </c>
      <c r="E499" s="137" t="s">
        <v>2863</v>
      </c>
      <c r="F499" s="137" t="s">
        <v>166</v>
      </c>
      <c r="G499" s="137" t="s">
        <v>111</v>
      </c>
      <c r="H499" s="137">
        <v>79</v>
      </c>
      <c r="I499" s="137" t="s">
        <v>169</v>
      </c>
      <c r="J499" s="137">
        <v>2668</v>
      </c>
      <c r="K499" s="141">
        <v>779.86</v>
      </c>
      <c r="L499" s="137" t="s">
        <v>3373</v>
      </c>
      <c r="M499" s="135" t="str">
        <f t="shared" si="7"/>
        <v>GRANORTEBEIRA RIOPULMÃOZINHO</v>
      </c>
      <c r="N499" s="137" t="s">
        <v>111</v>
      </c>
    </row>
    <row r="500" spans="2:14" x14ac:dyDescent="0.25">
      <c r="B500" s="134">
        <v>46162</v>
      </c>
      <c r="C500" s="138">
        <v>1</v>
      </c>
      <c r="D500" s="138" t="s">
        <v>179</v>
      </c>
      <c r="E500" s="135" t="s">
        <v>2863</v>
      </c>
      <c r="F500" s="135" t="s">
        <v>166</v>
      </c>
      <c r="G500" s="135" t="s">
        <v>111</v>
      </c>
      <c r="H500" s="135">
        <v>79</v>
      </c>
      <c r="I500" s="135" t="s">
        <v>169</v>
      </c>
      <c r="J500" s="135">
        <v>2614</v>
      </c>
      <c r="K500" s="140">
        <v>764.07</v>
      </c>
      <c r="L500" s="135" t="s">
        <v>3374</v>
      </c>
      <c r="M500" s="135" t="str">
        <f t="shared" si="7"/>
        <v>GRANORTEBEIRA RIOPULMÃOZINHO</v>
      </c>
      <c r="N500" s="135" t="s">
        <v>111</v>
      </c>
    </row>
    <row r="501" spans="2:14" x14ac:dyDescent="0.25">
      <c r="B501" s="136">
        <v>46162</v>
      </c>
      <c r="C501" s="139">
        <v>1</v>
      </c>
      <c r="D501" s="139" t="s">
        <v>173</v>
      </c>
      <c r="E501" s="137" t="s">
        <v>174</v>
      </c>
      <c r="F501" s="137" t="s">
        <v>166</v>
      </c>
      <c r="G501" s="137" t="s">
        <v>111</v>
      </c>
      <c r="H501" s="137">
        <v>79</v>
      </c>
      <c r="I501" s="137" t="s">
        <v>185</v>
      </c>
      <c r="J501" s="137">
        <v>3488</v>
      </c>
      <c r="K501" s="141">
        <v>1019.54</v>
      </c>
      <c r="L501" s="137" t="s">
        <v>3375</v>
      </c>
      <c r="M501" s="135" t="str">
        <f t="shared" si="7"/>
        <v>GRANORTEBEIRA RIORACHÃOZINHO</v>
      </c>
      <c r="N501" s="137" t="s">
        <v>111</v>
      </c>
    </row>
    <row r="502" spans="2:14" x14ac:dyDescent="0.25">
      <c r="B502" s="134">
        <v>46162</v>
      </c>
      <c r="C502" s="138">
        <v>1</v>
      </c>
      <c r="D502" s="138" t="s">
        <v>173</v>
      </c>
      <c r="E502" s="135" t="s">
        <v>174</v>
      </c>
      <c r="F502" s="135" t="s">
        <v>166</v>
      </c>
      <c r="G502" s="135" t="s">
        <v>111</v>
      </c>
      <c r="H502" s="135">
        <v>79</v>
      </c>
      <c r="I502" s="135" t="s">
        <v>169</v>
      </c>
      <c r="J502" s="135">
        <v>2682</v>
      </c>
      <c r="K502" s="140">
        <v>783.95</v>
      </c>
      <c r="L502" s="135" t="s">
        <v>3376</v>
      </c>
      <c r="M502" s="135" t="str">
        <f t="shared" si="7"/>
        <v>GRANORTEBEIRA RIOPULMÃOZINHO</v>
      </c>
      <c r="N502" s="135" t="s">
        <v>111</v>
      </c>
    </row>
    <row r="503" spans="2:14" x14ac:dyDescent="0.25">
      <c r="B503" s="136">
        <v>46162</v>
      </c>
      <c r="C503" s="139">
        <v>1</v>
      </c>
      <c r="D503" s="139" t="s">
        <v>173</v>
      </c>
      <c r="E503" s="137" t="s">
        <v>174</v>
      </c>
      <c r="F503" s="137" t="s">
        <v>166</v>
      </c>
      <c r="G503" s="137" t="s">
        <v>111</v>
      </c>
      <c r="H503" s="137">
        <v>79</v>
      </c>
      <c r="I503" s="137" t="s">
        <v>169</v>
      </c>
      <c r="J503" s="137">
        <v>3054</v>
      </c>
      <c r="K503" s="141">
        <v>892.68</v>
      </c>
      <c r="L503" s="137" t="s">
        <v>3377</v>
      </c>
      <c r="M503" s="135" t="str">
        <f t="shared" si="7"/>
        <v>GRANORTEBEIRA RIOPULMÃOZINHO</v>
      </c>
      <c r="N503" s="137" t="s">
        <v>111</v>
      </c>
    </row>
    <row r="504" spans="2:14" x14ac:dyDescent="0.25">
      <c r="B504" s="134">
        <v>46163</v>
      </c>
      <c r="C504" s="138">
        <v>1</v>
      </c>
      <c r="D504" s="138" t="s">
        <v>342</v>
      </c>
      <c r="E504" s="135" t="s">
        <v>171</v>
      </c>
      <c r="F504" s="135" t="s">
        <v>163</v>
      </c>
      <c r="G504" s="135" t="s">
        <v>164</v>
      </c>
      <c r="H504" s="135">
        <v>52</v>
      </c>
      <c r="I504" s="135" t="s">
        <v>175</v>
      </c>
      <c r="J504" s="135">
        <v>4572</v>
      </c>
      <c r="K504" s="140">
        <v>879.65</v>
      </c>
      <c r="L504" s="135" t="s">
        <v>3378</v>
      </c>
      <c r="M504" s="135" t="str">
        <f t="shared" si="7"/>
        <v>BRASIL MINERACAOUA SAO LUISBRITA 0</v>
      </c>
      <c r="N504" s="135" t="s">
        <v>224</v>
      </c>
    </row>
    <row r="505" spans="2:14" x14ac:dyDescent="0.25">
      <c r="B505" s="136">
        <v>46163</v>
      </c>
      <c r="C505" s="139">
        <v>1</v>
      </c>
      <c r="D505" s="139" t="s">
        <v>167</v>
      </c>
      <c r="E505" s="137" t="s">
        <v>168</v>
      </c>
      <c r="F505" s="137" t="s">
        <v>166</v>
      </c>
      <c r="G505" s="137" t="s">
        <v>111</v>
      </c>
      <c r="H505" s="137">
        <v>79</v>
      </c>
      <c r="I505" s="137" t="s">
        <v>169</v>
      </c>
      <c r="J505" s="137">
        <v>272</v>
      </c>
      <c r="K505" s="141">
        <v>795.06</v>
      </c>
      <c r="L505" s="137" t="s">
        <v>3379</v>
      </c>
      <c r="M505" s="135" t="str">
        <f t="shared" si="7"/>
        <v>GRANORTEBEIRA RIOPULMÃOZINHO</v>
      </c>
      <c r="N505" s="137" t="s">
        <v>111</v>
      </c>
    </row>
    <row r="506" spans="2:14" x14ac:dyDescent="0.25">
      <c r="B506" s="134">
        <v>46163</v>
      </c>
      <c r="C506" s="138">
        <v>1</v>
      </c>
      <c r="D506" s="138" t="s">
        <v>2866</v>
      </c>
      <c r="E506" s="135" t="s">
        <v>281</v>
      </c>
      <c r="F506" s="135" t="s">
        <v>166</v>
      </c>
      <c r="G506" s="135" t="s">
        <v>164</v>
      </c>
      <c r="H506" s="135">
        <v>58</v>
      </c>
      <c r="I506" s="135" t="s">
        <v>195</v>
      </c>
      <c r="J506" s="135">
        <v>4236</v>
      </c>
      <c r="K506" s="140">
        <v>909.05</v>
      </c>
      <c r="L506" s="135" t="s">
        <v>3380</v>
      </c>
      <c r="M506" s="135" t="str">
        <f t="shared" si="7"/>
        <v>GRANORTEUA SAO LUISBRITA 1</v>
      </c>
      <c r="N506" s="135" t="s">
        <v>224</v>
      </c>
    </row>
    <row r="507" spans="2:14" x14ac:dyDescent="0.25">
      <c r="B507" s="136">
        <v>46163</v>
      </c>
      <c r="C507" s="139">
        <v>1</v>
      </c>
      <c r="D507" s="139" t="s">
        <v>203</v>
      </c>
      <c r="E507" s="137" t="s">
        <v>204</v>
      </c>
      <c r="F507" s="137" t="s">
        <v>2868</v>
      </c>
      <c r="G507" s="137" t="s">
        <v>2871</v>
      </c>
      <c r="H507" s="137">
        <v>70</v>
      </c>
      <c r="I507" s="137" t="s">
        <v>2869</v>
      </c>
      <c r="J507" s="137">
        <v>5324</v>
      </c>
      <c r="K507" s="141">
        <v>1378.92</v>
      </c>
      <c r="L507" s="137" t="s">
        <v>3381</v>
      </c>
      <c r="M507" s="135" t="str">
        <f t="shared" si="7"/>
        <v>FAZENDA PLATAFORMASILO PRODUCERESSOJA</v>
      </c>
      <c r="N507" s="135" t="s">
        <v>3729</v>
      </c>
    </row>
    <row r="508" spans="2:14" x14ac:dyDescent="0.25">
      <c r="B508" s="134">
        <v>46163</v>
      </c>
      <c r="C508" s="138">
        <v>1</v>
      </c>
      <c r="D508" s="138" t="s">
        <v>188</v>
      </c>
      <c r="E508" s="135" t="s">
        <v>189</v>
      </c>
      <c r="F508" s="135" t="s">
        <v>276</v>
      </c>
      <c r="G508" s="135" t="s">
        <v>2033</v>
      </c>
      <c r="H508" s="135">
        <v>323</v>
      </c>
      <c r="I508" s="135" t="s">
        <v>172</v>
      </c>
      <c r="J508" s="135">
        <v>6902</v>
      </c>
      <c r="K508" s="140">
        <v>7133.91</v>
      </c>
      <c r="L508" s="135" t="s">
        <v>3382</v>
      </c>
      <c r="M508" s="135" t="str">
        <f t="shared" si="7"/>
        <v>MINERADORA PORTO FRANCOVALE KM 386BICA CORRIDA</v>
      </c>
      <c r="N508" s="135" t="s">
        <v>15</v>
      </c>
    </row>
    <row r="509" spans="2:14" x14ac:dyDescent="0.25">
      <c r="B509" s="136">
        <v>46163</v>
      </c>
      <c r="C509" s="139">
        <v>1</v>
      </c>
      <c r="D509" s="139" t="s">
        <v>176</v>
      </c>
      <c r="E509" s="137" t="s">
        <v>177</v>
      </c>
      <c r="F509" s="137" t="s">
        <v>2868</v>
      </c>
      <c r="G509" s="137" t="s">
        <v>2871</v>
      </c>
      <c r="H509" s="137">
        <v>70</v>
      </c>
      <c r="I509" s="137" t="s">
        <v>2869</v>
      </c>
      <c r="J509" s="137">
        <v>5468</v>
      </c>
      <c r="K509" s="141">
        <v>1416.21</v>
      </c>
      <c r="L509" s="137" t="s">
        <v>3383</v>
      </c>
      <c r="M509" s="135" t="str">
        <f t="shared" si="7"/>
        <v>FAZENDA PLATAFORMASILO PRODUCERESSOJA</v>
      </c>
      <c r="N509" s="135" t="s">
        <v>3729</v>
      </c>
    </row>
    <row r="510" spans="2:14" x14ac:dyDescent="0.25">
      <c r="B510" s="134">
        <v>46163</v>
      </c>
      <c r="C510" s="138">
        <v>1</v>
      </c>
      <c r="D510" s="138" t="s">
        <v>342</v>
      </c>
      <c r="E510" s="135" t="s">
        <v>171</v>
      </c>
      <c r="F510" s="135" t="s">
        <v>163</v>
      </c>
      <c r="G510" s="135" t="s">
        <v>164</v>
      </c>
      <c r="H510" s="135">
        <v>52</v>
      </c>
      <c r="I510" s="135" t="s">
        <v>165</v>
      </c>
      <c r="J510" s="135">
        <v>458</v>
      </c>
      <c r="K510" s="140">
        <v>881.19</v>
      </c>
      <c r="L510" s="135" t="s">
        <v>3384</v>
      </c>
      <c r="M510" s="135" t="str">
        <f t="shared" si="7"/>
        <v>BRASIL MINERACAOUA SAO LUISPÓ DE BRITA</v>
      </c>
      <c r="N510" s="135" t="s">
        <v>224</v>
      </c>
    </row>
    <row r="511" spans="2:14" x14ac:dyDescent="0.25">
      <c r="B511" s="136">
        <v>46163</v>
      </c>
      <c r="C511" s="139">
        <v>1</v>
      </c>
      <c r="D511" s="139" t="s">
        <v>210</v>
      </c>
      <c r="E511" s="137" t="s">
        <v>211</v>
      </c>
      <c r="F511" s="137" t="s">
        <v>2868</v>
      </c>
      <c r="G511" s="137" t="s">
        <v>2871</v>
      </c>
      <c r="H511" s="137">
        <v>70</v>
      </c>
      <c r="I511" s="137" t="s">
        <v>2869</v>
      </c>
      <c r="J511" s="137">
        <v>5176</v>
      </c>
      <c r="K511" s="141">
        <v>1340.58</v>
      </c>
      <c r="L511" s="137" t="s">
        <v>3385</v>
      </c>
      <c r="M511" s="135" t="str">
        <f t="shared" si="7"/>
        <v>FAZENDA PLATAFORMASILO PRODUCERESSOJA</v>
      </c>
      <c r="N511" s="135" t="s">
        <v>3729</v>
      </c>
    </row>
    <row r="512" spans="2:14" x14ac:dyDescent="0.25">
      <c r="B512" s="134">
        <v>46163</v>
      </c>
      <c r="C512" s="138">
        <v>1</v>
      </c>
      <c r="D512" s="138" t="s">
        <v>286</v>
      </c>
      <c r="E512" s="135" t="s">
        <v>506</v>
      </c>
      <c r="F512" s="135" t="s">
        <v>163</v>
      </c>
      <c r="G512" s="135" t="s">
        <v>164</v>
      </c>
      <c r="H512" s="135">
        <v>52</v>
      </c>
      <c r="I512" s="135" t="s">
        <v>165</v>
      </c>
      <c r="J512" s="135">
        <v>4406</v>
      </c>
      <c r="K512" s="140">
        <v>847.71</v>
      </c>
      <c r="L512" s="135" t="s">
        <v>3386</v>
      </c>
      <c r="M512" s="135" t="str">
        <f t="shared" si="7"/>
        <v>BRASIL MINERACAOUA SAO LUISPÓ DE BRITA</v>
      </c>
      <c r="N512" s="135" t="s">
        <v>224</v>
      </c>
    </row>
    <row r="513" spans="2:14" x14ac:dyDescent="0.25">
      <c r="B513" s="136">
        <v>46163</v>
      </c>
      <c r="C513" s="139">
        <v>1</v>
      </c>
      <c r="D513" s="139" t="s">
        <v>286</v>
      </c>
      <c r="E513" s="137" t="s">
        <v>506</v>
      </c>
      <c r="F513" s="137" t="s">
        <v>163</v>
      </c>
      <c r="G513" s="137" t="s">
        <v>164</v>
      </c>
      <c r="H513" s="137">
        <v>52</v>
      </c>
      <c r="I513" s="137" t="s">
        <v>165</v>
      </c>
      <c r="J513" s="137">
        <v>4544</v>
      </c>
      <c r="K513" s="141">
        <v>874.27</v>
      </c>
      <c r="L513" s="137" t="s">
        <v>3387</v>
      </c>
      <c r="M513" s="135" t="str">
        <f t="shared" si="7"/>
        <v>BRASIL MINERACAOUA SAO LUISPÓ DE BRITA</v>
      </c>
      <c r="N513" s="135" t="s">
        <v>224</v>
      </c>
    </row>
    <row r="514" spans="2:14" x14ac:dyDescent="0.25">
      <c r="B514" s="134">
        <v>46163</v>
      </c>
      <c r="C514" s="138">
        <v>1</v>
      </c>
      <c r="D514" s="138" t="s">
        <v>167</v>
      </c>
      <c r="E514" s="135" t="s">
        <v>168</v>
      </c>
      <c r="F514" s="135" t="s">
        <v>166</v>
      </c>
      <c r="G514" s="135" t="s">
        <v>111</v>
      </c>
      <c r="H514" s="135">
        <v>79</v>
      </c>
      <c r="I514" s="135" t="s">
        <v>169</v>
      </c>
      <c r="J514" s="135">
        <v>2652</v>
      </c>
      <c r="K514" s="140">
        <v>775.18</v>
      </c>
      <c r="L514" s="135" t="s">
        <v>3388</v>
      </c>
      <c r="M514" s="135" t="str">
        <f t="shared" si="7"/>
        <v>GRANORTEBEIRA RIOPULMÃOZINHO</v>
      </c>
      <c r="N514" s="135" t="s">
        <v>111</v>
      </c>
    </row>
    <row r="515" spans="2:14" x14ac:dyDescent="0.25">
      <c r="B515" s="136">
        <v>46163</v>
      </c>
      <c r="C515" s="139">
        <v>1</v>
      </c>
      <c r="D515" s="139" t="s">
        <v>283</v>
      </c>
      <c r="E515" s="137" t="s">
        <v>282</v>
      </c>
      <c r="F515" s="137" t="s">
        <v>166</v>
      </c>
      <c r="G515" s="137" t="s">
        <v>1178</v>
      </c>
      <c r="H515" s="137">
        <v>51</v>
      </c>
      <c r="I515" s="137" t="s">
        <v>292</v>
      </c>
      <c r="J515" s="137">
        <v>2658</v>
      </c>
      <c r="K515" s="141">
        <v>501.56</v>
      </c>
      <c r="L515" s="137" t="s">
        <v>3389</v>
      </c>
      <c r="M515" s="135" t="str">
        <f t="shared" si="7"/>
        <v>GRANORTEVETORPEDRA PULMÃO</v>
      </c>
      <c r="N515" s="137" t="s">
        <v>1178</v>
      </c>
    </row>
    <row r="516" spans="2:14" x14ac:dyDescent="0.25">
      <c r="B516" s="134">
        <v>46163</v>
      </c>
      <c r="C516" s="138">
        <v>1</v>
      </c>
      <c r="D516" s="138" t="s">
        <v>283</v>
      </c>
      <c r="E516" s="135" t="s">
        <v>282</v>
      </c>
      <c r="F516" s="135" t="s">
        <v>166</v>
      </c>
      <c r="G516" s="135" t="s">
        <v>1178</v>
      </c>
      <c r="H516" s="135">
        <v>51</v>
      </c>
      <c r="I516" s="135" t="s">
        <v>292</v>
      </c>
      <c r="J516" s="135">
        <v>2696</v>
      </c>
      <c r="K516" s="140">
        <v>508.74</v>
      </c>
      <c r="L516" s="135" t="s">
        <v>3390</v>
      </c>
      <c r="M516" s="135" t="str">
        <f t="shared" si="7"/>
        <v>GRANORTEVETORPEDRA PULMÃO</v>
      </c>
      <c r="N516" s="135" t="s">
        <v>1178</v>
      </c>
    </row>
    <row r="517" spans="2:14" x14ac:dyDescent="0.25">
      <c r="B517" s="136">
        <v>46163</v>
      </c>
      <c r="C517" s="139">
        <v>1</v>
      </c>
      <c r="D517" s="139" t="s">
        <v>213</v>
      </c>
      <c r="E517" s="137" t="s">
        <v>1153</v>
      </c>
      <c r="F517" s="137" t="s">
        <v>190</v>
      </c>
      <c r="G517" s="137" t="s">
        <v>212</v>
      </c>
      <c r="H517" s="137">
        <v>376</v>
      </c>
      <c r="I517" s="137" t="s">
        <v>165</v>
      </c>
      <c r="J517" s="137">
        <v>6094</v>
      </c>
      <c r="K517" s="141">
        <v>7332.3</v>
      </c>
      <c r="L517" s="137" t="s">
        <v>3391</v>
      </c>
      <c r="M517" s="135" t="str">
        <f t="shared" ref="M517:M580" si="8">CONCATENATE(F517&amp;G517&amp;I517)</f>
        <v>SERVENGUSINA PINHEIROPÓ DE BRITA</v>
      </c>
      <c r="N517" s="137" t="s">
        <v>161</v>
      </c>
    </row>
    <row r="518" spans="2:14" x14ac:dyDescent="0.25">
      <c r="B518" s="134">
        <v>46163</v>
      </c>
      <c r="C518" s="138">
        <v>1</v>
      </c>
      <c r="D518" s="138" t="s">
        <v>183</v>
      </c>
      <c r="E518" s="135" t="s">
        <v>184</v>
      </c>
      <c r="F518" s="135" t="s">
        <v>166</v>
      </c>
      <c r="G518" s="135" t="s">
        <v>111</v>
      </c>
      <c r="H518" s="135">
        <v>79</v>
      </c>
      <c r="I518" s="135" t="s">
        <v>169</v>
      </c>
      <c r="J518" s="135">
        <v>2598</v>
      </c>
      <c r="K518" s="140">
        <v>759.4</v>
      </c>
      <c r="L518" s="135" t="s">
        <v>3392</v>
      </c>
      <c r="M518" s="135" t="str">
        <f t="shared" si="8"/>
        <v>GRANORTEBEIRA RIOPULMÃOZINHO</v>
      </c>
      <c r="N518" s="135" t="s">
        <v>111</v>
      </c>
    </row>
    <row r="519" spans="2:14" x14ac:dyDescent="0.25">
      <c r="B519" s="136">
        <v>46163</v>
      </c>
      <c r="C519" s="139">
        <v>1</v>
      </c>
      <c r="D519" s="139" t="s">
        <v>183</v>
      </c>
      <c r="E519" s="137" t="s">
        <v>184</v>
      </c>
      <c r="F519" s="137" t="s">
        <v>166</v>
      </c>
      <c r="G519" s="137" t="s">
        <v>111</v>
      </c>
      <c r="H519" s="137">
        <v>79</v>
      </c>
      <c r="I519" s="137" t="s">
        <v>169</v>
      </c>
      <c r="J519" s="137">
        <v>2818</v>
      </c>
      <c r="K519" s="141">
        <v>823.7</v>
      </c>
      <c r="L519" s="137" t="s">
        <v>3393</v>
      </c>
      <c r="M519" s="135" t="str">
        <f t="shared" si="8"/>
        <v>GRANORTEBEIRA RIOPULMÃOZINHO</v>
      </c>
      <c r="N519" s="137" t="s">
        <v>111</v>
      </c>
    </row>
    <row r="520" spans="2:14" x14ac:dyDescent="0.25">
      <c r="B520" s="134">
        <v>46163</v>
      </c>
      <c r="C520" s="138">
        <v>1</v>
      </c>
      <c r="D520" s="138" t="s">
        <v>183</v>
      </c>
      <c r="E520" s="135" t="s">
        <v>184</v>
      </c>
      <c r="F520" s="135" t="s">
        <v>166</v>
      </c>
      <c r="G520" s="135" t="s">
        <v>111</v>
      </c>
      <c r="H520" s="135">
        <v>79</v>
      </c>
      <c r="I520" s="135" t="s">
        <v>169</v>
      </c>
      <c r="J520" s="135">
        <v>266</v>
      </c>
      <c r="K520" s="140">
        <v>777.52</v>
      </c>
      <c r="L520" s="135" t="s">
        <v>3394</v>
      </c>
      <c r="M520" s="135" t="str">
        <f t="shared" si="8"/>
        <v>GRANORTEBEIRA RIOPULMÃOZINHO</v>
      </c>
      <c r="N520" s="135" t="s">
        <v>111</v>
      </c>
    </row>
    <row r="521" spans="2:14" x14ac:dyDescent="0.25">
      <c r="B521" s="136">
        <v>46163</v>
      </c>
      <c r="C521" s="139">
        <v>1</v>
      </c>
      <c r="D521" s="139" t="s">
        <v>219</v>
      </c>
      <c r="E521" s="137" t="s">
        <v>220</v>
      </c>
      <c r="F521" s="137" t="s">
        <v>166</v>
      </c>
      <c r="G521" s="137" t="s">
        <v>164</v>
      </c>
      <c r="H521" s="137">
        <v>58</v>
      </c>
      <c r="I521" s="137" t="s">
        <v>175</v>
      </c>
      <c r="J521" s="137">
        <v>408</v>
      </c>
      <c r="K521" s="141">
        <v>875.57</v>
      </c>
      <c r="L521" s="137" t="s">
        <v>3395</v>
      </c>
      <c r="M521" s="135" t="str">
        <f t="shared" si="8"/>
        <v>GRANORTEUA SAO LUISBRITA 0</v>
      </c>
      <c r="N521" s="135" t="s">
        <v>224</v>
      </c>
    </row>
    <row r="522" spans="2:14" x14ac:dyDescent="0.25">
      <c r="B522" s="134">
        <v>46163</v>
      </c>
      <c r="C522" s="138">
        <v>1</v>
      </c>
      <c r="D522" s="138" t="s">
        <v>219</v>
      </c>
      <c r="E522" s="135" t="s">
        <v>220</v>
      </c>
      <c r="F522" s="135" t="s">
        <v>163</v>
      </c>
      <c r="G522" s="135" t="s">
        <v>164</v>
      </c>
      <c r="H522" s="135">
        <v>52</v>
      </c>
      <c r="I522" s="135" t="s">
        <v>175</v>
      </c>
      <c r="J522" s="135">
        <v>681</v>
      </c>
      <c r="K522" s="140">
        <v>1310.24</v>
      </c>
      <c r="L522" s="135" t="s">
        <v>3396</v>
      </c>
      <c r="M522" s="135" t="str">
        <f t="shared" si="8"/>
        <v>BRASIL MINERACAOUA SAO LUISBRITA 0</v>
      </c>
      <c r="N522" s="135" t="s">
        <v>224</v>
      </c>
    </row>
    <row r="523" spans="2:14" x14ac:dyDescent="0.25">
      <c r="B523" s="136">
        <v>46163</v>
      </c>
      <c r="C523" s="139">
        <v>1</v>
      </c>
      <c r="D523" s="139" t="s">
        <v>219</v>
      </c>
      <c r="E523" s="137" t="s">
        <v>220</v>
      </c>
      <c r="F523" s="137" t="s">
        <v>163</v>
      </c>
      <c r="G523" s="137" t="s">
        <v>164</v>
      </c>
      <c r="H523" s="137">
        <v>52</v>
      </c>
      <c r="I523" s="137" t="s">
        <v>175</v>
      </c>
      <c r="J523" s="137">
        <v>749</v>
      </c>
      <c r="K523" s="141">
        <v>1441.08</v>
      </c>
      <c r="L523" s="137" t="s">
        <v>3397</v>
      </c>
      <c r="M523" s="135" t="str">
        <f t="shared" si="8"/>
        <v>BRASIL MINERACAOUA SAO LUISBRITA 0</v>
      </c>
      <c r="N523" s="135" t="s">
        <v>224</v>
      </c>
    </row>
    <row r="524" spans="2:14" x14ac:dyDescent="0.25">
      <c r="B524" s="134">
        <v>46163</v>
      </c>
      <c r="C524" s="138">
        <v>1</v>
      </c>
      <c r="D524" s="138" t="s">
        <v>192</v>
      </c>
      <c r="E524" s="135" t="s">
        <v>287</v>
      </c>
      <c r="F524" s="135" t="s">
        <v>2868</v>
      </c>
      <c r="G524" s="135" t="s">
        <v>2871</v>
      </c>
      <c r="H524" s="135">
        <v>70</v>
      </c>
      <c r="I524" s="135" t="s">
        <v>2869</v>
      </c>
      <c r="J524" s="135">
        <v>5402</v>
      </c>
      <c r="K524" s="140">
        <v>1399.12</v>
      </c>
      <c r="L524" s="135" t="s">
        <v>3398</v>
      </c>
      <c r="M524" s="135" t="str">
        <f t="shared" si="8"/>
        <v>FAZENDA PLATAFORMASILO PRODUCERESSOJA</v>
      </c>
      <c r="N524" s="135" t="s">
        <v>3729</v>
      </c>
    </row>
    <row r="525" spans="2:14" x14ac:dyDescent="0.25">
      <c r="B525" s="136">
        <v>46163</v>
      </c>
      <c r="C525" s="139">
        <v>1</v>
      </c>
      <c r="D525" s="139" t="s">
        <v>1948</v>
      </c>
      <c r="E525" s="137" t="s">
        <v>1949</v>
      </c>
      <c r="F525" s="137" t="s">
        <v>2868</v>
      </c>
      <c r="G525" s="137" t="s">
        <v>2871</v>
      </c>
      <c r="H525" s="137">
        <v>70</v>
      </c>
      <c r="I525" s="137" t="s">
        <v>2869</v>
      </c>
      <c r="J525" s="137">
        <v>519</v>
      </c>
      <c r="K525" s="141">
        <v>1344.21</v>
      </c>
      <c r="L525" s="137" t="s">
        <v>3399</v>
      </c>
      <c r="M525" s="135" t="str">
        <f t="shared" si="8"/>
        <v>FAZENDA PLATAFORMASILO PRODUCERESSOJA</v>
      </c>
      <c r="N525" s="135" t="s">
        <v>3729</v>
      </c>
    </row>
    <row r="526" spans="2:14" x14ac:dyDescent="0.25">
      <c r="B526" s="134">
        <v>46163</v>
      </c>
      <c r="C526" s="138">
        <v>1</v>
      </c>
      <c r="D526" s="138" t="s">
        <v>179</v>
      </c>
      <c r="E526" s="135" t="s">
        <v>2863</v>
      </c>
      <c r="F526" s="135" t="s">
        <v>166</v>
      </c>
      <c r="G526" s="135" t="s">
        <v>111</v>
      </c>
      <c r="H526" s="135">
        <v>79</v>
      </c>
      <c r="I526" s="135" t="s">
        <v>169</v>
      </c>
      <c r="J526" s="135">
        <v>2674</v>
      </c>
      <c r="K526" s="140">
        <v>781.61</v>
      </c>
      <c r="L526" s="135" t="s">
        <v>3400</v>
      </c>
      <c r="M526" s="135" t="str">
        <f t="shared" si="8"/>
        <v>GRANORTEBEIRA RIOPULMÃOZINHO</v>
      </c>
      <c r="N526" s="135" t="s">
        <v>111</v>
      </c>
    </row>
    <row r="527" spans="2:14" x14ac:dyDescent="0.25">
      <c r="B527" s="136">
        <v>46163</v>
      </c>
      <c r="C527" s="139">
        <v>1</v>
      </c>
      <c r="D527" s="139" t="s">
        <v>179</v>
      </c>
      <c r="E527" s="137" t="s">
        <v>2863</v>
      </c>
      <c r="F527" s="137" t="s">
        <v>166</v>
      </c>
      <c r="G527" s="137" t="s">
        <v>111</v>
      </c>
      <c r="H527" s="137">
        <v>79</v>
      </c>
      <c r="I527" s="137" t="s">
        <v>169</v>
      </c>
      <c r="J527" s="137">
        <v>2704</v>
      </c>
      <c r="K527" s="141">
        <v>790.38</v>
      </c>
      <c r="L527" s="137" t="s">
        <v>3401</v>
      </c>
      <c r="M527" s="135" t="str">
        <f t="shared" si="8"/>
        <v>GRANORTEBEIRA RIOPULMÃOZINHO</v>
      </c>
      <c r="N527" s="137" t="s">
        <v>111</v>
      </c>
    </row>
    <row r="528" spans="2:14" x14ac:dyDescent="0.25">
      <c r="B528" s="134">
        <v>46163</v>
      </c>
      <c r="C528" s="138">
        <v>1</v>
      </c>
      <c r="D528" s="138" t="s">
        <v>186</v>
      </c>
      <c r="E528" s="135" t="s">
        <v>187</v>
      </c>
      <c r="F528" s="135" t="s">
        <v>2757</v>
      </c>
      <c r="G528" s="135" t="s">
        <v>2867</v>
      </c>
      <c r="H528" s="135">
        <v>383</v>
      </c>
      <c r="I528" s="135" t="s">
        <v>221</v>
      </c>
      <c r="J528" s="135">
        <v>5308</v>
      </c>
      <c r="K528" s="140">
        <v>6505.48</v>
      </c>
      <c r="L528" s="135" t="s">
        <v>3402</v>
      </c>
      <c r="M528" s="135" t="str">
        <f t="shared" si="8"/>
        <v>MINERADORA PORTO FRANCO MAVALE KM324BGS</v>
      </c>
      <c r="N528" s="135" t="s">
        <v>15</v>
      </c>
    </row>
    <row r="529" spans="2:14" x14ac:dyDescent="0.25">
      <c r="B529" s="136">
        <v>46164</v>
      </c>
      <c r="C529" s="139">
        <v>1</v>
      </c>
      <c r="D529" s="139" t="s">
        <v>202</v>
      </c>
      <c r="E529" s="137" t="s">
        <v>214</v>
      </c>
      <c r="F529" s="137" t="s">
        <v>190</v>
      </c>
      <c r="G529" s="137" t="s">
        <v>212</v>
      </c>
      <c r="H529" s="137">
        <v>376</v>
      </c>
      <c r="I529" s="137" t="s">
        <v>165</v>
      </c>
      <c r="J529" s="137">
        <v>6058</v>
      </c>
      <c r="K529" s="141">
        <v>7288.99</v>
      </c>
      <c r="L529" s="137" t="s">
        <v>3403</v>
      </c>
      <c r="M529" s="135" t="str">
        <f t="shared" si="8"/>
        <v>SERVENGUSINA PINHEIROPÓ DE BRITA</v>
      </c>
      <c r="N529" s="137" t="s">
        <v>161</v>
      </c>
    </row>
    <row r="530" spans="2:14" x14ac:dyDescent="0.25">
      <c r="B530" s="134">
        <v>46164</v>
      </c>
      <c r="C530" s="138">
        <v>1</v>
      </c>
      <c r="D530" s="138" t="s">
        <v>342</v>
      </c>
      <c r="E530" s="135" t="s">
        <v>171</v>
      </c>
      <c r="F530" s="135" t="s">
        <v>163</v>
      </c>
      <c r="G530" s="135" t="s">
        <v>164</v>
      </c>
      <c r="H530" s="135">
        <v>52</v>
      </c>
      <c r="I530" s="135" t="s">
        <v>175</v>
      </c>
      <c r="J530" s="135">
        <v>4598</v>
      </c>
      <c r="K530" s="140">
        <v>884.66</v>
      </c>
      <c r="L530" s="135" t="s">
        <v>3404</v>
      </c>
      <c r="M530" s="135" t="str">
        <f t="shared" si="8"/>
        <v>BRASIL MINERACAOUA SAO LUISBRITA 0</v>
      </c>
      <c r="N530" s="135" t="s">
        <v>224</v>
      </c>
    </row>
    <row r="531" spans="2:14" x14ac:dyDescent="0.25">
      <c r="B531" s="136">
        <v>46164</v>
      </c>
      <c r="C531" s="139">
        <v>1</v>
      </c>
      <c r="D531" s="139" t="s">
        <v>2866</v>
      </c>
      <c r="E531" s="137" t="s">
        <v>281</v>
      </c>
      <c r="F531" s="137" t="s">
        <v>166</v>
      </c>
      <c r="G531" s="137" t="s">
        <v>111</v>
      </c>
      <c r="H531" s="137">
        <v>79</v>
      </c>
      <c r="I531" s="137" t="s">
        <v>169</v>
      </c>
      <c r="J531" s="137">
        <v>2608</v>
      </c>
      <c r="K531" s="141">
        <v>762.32</v>
      </c>
      <c r="L531" s="137" t="s">
        <v>3405</v>
      </c>
      <c r="M531" s="135" t="str">
        <f t="shared" si="8"/>
        <v>GRANORTEBEIRA RIOPULMÃOZINHO</v>
      </c>
      <c r="N531" s="137" t="s">
        <v>111</v>
      </c>
    </row>
    <row r="532" spans="2:14" x14ac:dyDescent="0.25">
      <c r="B532" s="134">
        <v>46164</v>
      </c>
      <c r="C532" s="138">
        <v>1</v>
      </c>
      <c r="D532" s="138" t="s">
        <v>167</v>
      </c>
      <c r="E532" s="135" t="s">
        <v>168</v>
      </c>
      <c r="F532" s="135" t="s">
        <v>166</v>
      </c>
      <c r="G532" s="135" t="s">
        <v>164</v>
      </c>
      <c r="H532" s="135">
        <v>58</v>
      </c>
      <c r="I532" s="135" t="s">
        <v>195</v>
      </c>
      <c r="J532" s="135">
        <v>2616</v>
      </c>
      <c r="K532" s="140">
        <v>561.39</v>
      </c>
      <c r="L532" s="135" t="s">
        <v>3406</v>
      </c>
      <c r="M532" s="135" t="str">
        <f t="shared" si="8"/>
        <v>GRANORTEUA SAO LUISBRITA 1</v>
      </c>
      <c r="N532" s="135" t="s">
        <v>224</v>
      </c>
    </row>
    <row r="533" spans="2:14" x14ac:dyDescent="0.25">
      <c r="B533" s="136">
        <v>46164</v>
      </c>
      <c r="C533" s="139">
        <v>1</v>
      </c>
      <c r="D533" s="139" t="s">
        <v>167</v>
      </c>
      <c r="E533" s="137" t="s">
        <v>168</v>
      </c>
      <c r="F533" s="137" t="s">
        <v>166</v>
      </c>
      <c r="G533" s="137" t="s">
        <v>111</v>
      </c>
      <c r="H533" s="137">
        <v>79</v>
      </c>
      <c r="I533" s="137" t="s">
        <v>169</v>
      </c>
      <c r="J533" s="137">
        <v>2656</v>
      </c>
      <c r="K533" s="141">
        <v>776.35</v>
      </c>
      <c r="L533" s="137" t="s">
        <v>3346</v>
      </c>
      <c r="M533" s="135" t="str">
        <f t="shared" si="8"/>
        <v>GRANORTEBEIRA RIOPULMÃOZINHO</v>
      </c>
      <c r="N533" s="137" t="s">
        <v>111</v>
      </c>
    </row>
    <row r="534" spans="2:14" x14ac:dyDescent="0.25">
      <c r="B534" s="134">
        <v>46164</v>
      </c>
      <c r="C534" s="138">
        <v>1</v>
      </c>
      <c r="D534" s="138" t="s">
        <v>167</v>
      </c>
      <c r="E534" s="135" t="s">
        <v>168</v>
      </c>
      <c r="F534" s="135" t="s">
        <v>166</v>
      </c>
      <c r="G534" s="135" t="s">
        <v>111</v>
      </c>
      <c r="H534" s="135">
        <v>79</v>
      </c>
      <c r="I534" s="135" t="s">
        <v>169</v>
      </c>
      <c r="J534" s="135">
        <v>2628</v>
      </c>
      <c r="K534" s="140">
        <v>768.16</v>
      </c>
      <c r="L534" s="135" t="s">
        <v>3407</v>
      </c>
      <c r="M534" s="135" t="str">
        <f t="shared" si="8"/>
        <v>GRANORTEBEIRA RIOPULMÃOZINHO</v>
      </c>
      <c r="N534" s="135" t="s">
        <v>111</v>
      </c>
    </row>
    <row r="535" spans="2:14" x14ac:dyDescent="0.25">
      <c r="B535" s="136">
        <v>46164</v>
      </c>
      <c r="C535" s="139">
        <v>1</v>
      </c>
      <c r="D535" s="139" t="s">
        <v>208</v>
      </c>
      <c r="E535" s="137" t="s">
        <v>209</v>
      </c>
      <c r="F535" s="137" t="s">
        <v>190</v>
      </c>
      <c r="G535" s="137" t="s">
        <v>212</v>
      </c>
      <c r="H535" s="137">
        <v>376</v>
      </c>
      <c r="I535" s="137" t="s">
        <v>165</v>
      </c>
      <c r="J535" s="137">
        <v>560</v>
      </c>
      <c r="K535" s="141">
        <v>6737.92</v>
      </c>
      <c r="L535" s="137" t="s">
        <v>3408</v>
      </c>
      <c r="M535" s="135" t="str">
        <f t="shared" si="8"/>
        <v>SERVENGUSINA PINHEIROPÓ DE BRITA</v>
      </c>
      <c r="N535" s="137" t="s">
        <v>161</v>
      </c>
    </row>
    <row r="536" spans="2:14" x14ac:dyDescent="0.25">
      <c r="B536" s="134">
        <v>46164</v>
      </c>
      <c r="C536" s="138">
        <v>1</v>
      </c>
      <c r="D536" s="138" t="s">
        <v>188</v>
      </c>
      <c r="E536" s="135" t="s">
        <v>189</v>
      </c>
      <c r="F536" s="135" t="s">
        <v>276</v>
      </c>
      <c r="G536" s="135" t="s">
        <v>2033</v>
      </c>
      <c r="H536" s="135">
        <v>323</v>
      </c>
      <c r="I536" s="135" t="s">
        <v>172</v>
      </c>
      <c r="J536" s="135">
        <v>7624</v>
      </c>
      <c r="K536" s="140">
        <v>7880.17</v>
      </c>
      <c r="L536" s="135" t="s">
        <v>3409</v>
      </c>
      <c r="M536" s="135" t="str">
        <f t="shared" si="8"/>
        <v>MINERADORA PORTO FRANCOVALE KM 386BICA CORRIDA</v>
      </c>
      <c r="N536" s="135" t="s">
        <v>15</v>
      </c>
    </row>
    <row r="537" spans="2:14" x14ac:dyDescent="0.25">
      <c r="B537" s="136">
        <v>46164</v>
      </c>
      <c r="C537" s="139">
        <v>1</v>
      </c>
      <c r="D537" s="139" t="s">
        <v>342</v>
      </c>
      <c r="E537" s="137" t="s">
        <v>171</v>
      </c>
      <c r="F537" s="137" t="s">
        <v>163</v>
      </c>
      <c r="G537" s="137" t="s">
        <v>164</v>
      </c>
      <c r="H537" s="137">
        <v>52</v>
      </c>
      <c r="I537" s="137" t="s">
        <v>165</v>
      </c>
      <c r="J537" s="137">
        <v>4362</v>
      </c>
      <c r="K537" s="141">
        <v>839.25</v>
      </c>
      <c r="L537" s="137" t="s">
        <v>3410</v>
      </c>
      <c r="M537" s="135" t="str">
        <f t="shared" si="8"/>
        <v>BRASIL MINERACAOUA SAO LUISPÓ DE BRITA</v>
      </c>
      <c r="N537" s="135" t="s">
        <v>224</v>
      </c>
    </row>
    <row r="538" spans="2:14" x14ac:dyDescent="0.25">
      <c r="B538" s="134">
        <v>46164</v>
      </c>
      <c r="C538" s="138">
        <v>1</v>
      </c>
      <c r="D538" s="138" t="s">
        <v>203</v>
      </c>
      <c r="E538" s="135" t="s">
        <v>204</v>
      </c>
      <c r="F538" s="135" t="s">
        <v>2868</v>
      </c>
      <c r="G538" s="135" t="s">
        <v>2871</v>
      </c>
      <c r="H538" s="135">
        <v>70</v>
      </c>
      <c r="I538" s="135" t="s">
        <v>2869</v>
      </c>
      <c r="J538" s="135">
        <v>51441</v>
      </c>
      <c r="K538" s="140">
        <v>1332.32</v>
      </c>
      <c r="L538" s="135" t="s">
        <v>3411</v>
      </c>
      <c r="M538" s="135" t="str">
        <f t="shared" si="8"/>
        <v>FAZENDA PLATAFORMASILO PRODUCERESSOJA</v>
      </c>
      <c r="N538" s="135" t="s">
        <v>3729</v>
      </c>
    </row>
    <row r="539" spans="2:14" x14ac:dyDescent="0.25">
      <c r="B539" s="136">
        <v>46164</v>
      </c>
      <c r="C539" s="139">
        <v>1</v>
      </c>
      <c r="D539" s="139" t="s">
        <v>283</v>
      </c>
      <c r="E539" s="137" t="s">
        <v>282</v>
      </c>
      <c r="F539" s="137" t="s">
        <v>166</v>
      </c>
      <c r="G539" s="137" t="s">
        <v>111</v>
      </c>
      <c r="H539" s="137">
        <v>79</v>
      </c>
      <c r="I539" s="137" t="s">
        <v>169</v>
      </c>
      <c r="J539" s="137">
        <v>2518</v>
      </c>
      <c r="K539" s="141">
        <v>736.01</v>
      </c>
      <c r="L539" s="137" t="s">
        <v>3412</v>
      </c>
      <c r="M539" s="135" t="str">
        <f t="shared" si="8"/>
        <v>GRANORTEBEIRA RIOPULMÃOZINHO</v>
      </c>
      <c r="N539" s="137" t="s">
        <v>111</v>
      </c>
    </row>
    <row r="540" spans="2:14" x14ac:dyDescent="0.25">
      <c r="B540" s="134">
        <v>46164</v>
      </c>
      <c r="C540" s="138">
        <v>1</v>
      </c>
      <c r="D540" s="138" t="s">
        <v>283</v>
      </c>
      <c r="E540" s="135" t="s">
        <v>282</v>
      </c>
      <c r="F540" s="135" t="s">
        <v>166</v>
      </c>
      <c r="G540" s="135" t="s">
        <v>111</v>
      </c>
      <c r="H540" s="135">
        <v>79</v>
      </c>
      <c r="I540" s="135" t="s">
        <v>169</v>
      </c>
      <c r="J540" s="135">
        <v>2624</v>
      </c>
      <c r="K540" s="140">
        <v>767</v>
      </c>
      <c r="L540" s="135" t="s">
        <v>3413</v>
      </c>
      <c r="M540" s="135" t="str">
        <f t="shared" si="8"/>
        <v>GRANORTEBEIRA RIOPULMÃOZINHO</v>
      </c>
      <c r="N540" s="135" t="s">
        <v>111</v>
      </c>
    </row>
    <row r="541" spans="2:14" x14ac:dyDescent="0.25">
      <c r="B541" s="136">
        <v>46164</v>
      </c>
      <c r="C541" s="139">
        <v>1</v>
      </c>
      <c r="D541" s="139" t="s">
        <v>2866</v>
      </c>
      <c r="E541" s="137" t="s">
        <v>281</v>
      </c>
      <c r="F541" s="137" t="s">
        <v>166</v>
      </c>
      <c r="G541" s="137" t="s">
        <v>111</v>
      </c>
      <c r="H541" s="137">
        <v>79</v>
      </c>
      <c r="I541" s="137" t="s">
        <v>169</v>
      </c>
      <c r="J541" s="137">
        <v>2624</v>
      </c>
      <c r="K541" s="141">
        <v>767</v>
      </c>
      <c r="L541" s="137" t="s">
        <v>3414</v>
      </c>
      <c r="M541" s="135" t="str">
        <f t="shared" si="8"/>
        <v>GRANORTEBEIRA RIOPULMÃOZINHO</v>
      </c>
      <c r="N541" s="137" t="s">
        <v>111</v>
      </c>
    </row>
    <row r="542" spans="2:14" x14ac:dyDescent="0.25">
      <c r="B542" s="134">
        <v>46164</v>
      </c>
      <c r="C542" s="138">
        <v>1</v>
      </c>
      <c r="D542" s="138" t="s">
        <v>286</v>
      </c>
      <c r="E542" s="135" t="s">
        <v>506</v>
      </c>
      <c r="F542" s="135" t="s">
        <v>163</v>
      </c>
      <c r="G542" s="135" t="s">
        <v>164</v>
      </c>
      <c r="H542" s="135">
        <v>52</v>
      </c>
      <c r="I542" s="135" t="s">
        <v>165</v>
      </c>
      <c r="J542" s="135">
        <v>4594</v>
      </c>
      <c r="K542" s="140">
        <v>883.89</v>
      </c>
      <c r="L542" s="135" t="s">
        <v>3415</v>
      </c>
      <c r="M542" s="135" t="str">
        <f t="shared" si="8"/>
        <v>BRASIL MINERACAOUA SAO LUISPÓ DE BRITA</v>
      </c>
      <c r="N542" s="135" t="s">
        <v>224</v>
      </c>
    </row>
    <row r="543" spans="2:14" x14ac:dyDescent="0.25">
      <c r="B543" s="136">
        <v>46164</v>
      </c>
      <c r="C543" s="139">
        <v>1</v>
      </c>
      <c r="D543" s="139" t="s">
        <v>286</v>
      </c>
      <c r="E543" s="137" t="s">
        <v>506</v>
      </c>
      <c r="F543" s="137" t="s">
        <v>163</v>
      </c>
      <c r="G543" s="137" t="s">
        <v>164</v>
      </c>
      <c r="H543" s="137">
        <v>52</v>
      </c>
      <c r="I543" s="137" t="s">
        <v>165</v>
      </c>
      <c r="J543" s="137">
        <v>4604</v>
      </c>
      <c r="K543" s="141">
        <v>885.81</v>
      </c>
      <c r="L543" s="137" t="s">
        <v>3416</v>
      </c>
      <c r="M543" s="135" t="str">
        <f t="shared" si="8"/>
        <v>BRASIL MINERACAOUA SAO LUISPÓ DE BRITA</v>
      </c>
      <c r="N543" s="135" t="s">
        <v>224</v>
      </c>
    </row>
    <row r="544" spans="2:14" x14ac:dyDescent="0.25">
      <c r="B544" s="134">
        <v>46164</v>
      </c>
      <c r="C544" s="138">
        <v>1</v>
      </c>
      <c r="D544" s="138" t="s">
        <v>176</v>
      </c>
      <c r="E544" s="135" t="s">
        <v>177</v>
      </c>
      <c r="F544" s="135" t="s">
        <v>2868</v>
      </c>
      <c r="G544" s="135" t="s">
        <v>2871</v>
      </c>
      <c r="H544" s="135">
        <v>70</v>
      </c>
      <c r="I544" s="135" t="s">
        <v>2869</v>
      </c>
      <c r="J544" s="135">
        <v>5242</v>
      </c>
      <c r="K544" s="140">
        <v>1357.68</v>
      </c>
      <c r="L544" s="135" t="s">
        <v>3417</v>
      </c>
      <c r="M544" s="135" t="str">
        <f t="shared" si="8"/>
        <v>FAZENDA PLATAFORMASILO PRODUCERESSOJA</v>
      </c>
      <c r="N544" s="135" t="s">
        <v>3729</v>
      </c>
    </row>
    <row r="545" spans="2:14" x14ac:dyDescent="0.25">
      <c r="B545" s="136">
        <v>46164</v>
      </c>
      <c r="C545" s="139">
        <v>1</v>
      </c>
      <c r="D545" s="139" t="s">
        <v>270</v>
      </c>
      <c r="E545" s="137" t="s">
        <v>288</v>
      </c>
      <c r="F545" s="137" t="s">
        <v>190</v>
      </c>
      <c r="G545" s="137" t="s">
        <v>212</v>
      </c>
      <c r="H545" s="137">
        <v>376</v>
      </c>
      <c r="I545" s="137" t="s">
        <v>165</v>
      </c>
      <c r="J545" s="137">
        <v>6062</v>
      </c>
      <c r="K545" s="141">
        <v>7293.8</v>
      </c>
      <c r="L545" s="137" t="s">
        <v>3418</v>
      </c>
      <c r="M545" s="135" t="str">
        <f t="shared" si="8"/>
        <v>SERVENGUSINA PINHEIROPÓ DE BRITA</v>
      </c>
      <c r="N545" s="137" t="s">
        <v>161</v>
      </c>
    </row>
    <row r="546" spans="2:14" x14ac:dyDescent="0.25">
      <c r="B546" s="134">
        <v>46164</v>
      </c>
      <c r="C546" s="138">
        <v>1</v>
      </c>
      <c r="D546" s="138" t="s">
        <v>183</v>
      </c>
      <c r="E546" s="135" t="s">
        <v>184</v>
      </c>
      <c r="F546" s="135" t="s">
        <v>166</v>
      </c>
      <c r="G546" s="135" t="s">
        <v>111</v>
      </c>
      <c r="H546" s="135">
        <v>79</v>
      </c>
      <c r="I546" s="135" t="s">
        <v>169</v>
      </c>
      <c r="J546" s="135">
        <v>2888</v>
      </c>
      <c r="K546" s="140">
        <v>844.16</v>
      </c>
      <c r="L546" s="135" t="s">
        <v>3419</v>
      </c>
      <c r="M546" s="135" t="str">
        <f t="shared" si="8"/>
        <v>GRANORTEBEIRA RIOPULMÃOZINHO</v>
      </c>
      <c r="N546" s="135" t="s">
        <v>111</v>
      </c>
    </row>
    <row r="547" spans="2:14" x14ac:dyDescent="0.25">
      <c r="B547" s="136">
        <v>46164</v>
      </c>
      <c r="C547" s="139">
        <v>1</v>
      </c>
      <c r="D547" s="139" t="s">
        <v>183</v>
      </c>
      <c r="E547" s="137" t="s">
        <v>184</v>
      </c>
      <c r="F547" s="137" t="s">
        <v>166</v>
      </c>
      <c r="G547" s="137" t="s">
        <v>111</v>
      </c>
      <c r="H547" s="137">
        <v>79</v>
      </c>
      <c r="I547" s="137" t="s">
        <v>169</v>
      </c>
      <c r="J547" s="137">
        <v>2698</v>
      </c>
      <c r="K547" s="141">
        <v>788.63</v>
      </c>
      <c r="L547" s="137" t="s">
        <v>3420</v>
      </c>
      <c r="M547" s="135" t="str">
        <f t="shared" si="8"/>
        <v>GRANORTEBEIRA RIOPULMÃOZINHO</v>
      </c>
      <c r="N547" s="137" t="s">
        <v>111</v>
      </c>
    </row>
    <row r="548" spans="2:14" x14ac:dyDescent="0.25">
      <c r="B548" s="134">
        <v>46164</v>
      </c>
      <c r="C548" s="138">
        <v>1</v>
      </c>
      <c r="D548" s="138" t="s">
        <v>183</v>
      </c>
      <c r="E548" s="135" t="s">
        <v>184</v>
      </c>
      <c r="F548" s="135" t="s">
        <v>163</v>
      </c>
      <c r="G548" s="135" t="s">
        <v>164</v>
      </c>
      <c r="H548" s="135">
        <v>52</v>
      </c>
      <c r="I548" s="135" t="s">
        <v>175</v>
      </c>
      <c r="J548" s="135">
        <v>2644</v>
      </c>
      <c r="K548" s="140">
        <v>508.71</v>
      </c>
      <c r="L548" s="135" t="s">
        <v>3421</v>
      </c>
      <c r="M548" s="135" t="str">
        <f t="shared" si="8"/>
        <v>BRASIL MINERACAOUA SAO LUISBRITA 0</v>
      </c>
      <c r="N548" s="135" t="s">
        <v>224</v>
      </c>
    </row>
    <row r="549" spans="2:14" x14ac:dyDescent="0.25">
      <c r="B549" s="136">
        <v>46164</v>
      </c>
      <c r="C549" s="139">
        <v>1</v>
      </c>
      <c r="D549" s="139" t="s">
        <v>192</v>
      </c>
      <c r="E549" s="137" t="s">
        <v>287</v>
      </c>
      <c r="F549" s="137" t="s">
        <v>2868</v>
      </c>
      <c r="G549" s="137" t="s">
        <v>2871</v>
      </c>
      <c r="H549" s="137">
        <v>70</v>
      </c>
      <c r="I549" s="137" t="s">
        <v>2869</v>
      </c>
      <c r="J549" s="137">
        <v>518</v>
      </c>
      <c r="K549" s="141">
        <v>1341.62</v>
      </c>
      <c r="L549" s="137" t="s">
        <v>3422</v>
      </c>
      <c r="M549" s="135" t="str">
        <f t="shared" si="8"/>
        <v>FAZENDA PLATAFORMASILO PRODUCERESSOJA</v>
      </c>
      <c r="N549" s="135" t="s">
        <v>3729</v>
      </c>
    </row>
    <row r="550" spans="2:14" x14ac:dyDescent="0.25">
      <c r="B550" s="134">
        <v>46164</v>
      </c>
      <c r="C550" s="138">
        <v>1</v>
      </c>
      <c r="D550" s="138" t="s">
        <v>179</v>
      </c>
      <c r="E550" s="135" t="s">
        <v>2863</v>
      </c>
      <c r="F550" s="135" t="s">
        <v>166</v>
      </c>
      <c r="G550" s="135" t="s">
        <v>111</v>
      </c>
      <c r="H550" s="135">
        <v>79</v>
      </c>
      <c r="I550" s="135" t="s">
        <v>169</v>
      </c>
      <c r="J550" s="135">
        <v>2716</v>
      </c>
      <c r="K550" s="140">
        <v>793.89</v>
      </c>
      <c r="L550" s="135" t="s">
        <v>3423</v>
      </c>
      <c r="M550" s="135" t="str">
        <f t="shared" si="8"/>
        <v>GRANORTEBEIRA RIOPULMÃOZINHO</v>
      </c>
      <c r="N550" s="135" t="s">
        <v>111</v>
      </c>
    </row>
    <row r="551" spans="2:14" x14ac:dyDescent="0.25">
      <c r="B551" s="136">
        <v>46164</v>
      </c>
      <c r="C551" s="139">
        <v>1</v>
      </c>
      <c r="D551" s="139" t="s">
        <v>300</v>
      </c>
      <c r="E551" s="137" t="s">
        <v>1536</v>
      </c>
      <c r="F551" s="137" t="s">
        <v>2757</v>
      </c>
      <c r="G551" s="137" t="s">
        <v>2867</v>
      </c>
      <c r="H551" s="137">
        <v>383</v>
      </c>
      <c r="I551" s="137" t="s">
        <v>207</v>
      </c>
      <c r="J551" s="137">
        <v>5716</v>
      </c>
      <c r="K551" s="141">
        <v>7005.53</v>
      </c>
      <c r="L551" s="137" t="s">
        <v>3424</v>
      </c>
      <c r="M551" s="135" t="str">
        <f t="shared" si="8"/>
        <v>MINERADORA PORTO FRANCO MAVALE KM324RACHÃO</v>
      </c>
      <c r="N551" s="135" t="s">
        <v>15</v>
      </c>
    </row>
    <row r="552" spans="2:14" x14ac:dyDescent="0.25">
      <c r="B552" s="134">
        <v>46164</v>
      </c>
      <c r="C552" s="138">
        <v>1</v>
      </c>
      <c r="D552" s="138" t="s">
        <v>1129</v>
      </c>
      <c r="E552" s="135" t="s">
        <v>2396</v>
      </c>
      <c r="F552" s="135" t="s">
        <v>163</v>
      </c>
      <c r="G552" s="135" t="s">
        <v>111</v>
      </c>
      <c r="H552" s="135">
        <v>75</v>
      </c>
      <c r="I552" s="135" t="s">
        <v>185</v>
      </c>
      <c r="J552" s="135">
        <v>2542</v>
      </c>
      <c r="K552" s="140">
        <v>705.41</v>
      </c>
      <c r="L552" s="135" t="s">
        <v>3425</v>
      </c>
      <c r="M552" s="135" t="str">
        <f t="shared" si="8"/>
        <v>BRASIL MINERACAOBEIRA RIORACHÃOZINHO</v>
      </c>
      <c r="N552" s="135" t="s">
        <v>111</v>
      </c>
    </row>
    <row r="553" spans="2:14" x14ac:dyDescent="0.25">
      <c r="B553" s="136">
        <v>46164</v>
      </c>
      <c r="C553" s="139">
        <v>1</v>
      </c>
      <c r="D553" s="139" t="s">
        <v>179</v>
      </c>
      <c r="E553" s="137" t="s">
        <v>2863</v>
      </c>
      <c r="F553" s="137" t="s">
        <v>166</v>
      </c>
      <c r="G553" s="137" t="s">
        <v>111</v>
      </c>
      <c r="H553" s="137">
        <v>79</v>
      </c>
      <c r="I553" s="137" t="s">
        <v>169</v>
      </c>
      <c r="J553" s="137">
        <v>266</v>
      </c>
      <c r="K553" s="141">
        <v>777.52</v>
      </c>
      <c r="L553" s="137" t="s">
        <v>3426</v>
      </c>
      <c r="M553" s="135" t="str">
        <f t="shared" si="8"/>
        <v>GRANORTEBEIRA RIOPULMÃOZINHO</v>
      </c>
      <c r="N553" s="137" t="s">
        <v>111</v>
      </c>
    </row>
    <row r="554" spans="2:14" x14ac:dyDescent="0.25">
      <c r="B554" s="134">
        <v>46165</v>
      </c>
      <c r="C554" s="138">
        <v>1</v>
      </c>
      <c r="D554" s="138" t="s">
        <v>342</v>
      </c>
      <c r="E554" s="135" t="s">
        <v>171</v>
      </c>
      <c r="F554" s="135" t="s">
        <v>163</v>
      </c>
      <c r="G554" s="135" t="s">
        <v>164</v>
      </c>
      <c r="H554" s="135">
        <v>52</v>
      </c>
      <c r="I554" s="135" t="s">
        <v>175</v>
      </c>
      <c r="J554" s="135">
        <v>4566</v>
      </c>
      <c r="K554" s="140">
        <v>878.5</v>
      </c>
      <c r="L554" s="135" t="s">
        <v>3427</v>
      </c>
      <c r="M554" s="135" t="str">
        <f t="shared" si="8"/>
        <v>BRASIL MINERACAOUA SAO LUISBRITA 0</v>
      </c>
      <c r="N554" s="135" t="s">
        <v>224</v>
      </c>
    </row>
    <row r="555" spans="2:14" x14ac:dyDescent="0.25">
      <c r="B555" s="136">
        <v>46165</v>
      </c>
      <c r="C555" s="139">
        <v>1</v>
      </c>
      <c r="D555" s="139" t="s">
        <v>199</v>
      </c>
      <c r="E555" s="137" t="s">
        <v>180</v>
      </c>
      <c r="F555" s="137" t="s">
        <v>163</v>
      </c>
      <c r="G555" s="137" t="s">
        <v>111</v>
      </c>
      <c r="H555" s="137">
        <v>75</v>
      </c>
      <c r="I555" s="137" t="s">
        <v>185</v>
      </c>
      <c r="J555" s="137">
        <v>2868</v>
      </c>
      <c r="K555" s="141">
        <v>795.87</v>
      </c>
      <c r="L555" s="137" t="s">
        <v>3428</v>
      </c>
      <c r="M555" s="135" t="str">
        <f t="shared" si="8"/>
        <v>BRASIL MINERACAOBEIRA RIORACHÃOZINHO</v>
      </c>
      <c r="N555" s="137" t="s">
        <v>111</v>
      </c>
    </row>
    <row r="556" spans="2:14" x14ac:dyDescent="0.25">
      <c r="B556" s="134">
        <v>46165</v>
      </c>
      <c r="C556" s="138">
        <v>1</v>
      </c>
      <c r="D556" s="138" t="s">
        <v>275</v>
      </c>
      <c r="E556" s="135" t="s">
        <v>178</v>
      </c>
      <c r="F556" s="135" t="s">
        <v>163</v>
      </c>
      <c r="G556" s="135" t="s">
        <v>164</v>
      </c>
      <c r="H556" s="135">
        <v>52</v>
      </c>
      <c r="I556" s="135" t="s">
        <v>175</v>
      </c>
      <c r="J556" s="135">
        <v>5038</v>
      </c>
      <c r="K556" s="140">
        <v>969.31</v>
      </c>
      <c r="L556" s="135" t="s">
        <v>3429</v>
      </c>
      <c r="M556" s="135" t="str">
        <f t="shared" si="8"/>
        <v>BRASIL MINERACAOUA SAO LUISBRITA 0</v>
      </c>
      <c r="N556" s="135" t="s">
        <v>224</v>
      </c>
    </row>
    <row r="557" spans="2:14" x14ac:dyDescent="0.25">
      <c r="B557" s="136">
        <v>46165</v>
      </c>
      <c r="C557" s="139">
        <v>1</v>
      </c>
      <c r="D557" s="139" t="s">
        <v>213</v>
      </c>
      <c r="E557" s="137" t="s">
        <v>1153</v>
      </c>
      <c r="F557" s="137" t="s">
        <v>190</v>
      </c>
      <c r="G557" s="137" t="s">
        <v>212</v>
      </c>
      <c r="H557" s="137">
        <v>376</v>
      </c>
      <c r="I557" s="137" t="s">
        <v>165</v>
      </c>
      <c r="J557" s="137">
        <v>5344</v>
      </c>
      <c r="K557" s="141">
        <v>6429.9</v>
      </c>
      <c r="L557" s="137" t="s">
        <v>3430</v>
      </c>
      <c r="M557" s="135" t="str">
        <f t="shared" si="8"/>
        <v>SERVENGUSINA PINHEIROPÓ DE BRITA</v>
      </c>
      <c r="N557" s="137" t="s">
        <v>161</v>
      </c>
    </row>
    <row r="558" spans="2:14" x14ac:dyDescent="0.25">
      <c r="B558" s="134">
        <v>46165</v>
      </c>
      <c r="C558" s="138">
        <v>1</v>
      </c>
      <c r="D558" s="138" t="s">
        <v>167</v>
      </c>
      <c r="E558" s="135" t="s">
        <v>168</v>
      </c>
      <c r="F558" s="135" t="s">
        <v>166</v>
      </c>
      <c r="G558" s="135" t="s">
        <v>111</v>
      </c>
      <c r="H558" s="135">
        <v>79</v>
      </c>
      <c r="I558" s="135" t="s">
        <v>169</v>
      </c>
      <c r="J558" s="135">
        <v>2588</v>
      </c>
      <c r="K558" s="140">
        <v>756.47</v>
      </c>
      <c r="L558" s="135" t="s">
        <v>3431</v>
      </c>
      <c r="M558" s="135" t="str">
        <f t="shared" si="8"/>
        <v>GRANORTEBEIRA RIOPULMÃOZINHO</v>
      </c>
      <c r="N558" s="135" t="s">
        <v>111</v>
      </c>
    </row>
    <row r="559" spans="2:14" x14ac:dyDescent="0.25">
      <c r="B559" s="136">
        <v>46165</v>
      </c>
      <c r="C559" s="139">
        <v>1</v>
      </c>
      <c r="D559" s="139" t="s">
        <v>167</v>
      </c>
      <c r="E559" s="137" t="s">
        <v>168</v>
      </c>
      <c r="F559" s="137" t="s">
        <v>166</v>
      </c>
      <c r="G559" s="137" t="s">
        <v>111</v>
      </c>
      <c r="H559" s="137">
        <v>79</v>
      </c>
      <c r="I559" s="137" t="s">
        <v>169</v>
      </c>
      <c r="J559" s="137">
        <v>2642</v>
      </c>
      <c r="K559" s="141">
        <v>772.26</v>
      </c>
      <c r="L559" s="137" t="s">
        <v>3432</v>
      </c>
      <c r="M559" s="135" t="str">
        <f t="shared" si="8"/>
        <v>GRANORTEBEIRA RIOPULMÃOZINHO</v>
      </c>
      <c r="N559" s="137" t="s">
        <v>111</v>
      </c>
    </row>
    <row r="560" spans="2:14" x14ac:dyDescent="0.25">
      <c r="B560" s="134">
        <v>46165</v>
      </c>
      <c r="C560" s="138">
        <v>1</v>
      </c>
      <c r="D560" s="138" t="s">
        <v>183</v>
      </c>
      <c r="E560" s="135" t="s">
        <v>184</v>
      </c>
      <c r="F560" s="135" t="s">
        <v>166</v>
      </c>
      <c r="G560" s="135" t="s">
        <v>111</v>
      </c>
      <c r="H560" s="135">
        <v>79</v>
      </c>
      <c r="I560" s="135" t="s">
        <v>169</v>
      </c>
      <c r="J560" s="135">
        <v>2678</v>
      </c>
      <c r="K560" s="140">
        <v>782.78</v>
      </c>
      <c r="L560" s="135" t="s">
        <v>3433</v>
      </c>
      <c r="M560" s="135" t="str">
        <f t="shared" si="8"/>
        <v>GRANORTEBEIRA RIOPULMÃOZINHO</v>
      </c>
      <c r="N560" s="135" t="s">
        <v>111</v>
      </c>
    </row>
    <row r="561" spans="2:14" x14ac:dyDescent="0.25">
      <c r="B561" s="136">
        <v>46165</v>
      </c>
      <c r="C561" s="139">
        <v>1</v>
      </c>
      <c r="D561" s="139" t="s">
        <v>183</v>
      </c>
      <c r="E561" s="137" t="s">
        <v>184</v>
      </c>
      <c r="F561" s="137" t="s">
        <v>166</v>
      </c>
      <c r="G561" s="137" t="s">
        <v>111</v>
      </c>
      <c r="H561" s="137">
        <v>79</v>
      </c>
      <c r="I561" s="137" t="s">
        <v>169</v>
      </c>
      <c r="J561" s="137">
        <v>2656</v>
      </c>
      <c r="K561" s="141">
        <v>776.35</v>
      </c>
      <c r="L561" s="137" t="s">
        <v>3434</v>
      </c>
      <c r="M561" s="135" t="str">
        <f t="shared" si="8"/>
        <v>GRANORTEBEIRA RIOPULMÃOZINHO</v>
      </c>
      <c r="N561" s="137" t="s">
        <v>111</v>
      </c>
    </row>
    <row r="562" spans="2:14" x14ac:dyDescent="0.25">
      <c r="B562" s="134">
        <v>46165</v>
      </c>
      <c r="C562" s="138">
        <v>1</v>
      </c>
      <c r="D562" s="138" t="s">
        <v>208</v>
      </c>
      <c r="E562" s="135" t="s">
        <v>209</v>
      </c>
      <c r="F562" s="135" t="s">
        <v>190</v>
      </c>
      <c r="G562" s="135" t="s">
        <v>198</v>
      </c>
      <c r="H562" s="135">
        <v>70</v>
      </c>
      <c r="I562" s="135" t="s">
        <v>165</v>
      </c>
      <c r="J562" s="135">
        <v>450</v>
      </c>
      <c r="K562" s="140">
        <v>1165.5</v>
      </c>
      <c r="L562" s="135" t="s">
        <v>3435</v>
      </c>
      <c r="M562" s="135" t="str">
        <f t="shared" si="8"/>
        <v>SERVENGUSINA SAO LUISPÓ DE BRITA</v>
      </c>
      <c r="N562" s="135" t="s">
        <v>224</v>
      </c>
    </row>
    <row r="563" spans="2:14" x14ac:dyDescent="0.25">
      <c r="B563" s="136">
        <v>46165</v>
      </c>
      <c r="C563" s="139">
        <v>1</v>
      </c>
      <c r="D563" s="139" t="s">
        <v>199</v>
      </c>
      <c r="E563" s="137" t="s">
        <v>180</v>
      </c>
      <c r="F563" s="137" t="s">
        <v>166</v>
      </c>
      <c r="G563" s="137" t="s">
        <v>111</v>
      </c>
      <c r="H563" s="137">
        <v>79</v>
      </c>
      <c r="I563" s="137" t="s">
        <v>169</v>
      </c>
      <c r="J563" s="137">
        <v>2618</v>
      </c>
      <c r="K563" s="141">
        <v>765.24</v>
      </c>
      <c r="L563" s="137" t="s">
        <v>3436</v>
      </c>
      <c r="M563" s="135" t="str">
        <f t="shared" si="8"/>
        <v>GRANORTEBEIRA RIOPULMÃOZINHO</v>
      </c>
      <c r="N563" s="137" t="s">
        <v>111</v>
      </c>
    </row>
    <row r="564" spans="2:14" x14ac:dyDescent="0.25">
      <c r="B564" s="134">
        <v>46165</v>
      </c>
      <c r="C564" s="138">
        <v>1</v>
      </c>
      <c r="D564" s="138" t="s">
        <v>203</v>
      </c>
      <c r="E564" s="135" t="s">
        <v>204</v>
      </c>
      <c r="F564" s="135" t="s">
        <v>2868</v>
      </c>
      <c r="G564" s="135" t="s">
        <v>2871</v>
      </c>
      <c r="H564" s="135">
        <v>70</v>
      </c>
      <c r="I564" s="135" t="s">
        <v>2869</v>
      </c>
      <c r="J564" s="135">
        <v>5182</v>
      </c>
      <c r="K564" s="140">
        <v>1342.14</v>
      </c>
      <c r="L564" s="135" t="s">
        <v>3437</v>
      </c>
      <c r="M564" s="135" t="str">
        <f t="shared" si="8"/>
        <v>FAZENDA PLATAFORMASILO PRODUCERESSOJA</v>
      </c>
      <c r="N564" s="135" t="s">
        <v>3729</v>
      </c>
    </row>
    <row r="565" spans="2:14" x14ac:dyDescent="0.25">
      <c r="B565" s="136">
        <v>46165</v>
      </c>
      <c r="C565" s="139">
        <v>1</v>
      </c>
      <c r="D565" s="139" t="s">
        <v>176</v>
      </c>
      <c r="E565" s="137" t="s">
        <v>177</v>
      </c>
      <c r="F565" s="137" t="s">
        <v>2868</v>
      </c>
      <c r="G565" s="137" t="s">
        <v>2871</v>
      </c>
      <c r="H565" s="137">
        <v>70</v>
      </c>
      <c r="I565" s="137" t="s">
        <v>2869</v>
      </c>
      <c r="J565" s="137">
        <v>5166</v>
      </c>
      <c r="K565" s="141">
        <v>1337.99</v>
      </c>
      <c r="L565" s="137" t="s">
        <v>3438</v>
      </c>
      <c r="M565" s="135" t="str">
        <f t="shared" si="8"/>
        <v>FAZENDA PLATAFORMASILO PRODUCERESSOJA</v>
      </c>
      <c r="N565" s="135" t="s">
        <v>3729</v>
      </c>
    </row>
    <row r="566" spans="2:14" x14ac:dyDescent="0.25">
      <c r="B566" s="134">
        <v>46165</v>
      </c>
      <c r="C566" s="138">
        <v>1</v>
      </c>
      <c r="D566" s="138" t="s">
        <v>192</v>
      </c>
      <c r="E566" s="135" t="s">
        <v>287</v>
      </c>
      <c r="F566" s="135" t="s">
        <v>2868</v>
      </c>
      <c r="G566" s="135" t="s">
        <v>2871</v>
      </c>
      <c r="H566" s="135">
        <v>70</v>
      </c>
      <c r="I566" s="135" t="s">
        <v>2869</v>
      </c>
      <c r="J566" s="135">
        <v>5318</v>
      </c>
      <c r="K566" s="140">
        <v>1377.36</v>
      </c>
      <c r="L566" s="135" t="s">
        <v>3439</v>
      </c>
      <c r="M566" s="135" t="str">
        <f t="shared" si="8"/>
        <v>FAZENDA PLATAFORMASILO PRODUCERESSOJA</v>
      </c>
      <c r="N566" s="135" t="s">
        <v>3729</v>
      </c>
    </row>
    <row r="567" spans="2:14" x14ac:dyDescent="0.25">
      <c r="B567" s="136">
        <v>46165</v>
      </c>
      <c r="C567" s="139">
        <v>1</v>
      </c>
      <c r="D567" s="139" t="s">
        <v>193</v>
      </c>
      <c r="E567" s="137" t="s">
        <v>285</v>
      </c>
      <c r="F567" s="137" t="s">
        <v>166</v>
      </c>
      <c r="G567" s="137" t="s">
        <v>111</v>
      </c>
      <c r="H567" s="137">
        <v>79</v>
      </c>
      <c r="I567" s="137" t="s">
        <v>169</v>
      </c>
      <c r="J567" s="137">
        <v>2558</v>
      </c>
      <c r="K567" s="141">
        <v>747.7</v>
      </c>
      <c r="L567" s="137" t="s">
        <v>3440</v>
      </c>
      <c r="M567" s="135" t="str">
        <f t="shared" si="8"/>
        <v>GRANORTEBEIRA RIOPULMÃOZINHO</v>
      </c>
      <c r="N567" s="137" t="s">
        <v>111</v>
      </c>
    </row>
    <row r="568" spans="2:14" x14ac:dyDescent="0.25">
      <c r="B568" s="134">
        <v>46165</v>
      </c>
      <c r="C568" s="138">
        <v>1</v>
      </c>
      <c r="D568" s="138" t="s">
        <v>286</v>
      </c>
      <c r="E568" s="135" t="s">
        <v>506</v>
      </c>
      <c r="F568" s="135" t="s">
        <v>163</v>
      </c>
      <c r="G568" s="135" t="s">
        <v>164</v>
      </c>
      <c r="H568" s="135">
        <v>52</v>
      </c>
      <c r="I568" s="135" t="s">
        <v>175</v>
      </c>
      <c r="J568" s="135">
        <v>4458</v>
      </c>
      <c r="K568" s="140">
        <v>857.72</v>
      </c>
      <c r="L568" s="135" t="s">
        <v>3441</v>
      </c>
      <c r="M568" s="135" t="str">
        <f t="shared" si="8"/>
        <v>BRASIL MINERACAOUA SAO LUISBRITA 0</v>
      </c>
      <c r="N568" s="135" t="s">
        <v>224</v>
      </c>
    </row>
    <row r="569" spans="2:14" x14ac:dyDescent="0.25">
      <c r="B569" s="136">
        <v>46165</v>
      </c>
      <c r="C569" s="139">
        <v>1</v>
      </c>
      <c r="D569" s="139" t="s">
        <v>219</v>
      </c>
      <c r="E569" s="137" t="s">
        <v>220</v>
      </c>
      <c r="F569" s="137" t="s">
        <v>163</v>
      </c>
      <c r="G569" s="137" t="s">
        <v>164</v>
      </c>
      <c r="H569" s="137">
        <v>52</v>
      </c>
      <c r="I569" s="137" t="s">
        <v>175</v>
      </c>
      <c r="J569" s="137">
        <v>627</v>
      </c>
      <c r="K569" s="141">
        <v>1206.3499999999999</v>
      </c>
      <c r="L569" s="137" t="s">
        <v>3442</v>
      </c>
      <c r="M569" s="135" t="str">
        <f t="shared" si="8"/>
        <v>BRASIL MINERACAOUA SAO LUISBRITA 0</v>
      </c>
      <c r="N569" s="135" t="s">
        <v>224</v>
      </c>
    </row>
    <row r="570" spans="2:14" x14ac:dyDescent="0.25">
      <c r="B570" s="134">
        <v>46166</v>
      </c>
      <c r="C570" s="138">
        <v>1</v>
      </c>
      <c r="D570" s="138" t="s">
        <v>203</v>
      </c>
      <c r="E570" s="135" t="s">
        <v>204</v>
      </c>
      <c r="F570" s="135" t="s">
        <v>2868</v>
      </c>
      <c r="G570" s="135" t="s">
        <v>2871</v>
      </c>
      <c r="H570" s="135">
        <v>70</v>
      </c>
      <c r="I570" s="135" t="s">
        <v>2869</v>
      </c>
      <c r="J570" s="135">
        <v>4776</v>
      </c>
      <c r="K570" s="140">
        <v>1236.98</v>
      </c>
      <c r="L570" s="135" t="s">
        <v>3443</v>
      </c>
      <c r="M570" s="135" t="str">
        <f t="shared" si="8"/>
        <v>FAZENDA PLATAFORMASILO PRODUCERESSOJA</v>
      </c>
      <c r="N570" s="135" t="s">
        <v>3729</v>
      </c>
    </row>
    <row r="571" spans="2:14" x14ac:dyDescent="0.25">
      <c r="B571" s="136">
        <v>46166</v>
      </c>
      <c r="C571" s="139">
        <v>1</v>
      </c>
      <c r="D571" s="139" t="s">
        <v>176</v>
      </c>
      <c r="E571" s="137" t="s">
        <v>177</v>
      </c>
      <c r="F571" s="137" t="s">
        <v>2868</v>
      </c>
      <c r="G571" s="137" t="s">
        <v>2871</v>
      </c>
      <c r="H571" s="137">
        <v>70</v>
      </c>
      <c r="I571" s="137" t="s">
        <v>2869</v>
      </c>
      <c r="J571" s="137">
        <v>5614</v>
      </c>
      <c r="K571" s="141">
        <v>1454.03</v>
      </c>
      <c r="L571" s="137" t="s">
        <v>3444</v>
      </c>
      <c r="M571" s="135" t="str">
        <f t="shared" si="8"/>
        <v>FAZENDA PLATAFORMASILO PRODUCERESSOJA</v>
      </c>
      <c r="N571" s="135" t="s">
        <v>3729</v>
      </c>
    </row>
    <row r="572" spans="2:14" x14ac:dyDescent="0.25">
      <c r="B572" s="134">
        <v>46166</v>
      </c>
      <c r="C572" s="138">
        <v>1</v>
      </c>
      <c r="D572" s="138" t="s">
        <v>210</v>
      </c>
      <c r="E572" s="135" t="s">
        <v>211</v>
      </c>
      <c r="F572" s="135" t="s">
        <v>2868</v>
      </c>
      <c r="G572" s="135" t="s">
        <v>2871</v>
      </c>
      <c r="H572" s="135">
        <v>70</v>
      </c>
      <c r="I572" s="135" t="s">
        <v>2869</v>
      </c>
      <c r="J572" s="135">
        <v>54955</v>
      </c>
      <c r="K572" s="140">
        <v>1423.33</v>
      </c>
      <c r="L572" s="135" t="s">
        <v>3445</v>
      </c>
      <c r="M572" s="135" t="str">
        <f t="shared" si="8"/>
        <v>FAZENDA PLATAFORMASILO PRODUCERESSOJA</v>
      </c>
      <c r="N572" s="135" t="s">
        <v>3729</v>
      </c>
    </row>
    <row r="573" spans="2:14" x14ac:dyDescent="0.25">
      <c r="B573" s="136">
        <v>46166</v>
      </c>
      <c r="C573" s="139">
        <v>1</v>
      </c>
      <c r="D573" s="139" t="s">
        <v>1948</v>
      </c>
      <c r="E573" s="137" t="s">
        <v>1949</v>
      </c>
      <c r="F573" s="137" t="s">
        <v>2868</v>
      </c>
      <c r="G573" s="137" t="s">
        <v>2871</v>
      </c>
      <c r="H573" s="137">
        <v>70</v>
      </c>
      <c r="I573" s="137" t="s">
        <v>2869</v>
      </c>
      <c r="J573" s="137">
        <v>552</v>
      </c>
      <c r="K573" s="141">
        <v>1429.68</v>
      </c>
      <c r="L573" s="137" t="s">
        <v>3446</v>
      </c>
      <c r="M573" s="135" t="str">
        <f t="shared" si="8"/>
        <v>FAZENDA PLATAFORMASILO PRODUCERESSOJA</v>
      </c>
      <c r="N573" s="135" t="s">
        <v>3729</v>
      </c>
    </row>
    <row r="574" spans="2:14" x14ac:dyDescent="0.25">
      <c r="B574" s="134">
        <v>46166</v>
      </c>
      <c r="C574" s="138">
        <v>1</v>
      </c>
      <c r="D574" s="138" t="s">
        <v>192</v>
      </c>
      <c r="E574" s="135" t="s">
        <v>287</v>
      </c>
      <c r="F574" s="135" t="s">
        <v>2868</v>
      </c>
      <c r="G574" s="135" t="s">
        <v>2871</v>
      </c>
      <c r="H574" s="135">
        <v>70</v>
      </c>
      <c r="I574" s="135" t="s">
        <v>2869</v>
      </c>
      <c r="J574" s="135">
        <v>5376</v>
      </c>
      <c r="K574" s="140">
        <v>1392.38</v>
      </c>
      <c r="L574" s="135" t="s">
        <v>3447</v>
      </c>
      <c r="M574" s="135" t="str">
        <f t="shared" si="8"/>
        <v>FAZENDA PLATAFORMASILO PRODUCERESSOJA</v>
      </c>
      <c r="N574" s="135" t="s">
        <v>3729</v>
      </c>
    </row>
    <row r="575" spans="2:14" x14ac:dyDescent="0.25">
      <c r="B575" s="136">
        <v>46166</v>
      </c>
      <c r="C575" s="139">
        <v>1</v>
      </c>
      <c r="D575" s="139" t="s">
        <v>200</v>
      </c>
      <c r="E575" s="137" t="s">
        <v>201</v>
      </c>
      <c r="F575" s="137" t="s">
        <v>2868</v>
      </c>
      <c r="G575" s="137" t="s">
        <v>2871</v>
      </c>
      <c r="H575" s="137">
        <v>70</v>
      </c>
      <c r="I575" s="137" t="s">
        <v>2869</v>
      </c>
      <c r="J575" s="137">
        <v>4234</v>
      </c>
      <c r="K575" s="141">
        <v>1096.6099999999999</v>
      </c>
      <c r="L575" s="137" t="s">
        <v>3448</v>
      </c>
      <c r="M575" s="135" t="str">
        <f t="shared" si="8"/>
        <v>FAZENDA PLATAFORMASILO PRODUCERESSOJA</v>
      </c>
      <c r="N575" s="135" t="s">
        <v>3729</v>
      </c>
    </row>
    <row r="576" spans="2:14" x14ac:dyDescent="0.25">
      <c r="B576" s="134">
        <v>46167</v>
      </c>
      <c r="C576" s="138">
        <v>1</v>
      </c>
      <c r="D576" s="138" t="s">
        <v>342</v>
      </c>
      <c r="E576" s="135" t="s">
        <v>171</v>
      </c>
      <c r="F576" s="135" t="s">
        <v>163</v>
      </c>
      <c r="G576" s="135" t="s">
        <v>164</v>
      </c>
      <c r="H576" s="135">
        <v>52</v>
      </c>
      <c r="I576" s="135" t="s">
        <v>175</v>
      </c>
      <c r="J576" s="135">
        <v>4796</v>
      </c>
      <c r="K576" s="140">
        <v>922.75</v>
      </c>
      <c r="L576" s="135" t="s">
        <v>3449</v>
      </c>
      <c r="M576" s="135" t="str">
        <f t="shared" si="8"/>
        <v>BRASIL MINERACAOUA SAO LUISBRITA 0</v>
      </c>
      <c r="N576" s="135" t="s">
        <v>224</v>
      </c>
    </row>
    <row r="577" spans="2:14" x14ac:dyDescent="0.25">
      <c r="B577" s="136">
        <v>46167</v>
      </c>
      <c r="C577" s="139">
        <v>1</v>
      </c>
      <c r="D577" s="139" t="s">
        <v>2866</v>
      </c>
      <c r="E577" s="137" t="s">
        <v>281</v>
      </c>
      <c r="F577" s="137" t="s">
        <v>166</v>
      </c>
      <c r="G577" s="137" t="s">
        <v>164</v>
      </c>
      <c r="H577" s="137">
        <v>58</v>
      </c>
      <c r="I577" s="137" t="s">
        <v>195</v>
      </c>
      <c r="J577" s="137">
        <v>4518</v>
      </c>
      <c r="K577" s="141">
        <v>969.56</v>
      </c>
      <c r="L577" s="137" t="s">
        <v>3450</v>
      </c>
      <c r="M577" s="135" t="str">
        <f t="shared" si="8"/>
        <v>GRANORTEUA SAO LUISBRITA 1</v>
      </c>
      <c r="N577" s="135" t="s">
        <v>224</v>
      </c>
    </row>
    <row r="578" spans="2:14" x14ac:dyDescent="0.25">
      <c r="B578" s="134">
        <v>46167</v>
      </c>
      <c r="C578" s="138">
        <v>1</v>
      </c>
      <c r="D578" s="138" t="s">
        <v>219</v>
      </c>
      <c r="E578" s="135" t="s">
        <v>220</v>
      </c>
      <c r="F578" s="135" t="s">
        <v>163</v>
      </c>
      <c r="G578" s="135" t="s">
        <v>164</v>
      </c>
      <c r="H578" s="135">
        <v>52</v>
      </c>
      <c r="I578" s="135" t="s">
        <v>165</v>
      </c>
      <c r="J578" s="135">
        <v>523</v>
      </c>
      <c r="K578" s="140">
        <v>1006.25</v>
      </c>
      <c r="L578" s="135" t="s">
        <v>3451</v>
      </c>
      <c r="M578" s="135" t="str">
        <f t="shared" si="8"/>
        <v>BRASIL MINERACAOUA SAO LUISPÓ DE BRITA</v>
      </c>
      <c r="N578" s="135" t="s">
        <v>224</v>
      </c>
    </row>
    <row r="579" spans="2:14" x14ac:dyDescent="0.25">
      <c r="B579" s="136">
        <v>46167</v>
      </c>
      <c r="C579" s="139">
        <v>1</v>
      </c>
      <c r="D579" s="139" t="s">
        <v>210</v>
      </c>
      <c r="E579" s="137" t="s">
        <v>211</v>
      </c>
      <c r="F579" s="137" t="s">
        <v>2868</v>
      </c>
      <c r="G579" s="137" t="s">
        <v>2871</v>
      </c>
      <c r="H579" s="137">
        <v>70</v>
      </c>
      <c r="I579" s="137" t="s">
        <v>2869</v>
      </c>
      <c r="J579" s="137">
        <v>5489</v>
      </c>
      <c r="K579" s="141">
        <v>1421.65</v>
      </c>
      <c r="L579" s="137" t="s">
        <v>3452</v>
      </c>
      <c r="M579" s="135" t="str">
        <f t="shared" si="8"/>
        <v>FAZENDA PLATAFORMASILO PRODUCERESSOJA</v>
      </c>
      <c r="N579" s="135" t="s">
        <v>3729</v>
      </c>
    </row>
    <row r="580" spans="2:14" x14ac:dyDescent="0.25">
      <c r="B580" s="134">
        <v>46167</v>
      </c>
      <c r="C580" s="138">
        <v>1</v>
      </c>
      <c r="D580" s="138" t="s">
        <v>188</v>
      </c>
      <c r="E580" s="135" t="s">
        <v>189</v>
      </c>
      <c r="F580" s="135" t="s">
        <v>276</v>
      </c>
      <c r="G580" s="135" t="s">
        <v>2033</v>
      </c>
      <c r="H580" s="135">
        <v>323</v>
      </c>
      <c r="I580" s="135" t="s">
        <v>172</v>
      </c>
      <c r="J580" s="135">
        <v>7814</v>
      </c>
      <c r="K580" s="140">
        <v>8076.55</v>
      </c>
      <c r="L580" s="135" t="s">
        <v>3453</v>
      </c>
      <c r="M580" s="135" t="str">
        <f t="shared" si="8"/>
        <v>MINERADORA PORTO FRANCOVALE KM 386BICA CORRIDA</v>
      </c>
      <c r="N580" s="135" t="s">
        <v>15</v>
      </c>
    </row>
    <row r="581" spans="2:14" x14ac:dyDescent="0.25">
      <c r="B581" s="136">
        <v>46167</v>
      </c>
      <c r="C581" s="139">
        <v>1</v>
      </c>
      <c r="D581" s="139" t="s">
        <v>199</v>
      </c>
      <c r="E581" s="137" t="s">
        <v>180</v>
      </c>
      <c r="F581" s="137" t="s">
        <v>166</v>
      </c>
      <c r="G581" s="137" t="s">
        <v>111</v>
      </c>
      <c r="H581" s="137">
        <v>79</v>
      </c>
      <c r="I581" s="137" t="s">
        <v>169</v>
      </c>
      <c r="J581" s="137">
        <v>2746</v>
      </c>
      <c r="K581" s="141">
        <v>802.66</v>
      </c>
      <c r="L581" s="137" t="s">
        <v>3454</v>
      </c>
      <c r="M581" s="135" t="str">
        <f t="shared" ref="M581:M644" si="9">CONCATENATE(F581&amp;G581&amp;I581)</f>
        <v>GRANORTEBEIRA RIOPULMÃOZINHO</v>
      </c>
      <c r="N581" s="137" t="s">
        <v>111</v>
      </c>
    </row>
    <row r="582" spans="2:14" x14ac:dyDescent="0.25">
      <c r="B582" s="134">
        <v>46167</v>
      </c>
      <c r="C582" s="138">
        <v>1</v>
      </c>
      <c r="D582" s="138" t="s">
        <v>203</v>
      </c>
      <c r="E582" s="135" t="s">
        <v>204</v>
      </c>
      <c r="F582" s="135" t="s">
        <v>2868</v>
      </c>
      <c r="G582" s="135" t="s">
        <v>2871</v>
      </c>
      <c r="H582" s="135">
        <v>70</v>
      </c>
      <c r="I582" s="135" t="s">
        <v>2869</v>
      </c>
      <c r="J582" s="135">
        <v>5548</v>
      </c>
      <c r="K582" s="140">
        <v>1436.93</v>
      </c>
      <c r="L582" s="135" t="s">
        <v>3455</v>
      </c>
      <c r="M582" s="135" t="str">
        <f t="shared" si="9"/>
        <v>FAZENDA PLATAFORMASILO PRODUCERESSOJA</v>
      </c>
      <c r="N582" s="135" t="s">
        <v>3729</v>
      </c>
    </row>
    <row r="583" spans="2:14" x14ac:dyDescent="0.25">
      <c r="B583" s="136">
        <v>46167</v>
      </c>
      <c r="C583" s="139">
        <v>1</v>
      </c>
      <c r="D583" s="139" t="s">
        <v>167</v>
      </c>
      <c r="E583" s="137" t="s">
        <v>168</v>
      </c>
      <c r="F583" s="137" t="s">
        <v>166</v>
      </c>
      <c r="G583" s="137" t="s">
        <v>111</v>
      </c>
      <c r="H583" s="137">
        <v>79</v>
      </c>
      <c r="I583" s="137" t="s">
        <v>169</v>
      </c>
      <c r="J583" s="137">
        <v>250</v>
      </c>
      <c r="K583" s="141">
        <v>730.75</v>
      </c>
      <c r="L583" s="137" t="s">
        <v>3456</v>
      </c>
      <c r="M583" s="135" t="str">
        <f t="shared" si="9"/>
        <v>GRANORTEBEIRA RIOPULMÃOZINHO</v>
      </c>
      <c r="N583" s="137" t="s">
        <v>111</v>
      </c>
    </row>
    <row r="584" spans="2:14" x14ac:dyDescent="0.25">
      <c r="B584" s="134">
        <v>46167</v>
      </c>
      <c r="C584" s="138">
        <v>1</v>
      </c>
      <c r="D584" s="138" t="s">
        <v>167</v>
      </c>
      <c r="E584" s="135" t="s">
        <v>168</v>
      </c>
      <c r="F584" s="135" t="s">
        <v>166</v>
      </c>
      <c r="G584" s="135" t="s">
        <v>111</v>
      </c>
      <c r="H584" s="135">
        <v>79</v>
      </c>
      <c r="I584" s="135" t="s">
        <v>169</v>
      </c>
      <c r="J584" s="135">
        <v>275</v>
      </c>
      <c r="K584" s="140">
        <v>803.83</v>
      </c>
      <c r="L584" s="135" t="s">
        <v>3457</v>
      </c>
      <c r="M584" s="135" t="str">
        <f t="shared" si="9"/>
        <v>GRANORTEBEIRA RIOPULMÃOZINHO</v>
      </c>
      <c r="N584" s="135" t="s">
        <v>111</v>
      </c>
    </row>
    <row r="585" spans="2:14" x14ac:dyDescent="0.25">
      <c r="B585" s="136">
        <v>46167</v>
      </c>
      <c r="C585" s="139">
        <v>1</v>
      </c>
      <c r="D585" s="139" t="s">
        <v>199</v>
      </c>
      <c r="E585" s="137" t="s">
        <v>180</v>
      </c>
      <c r="F585" s="137" t="s">
        <v>166</v>
      </c>
      <c r="G585" s="137" t="s">
        <v>111</v>
      </c>
      <c r="H585" s="137">
        <v>79</v>
      </c>
      <c r="I585" s="137" t="s">
        <v>169</v>
      </c>
      <c r="J585" s="137">
        <v>2856</v>
      </c>
      <c r="K585" s="141">
        <v>834.81</v>
      </c>
      <c r="L585" s="137" t="s">
        <v>3458</v>
      </c>
      <c r="M585" s="135" t="str">
        <f t="shared" si="9"/>
        <v>GRANORTEBEIRA RIOPULMÃOZINHO</v>
      </c>
      <c r="N585" s="137" t="s">
        <v>111</v>
      </c>
    </row>
    <row r="586" spans="2:14" x14ac:dyDescent="0.25">
      <c r="B586" s="134">
        <v>46167</v>
      </c>
      <c r="C586" s="138">
        <v>1</v>
      </c>
      <c r="D586" s="138" t="s">
        <v>210</v>
      </c>
      <c r="E586" s="135" t="s">
        <v>211</v>
      </c>
      <c r="F586" s="135" t="s">
        <v>2868</v>
      </c>
      <c r="G586" s="135" t="s">
        <v>2871</v>
      </c>
      <c r="H586" s="135">
        <v>70</v>
      </c>
      <c r="I586" s="135" t="s">
        <v>2869</v>
      </c>
      <c r="J586" s="135">
        <v>5576</v>
      </c>
      <c r="K586" s="140">
        <v>1444.18</v>
      </c>
      <c r="L586" s="135" t="s">
        <v>3459</v>
      </c>
      <c r="M586" s="135" t="str">
        <f t="shared" si="9"/>
        <v>FAZENDA PLATAFORMASILO PRODUCERESSOJA</v>
      </c>
      <c r="N586" s="135" t="s">
        <v>3729</v>
      </c>
    </row>
    <row r="587" spans="2:14" x14ac:dyDescent="0.25">
      <c r="B587" s="136">
        <v>46167</v>
      </c>
      <c r="C587" s="139">
        <v>1</v>
      </c>
      <c r="D587" s="139" t="s">
        <v>179</v>
      </c>
      <c r="E587" s="137" t="s">
        <v>2863</v>
      </c>
      <c r="F587" s="137" t="s">
        <v>166</v>
      </c>
      <c r="G587" s="137" t="s">
        <v>111</v>
      </c>
      <c r="H587" s="137">
        <v>79</v>
      </c>
      <c r="I587" s="137" t="s">
        <v>169</v>
      </c>
      <c r="J587" s="137">
        <v>2592</v>
      </c>
      <c r="K587" s="141">
        <v>757.64</v>
      </c>
      <c r="L587" s="137" t="s">
        <v>3460</v>
      </c>
      <c r="M587" s="135" t="str">
        <f t="shared" si="9"/>
        <v>GRANORTEBEIRA RIOPULMÃOZINHO</v>
      </c>
      <c r="N587" s="137" t="s">
        <v>111</v>
      </c>
    </row>
    <row r="588" spans="2:14" x14ac:dyDescent="0.25">
      <c r="B588" s="134">
        <v>46167</v>
      </c>
      <c r="C588" s="138">
        <v>1</v>
      </c>
      <c r="D588" s="138" t="s">
        <v>179</v>
      </c>
      <c r="E588" s="135" t="s">
        <v>2863</v>
      </c>
      <c r="F588" s="135" t="s">
        <v>166</v>
      </c>
      <c r="G588" s="135" t="s">
        <v>111</v>
      </c>
      <c r="H588" s="135">
        <v>79</v>
      </c>
      <c r="I588" s="135" t="s">
        <v>169</v>
      </c>
      <c r="J588" s="135">
        <v>2714</v>
      </c>
      <c r="K588" s="140">
        <v>793.3</v>
      </c>
      <c r="L588" s="135" t="s">
        <v>3461</v>
      </c>
      <c r="M588" s="135" t="str">
        <f t="shared" si="9"/>
        <v>GRANORTEBEIRA RIOPULMÃOZINHO</v>
      </c>
      <c r="N588" s="135" t="s">
        <v>111</v>
      </c>
    </row>
    <row r="589" spans="2:14" x14ac:dyDescent="0.25">
      <c r="B589" s="136">
        <v>46167</v>
      </c>
      <c r="C589" s="139">
        <v>1</v>
      </c>
      <c r="D589" s="139" t="s">
        <v>176</v>
      </c>
      <c r="E589" s="137" t="s">
        <v>177</v>
      </c>
      <c r="F589" s="137" t="s">
        <v>2868</v>
      </c>
      <c r="G589" s="137" t="s">
        <v>2871</v>
      </c>
      <c r="H589" s="137">
        <v>70</v>
      </c>
      <c r="I589" s="137" t="s">
        <v>2869</v>
      </c>
      <c r="J589" s="137">
        <v>5352</v>
      </c>
      <c r="K589" s="141">
        <v>1386.17</v>
      </c>
      <c r="L589" s="137" t="s">
        <v>3462</v>
      </c>
      <c r="M589" s="135" t="str">
        <f t="shared" si="9"/>
        <v>FAZENDA PLATAFORMASILO PRODUCERESSOJA</v>
      </c>
      <c r="N589" s="135" t="s">
        <v>3729</v>
      </c>
    </row>
    <row r="590" spans="2:14" x14ac:dyDescent="0.25">
      <c r="B590" s="134">
        <v>46167</v>
      </c>
      <c r="C590" s="138">
        <v>1</v>
      </c>
      <c r="D590" s="138" t="s">
        <v>192</v>
      </c>
      <c r="E590" s="135" t="s">
        <v>287</v>
      </c>
      <c r="F590" s="135" t="s">
        <v>2868</v>
      </c>
      <c r="G590" s="135" t="s">
        <v>2871</v>
      </c>
      <c r="H590" s="135">
        <v>70</v>
      </c>
      <c r="I590" s="135" t="s">
        <v>2869</v>
      </c>
      <c r="J590" s="135">
        <v>5596</v>
      </c>
      <c r="K590" s="140">
        <v>1449.36</v>
      </c>
      <c r="L590" s="135" t="s">
        <v>3463</v>
      </c>
      <c r="M590" s="135" t="str">
        <f t="shared" si="9"/>
        <v>FAZENDA PLATAFORMASILO PRODUCERESSOJA</v>
      </c>
      <c r="N590" s="135" t="s">
        <v>3729</v>
      </c>
    </row>
    <row r="591" spans="2:14" x14ac:dyDescent="0.25">
      <c r="B591" s="136">
        <v>46167</v>
      </c>
      <c r="C591" s="139">
        <v>1</v>
      </c>
      <c r="D591" s="139" t="s">
        <v>183</v>
      </c>
      <c r="E591" s="137" t="s">
        <v>184</v>
      </c>
      <c r="F591" s="137" t="s">
        <v>166</v>
      </c>
      <c r="G591" s="137" t="s">
        <v>111</v>
      </c>
      <c r="H591" s="137">
        <v>79</v>
      </c>
      <c r="I591" s="137" t="s">
        <v>169</v>
      </c>
      <c r="J591" s="137">
        <v>2618</v>
      </c>
      <c r="K591" s="141">
        <v>765.24</v>
      </c>
      <c r="L591" s="137" t="s">
        <v>3464</v>
      </c>
      <c r="M591" s="135" t="str">
        <f t="shared" si="9"/>
        <v>GRANORTEBEIRA RIOPULMÃOZINHO</v>
      </c>
      <c r="N591" s="137" t="s">
        <v>111</v>
      </c>
    </row>
    <row r="592" spans="2:14" x14ac:dyDescent="0.25">
      <c r="B592" s="134">
        <v>46167</v>
      </c>
      <c r="C592" s="138">
        <v>1</v>
      </c>
      <c r="D592" s="138" t="s">
        <v>183</v>
      </c>
      <c r="E592" s="135" t="s">
        <v>184</v>
      </c>
      <c r="F592" s="135" t="s">
        <v>166</v>
      </c>
      <c r="G592" s="135" t="s">
        <v>111</v>
      </c>
      <c r="H592" s="135">
        <v>79</v>
      </c>
      <c r="I592" s="135" t="s">
        <v>169</v>
      </c>
      <c r="J592" s="135">
        <v>2586</v>
      </c>
      <c r="K592" s="140">
        <v>755.89</v>
      </c>
      <c r="L592" s="135" t="s">
        <v>3465</v>
      </c>
      <c r="M592" s="135" t="str">
        <f t="shared" si="9"/>
        <v>GRANORTEBEIRA RIOPULMÃOZINHO</v>
      </c>
      <c r="N592" s="135" t="s">
        <v>111</v>
      </c>
    </row>
    <row r="593" spans="2:14" x14ac:dyDescent="0.25">
      <c r="B593" s="136">
        <v>46167</v>
      </c>
      <c r="C593" s="139">
        <v>1</v>
      </c>
      <c r="D593" s="139" t="s">
        <v>199</v>
      </c>
      <c r="E593" s="137" t="s">
        <v>180</v>
      </c>
      <c r="F593" s="137" t="s">
        <v>166</v>
      </c>
      <c r="G593" s="137" t="s">
        <v>164</v>
      </c>
      <c r="H593" s="137">
        <v>58</v>
      </c>
      <c r="I593" s="137" t="s">
        <v>165</v>
      </c>
      <c r="J593" s="137">
        <v>2948</v>
      </c>
      <c r="K593" s="141">
        <v>632.64</v>
      </c>
      <c r="L593" s="137" t="s">
        <v>3466</v>
      </c>
      <c r="M593" s="135" t="str">
        <f t="shared" si="9"/>
        <v>GRANORTEUA SAO LUISPÓ DE BRITA</v>
      </c>
      <c r="N593" s="135" t="s">
        <v>224</v>
      </c>
    </row>
    <row r="594" spans="2:14" x14ac:dyDescent="0.25">
      <c r="B594" s="134">
        <v>46167</v>
      </c>
      <c r="C594" s="138">
        <v>1</v>
      </c>
      <c r="D594" s="138" t="s">
        <v>202</v>
      </c>
      <c r="E594" s="135" t="s">
        <v>214</v>
      </c>
      <c r="F594" s="135" t="s">
        <v>190</v>
      </c>
      <c r="G594" s="135" t="s">
        <v>191</v>
      </c>
      <c r="H594" s="135">
        <v>217</v>
      </c>
      <c r="I594" s="135" t="s">
        <v>165</v>
      </c>
      <c r="J594" s="135">
        <v>621</v>
      </c>
      <c r="K594" s="140">
        <v>4986.01</v>
      </c>
      <c r="L594" s="135" t="s">
        <v>3467</v>
      </c>
      <c r="M594" s="135" t="str">
        <f t="shared" si="9"/>
        <v>SERVENGOLINDA NOVA - MAPÓ DE BRITA</v>
      </c>
      <c r="N594" s="137" t="s">
        <v>3730</v>
      </c>
    </row>
    <row r="595" spans="2:14" x14ac:dyDescent="0.25">
      <c r="B595" s="136">
        <v>46167</v>
      </c>
      <c r="C595" s="139">
        <v>1</v>
      </c>
      <c r="D595" s="139" t="s">
        <v>196</v>
      </c>
      <c r="E595" s="137" t="s">
        <v>197</v>
      </c>
      <c r="F595" s="137" t="s">
        <v>276</v>
      </c>
      <c r="G595" s="137" t="s">
        <v>2865</v>
      </c>
      <c r="H595" s="137">
        <v>37</v>
      </c>
      <c r="I595" s="137" t="s">
        <v>165</v>
      </c>
      <c r="J595" s="137">
        <v>7174</v>
      </c>
      <c r="K595" s="141">
        <v>982.12</v>
      </c>
      <c r="L595" s="137" t="s">
        <v>3468</v>
      </c>
      <c r="M595" s="135" t="str">
        <f t="shared" si="9"/>
        <v>MINERADORA PORTO FRANCOUSINA DA ETHOSPÓ DE BRITA</v>
      </c>
      <c r="N595" s="135" t="s">
        <v>15</v>
      </c>
    </row>
    <row r="596" spans="2:14" x14ac:dyDescent="0.25">
      <c r="B596" s="134">
        <v>46167</v>
      </c>
      <c r="C596" s="138">
        <v>1</v>
      </c>
      <c r="D596" s="138" t="s">
        <v>275</v>
      </c>
      <c r="E596" s="135" t="s">
        <v>178</v>
      </c>
      <c r="F596" s="135" t="s">
        <v>163</v>
      </c>
      <c r="G596" s="135" t="s">
        <v>164</v>
      </c>
      <c r="H596" s="135">
        <v>52</v>
      </c>
      <c r="I596" s="135" t="s">
        <v>165</v>
      </c>
      <c r="J596" s="135">
        <v>4982</v>
      </c>
      <c r="K596" s="140">
        <v>958.54</v>
      </c>
      <c r="L596" s="135" t="s">
        <v>3469</v>
      </c>
      <c r="M596" s="135" t="str">
        <f t="shared" si="9"/>
        <v>BRASIL MINERACAOUA SAO LUISPÓ DE BRITA</v>
      </c>
      <c r="N596" s="135" t="s">
        <v>224</v>
      </c>
    </row>
    <row r="597" spans="2:14" x14ac:dyDescent="0.25">
      <c r="B597" s="136">
        <v>46167</v>
      </c>
      <c r="C597" s="139">
        <v>1</v>
      </c>
      <c r="D597" s="139" t="s">
        <v>275</v>
      </c>
      <c r="E597" s="137" t="s">
        <v>178</v>
      </c>
      <c r="F597" s="137" t="s">
        <v>163</v>
      </c>
      <c r="G597" s="137" t="s">
        <v>164</v>
      </c>
      <c r="H597" s="137">
        <v>52</v>
      </c>
      <c r="I597" s="137" t="s">
        <v>175</v>
      </c>
      <c r="J597" s="137">
        <v>458</v>
      </c>
      <c r="K597" s="141">
        <v>881.19</v>
      </c>
      <c r="L597" s="137" t="s">
        <v>3470</v>
      </c>
      <c r="M597" s="135" t="str">
        <f t="shared" si="9"/>
        <v>BRASIL MINERACAOUA SAO LUISBRITA 0</v>
      </c>
      <c r="N597" s="135" t="s">
        <v>224</v>
      </c>
    </row>
    <row r="598" spans="2:14" x14ac:dyDescent="0.25">
      <c r="B598" s="134">
        <v>46167</v>
      </c>
      <c r="C598" s="138">
        <v>1</v>
      </c>
      <c r="D598" s="138" t="s">
        <v>193</v>
      </c>
      <c r="E598" s="135" t="s">
        <v>285</v>
      </c>
      <c r="F598" s="135" t="s">
        <v>166</v>
      </c>
      <c r="G598" s="135" t="s">
        <v>111</v>
      </c>
      <c r="H598" s="135">
        <v>79</v>
      </c>
      <c r="I598" s="135" t="s">
        <v>169</v>
      </c>
      <c r="J598" s="135">
        <v>2602</v>
      </c>
      <c r="K598" s="140">
        <v>760.56</v>
      </c>
      <c r="L598" s="135" t="s">
        <v>3471</v>
      </c>
      <c r="M598" s="135" t="str">
        <f t="shared" si="9"/>
        <v>GRANORTEBEIRA RIOPULMÃOZINHO</v>
      </c>
      <c r="N598" s="135" t="s">
        <v>111</v>
      </c>
    </row>
    <row r="599" spans="2:14" x14ac:dyDescent="0.25">
      <c r="B599" s="136">
        <v>46167</v>
      </c>
      <c r="C599" s="139">
        <v>1</v>
      </c>
      <c r="D599" s="139" t="s">
        <v>193</v>
      </c>
      <c r="E599" s="137" t="s">
        <v>285</v>
      </c>
      <c r="F599" s="137" t="s">
        <v>166</v>
      </c>
      <c r="G599" s="137" t="s">
        <v>111</v>
      </c>
      <c r="H599" s="137">
        <v>79</v>
      </c>
      <c r="I599" s="137" t="s">
        <v>169</v>
      </c>
      <c r="J599" s="137">
        <v>2748</v>
      </c>
      <c r="K599" s="141">
        <v>803.24</v>
      </c>
      <c r="L599" s="137" t="s">
        <v>3472</v>
      </c>
      <c r="M599" s="135" t="str">
        <f t="shared" si="9"/>
        <v>GRANORTEBEIRA RIOPULMÃOZINHO</v>
      </c>
      <c r="N599" s="137" t="s">
        <v>111</v>
      </c>
    </row>
    <row r="600" spans="2:14" x14ac:dyDescent="0.25">
      <c r="B600" s="134">
        <v>46167</v>
      </c>
      <c r="C600" s="138">
        <v>1</v>
      </c>
      <c r="D600" s="138" t="s">
        <v>286</v>
      </c>
      <c r="E600" s="135" t="s">
        <v>506</v>
      </c>
      <c r="F600" s="135" t="s">
        <v>163</v>
      </c>
      <c r="G600" s="135" t="s">
        <v>164</v>
      </c>
      <c r="H600" s="135">
        <v>52</v>
      </c>
      <c r="I600" s="135" t="s">
        <v>165</v>
      </c>
      <c r="J600" s="135">
        <v>4572</v>
      </c>
      <c r="K600" s="140">
        <v>879.65</v>
      </c>
      <c r="L600" s="135" t="s">
        <v>3473</v>
      </c>
      <c r="M600" s="135" t="str">
        <f t="shared" si="9"/>
        <v>BRASIL MINERACAOUA SAO LUISPÓ DE BRITA</v>
      </c>
      <c r="N600" s="135" t="s">
        <v>224</v>
      </c>
    </row>
    <row r="601" spans="2:14" x14ac:dyDescent="0.25">
      <c r="B601" s="136">
        <v>46167</v>
      </c>
      <c r="C601" s="139">
        <v>1</v>
      </c>
      <c r="D601" s="139" t="s">
        <v>286</v>
      </c>
      <c r="E601" s="137" t="s">
        <v>506</v>
      </c>
      <c r="F601" s="137" t="s">
        <v>163</v>
      </c>
      <c r="G601" s="137" t="s">
        <v>164</v>
      </c>
      <c r="H601" s="137">
        <v>52</v>
      </c>
      <c r="I601" s="137" t="s">
        <v>165</v>
      </c>
      <c r="J601" s="137">
        <v>4538</v>
      </c>
      <c r="K601" s="141">
        <v>873.11</v>
      </c>
      <c r="L601" s="137" t="s">
        <v>3474</v>
      </c>
      <c r="M601" s="135" t="str">
        <f t="shared" si="9"/>
        <v>BRASIL MINERACAOUA SAO LUISPÓ DE BRITA</v>
      </c>
      <c r="N601" s="135" t="s">
        <v>224</v>
      </c>
    </row>
    <row r="602" spans="2:14" x14ac:dyDescent="0.25">
      <c r="B602" s="134">
        <v>46167</v>
      </c>
      <c r="C602" s="138">
        <v>1</v>
      </c>
      <c r="D602" s="138" t="s">
        <v>200</v>
      </c>
      <c r="E602" s="135" t="s">
        <v>201</v>
      </c>
      <c r="F602" s="135" t="s">
        <v>2868</v>
      </c>
      <c r="G602" s="135" t="s">
        <v>2871</v>
      </c>
      <c r="H602" s="135">
        <v>70</v>
      </c>
      <c r="I602" s="135" t="s">
        <v>2869</v>
      </c>
      <c r="J602" s="135">
        <v>5616</v>
      </c>
      <c r="K602" s="140">
        <v>1454.54</v>
      </c>
      <c r="L602" s="135" t="s">
        <v>3475</v>
      </c>
      <c r="M602" s="135" t="str">
        <f t="shared" si="9"/>
        <v>FAZENDA PLATAFORMASILO PRODUCERESSOJA</v>
      </c>
      <c r="N602" s="135" t="s">
        <v>3729</v>
      </c>
    </row>
    <row r="603" spans="2:14" x14ac:dyDescent="0.25">
      <c r="B603" s="136">
        <v>46167</v>
      </c>
      <c r="C603" s="139">
        <v>1</v>
      </c>
      <c r="D603" s="139" t="s">
        <v>200</v>
      </c>
      <c r="E603" s="137" t="s">
        <v>201</v>
      </c>
      <c r="F603" s="137" t="s">
        <v>2868</v>
      </c>
      <c r="G603" s="137" t="s">
        <v>2881</v>
      </c>
      <c r="H603" s="137">
        <v>62</v>
      </c>
      <c r="I603" s="137" t="s">
        <v>2869</v>
      </c>
      <c r="J603" s="137">
        <v>54307</v>
      </c>
      <c r="K603" s="141">
        <v>1245.8</v>
      </c>
      <c r="L603" s="137" t="s">
        <v>3476</v>
      </c>
      <c r="M603" s="135" t="str">
        <f t="shared" si="9"/>
        <v>FAZENDA PLATAFORMASITIO DO GUTO - SEN. ALEXANDRE COSTASOJA</v>
      </c>
      <c r="N603" s="137" t="s">
        <v>3729</v>
      </c>
    </row>
    <row r="604" spans="2:14" x14ac:dyDescent="0.25">
      <c r="B604" s="134">
        <v>46167</v>
      </c>
      <c r="C604" s="138">
        <v>1</v>
      </c>
      <c r="D604" s="138" t="s">
        <v>186</v>
      </c>
      <c r="E604" s="135" t="s">
        <v>187</v>
      </c>
      <c r="F604" s="135" t="s">
        <v>276</v>
      </c>
      <c r="G604" s="135" t="s">
        <v>2845</v>
      </c>
      <c r="H604" s="135">
        <v>112</v>
      </c>
      <c r="I604" s="135" t="s">
        <v>165</v>
      </c>
      <c r="J604" s="135">
        <v>650</v>
      </c>
      <c r="K604" s="140">
        <v>2329.6</v>
      </c>
      <c r="L604" s="135" t="s">
        <v>3477</v>
      </c>
      <c r="M604" s="135" t="str">
        <f t="shared" si="9"/>
        <v>MINERADORA PORTO FRANCOUSINA BR010 (IMPERATRIZ)PÓ DE BRITA</v>
      </c>
      <c r="N604" s="135" t="s">
        <v>15</v>
      </c>
    </row>
    <row r="605" spans="2:14" x14ac:dyDescent="0.25">
      <c r="B605" s="136">
        <v>46167</v>
      </c>
      <c r="C605" s="139">
        <v>1</v>
      </c>
      <c r="D605" s="139" t="s">
        <v>186</v>
      </c>
      <c r="E605" s="137" t="s">
        <v>187</v>
      </c>
      <c r="F605" s="137" t="s">
        <v>2757</v>
      </c>
      <c r="G605" s="137" t="s">
        <v>2867</v>
      </c>
      <c r="H605" s="137">
        <v>383</v>
      </c>
      <c r="I605" s="137" t="s">
        <v>221</v>
      </c>
      <c r="J605" s="137">
        <v>5008</v>
      </c>
      <c r="K605" s="141">
        <v>6137.8</v>
      </c>
      <c r="L605" s="137" t="s">
        <v>3478</v>
      </c>
      <c r="M605" s="135" t="str">
        <f t="shared" si="9"/>
        <v>MINERADORA PORTO FRANCO MAVALE KM324BGS</v>
      </c>
      <c r="N605" s="135" t="s">
        <v>15</v>
      </c>
    </row>
    <row r="606" spans="2:14" x14ac:dyDescent="0.25">
      <c r="B606" s="134">
        <v>46168</v>
      </c>
      <c r="C606" s="138">
        <v>1</v>
      </c>
      <c r="D606" s="138" t="s">
        <v>196</v>
      </c>
      <c r="E606" s="135" t="s">
        <v>197</v>
      </c>
      <c r="F606" s="135" t="s">
        <v>276</v>
      </c>
      <c r="G606" s="135" t="s">
        <v>2865</v>
      </c>
      <c r="H606" s="135">
        <v>37</v>
      </c>
      <c r="I606" s="135" t="s">
        <v>165</v>
      </c>
      <c r="J606" s="135">
        <v>7538</v>
      </c>
      <c r="K606" s="140">
        <v>1031.95</v>
      </c>
      <c r="L606" s="135" t="s">
        <v>3479</v>
      </c>
      <c r="M606" s="135" t="str">
        <f t="shared" si="9"/>
        <v>MINERADORA PORTO FRANCOUSINA DA ETHOSPÓ DE BRITA</v>
      </c>
      <c r="N606" s="135" t="s">
        <v>15</v>
      </c>
    </row>
    <row r="607" spans="2:14" x14ac:dyDescent="0.25">
      <c r="B607" s="136">
        <v>46168</v>
      </c>
      <c r="C607" s="139">
        <v>1</v>
      </c>
      <c r="D607" s="139" t="s">
        <v>167</v>
      </c>
      <c r="E607" s="137" t="s">
        <v>168</v>
      </c>
      <c r="F607" s="137" t="s">
        <v>166</v>
      </c>
      <c r="G607" s="137" t="s">
        <v>164</v>
      </c>
      <c r="H607" s="137">
        <v>58</v>
      </c>
      <c r="I607" s="137" t="s">
        <v>195</v>
      </c>
      <c r="J607" s="137">
        <v>2662</v>
      </c>
      <c r="K607" s="141">
        <v>571.27</v>
      </c>
      <c r="L607" s="137" t="s">
        <v>3480</v>
      </c>
      <c r="M607" s="135" t="str">
        <f t="shared" si="9"/>
        <v>GRANORTEUA SAO LUISBRITA 1</v>
      </c>
      <c r="N607" s="135" t="s">
        <v>224</v>
      </c>
    </row>
    <row r="608" spans="2:14" x14ac:dyDescent="0.25">
      <c r="B608" s="134">
        <v>46168</v>
      </c>
      <c r="C608" s="138">
        <v>1</v>
      </c>
      <c r="D608" s="138" t="s">
        <v>342</v>
      </c>
      <c r="E608" s="135" t="s">
        <v>171</v>
      </c>
      <c r="F608" s="135" t="s">
        <v>163</v>
      </c>
      <c r="G608" s="135" t="s">
        <v>164</v>
      </c>
      <c r="H608" s="135">
        <v>52</v>
      </c>
      <c r="I608" s="135" t="s">
        <v>175</v>
      </c>
      <c r="J608" s="135">
        <v>4564</v>
      </c>
      <c r="K608" s="140">
        <v>878.11</v>
      </c>
      <c r="L608" s="135" t="s">
        <v>3481</v>
      </c>
      <c r="M608" s="135" t="str">
        <f t="shared" si="9"/>
        <v>BRASIL MINERACAOUA SAO LUISBRITA 0</v>
      </c>
      <c r="N608" s="135" t="s">
        <v>224</v>
      </c>
    </row>
    <row r="609" spans="2:14" x14ac:dyDescent="0.25">
      <c r="B609" s="136">
        <v>46168</v>
      </c>
      <c r="C609" s="139">
        <v>1</v>
      </c>
      <c r="D609" s="139" t="s">
        <v>213</v>
      </c>
      <c r="E609" s="137" t="s">
        <v>1153</v>
      </c>
      <c r="F609" s="137" t="s">
        <v>190</v>
      </c>
      <c r="G609" s="137" t="s">
        <v>191</v>
      </c>
      <c r="H609" s="137">
        <v>217</v>
      </c>
      <c r="I609" s="137" t="s">
        <v>165</v>
      </c>
      <c r="J609" s="137">
        <v>6406</v>
      </c>
      <c r="K609" s="141">
        <v>5143.38</v>
      </c>
      <c r="L609" s="137" t="s">
        <v>3482</v>
      </c>
      <c r="M609" s="135" t="str">
        <f t="shared" si="9"/>
        <v>SERVENGOLINDA NOVA - MAPÓ DE BRITA</v>
      </c>
      <c r="N609" s="137" t="s">
        <v>3730</v>
      </c>
    </row>
    <row r="610" spans="2:14" x14ac:dyDescent="0.25">
      <c r="B610" s="134">
        <v>46168</v>
      </c>
      <c r="C610" s="138">
        <v>1</v>
      </c>
      <c r="D610" s="138" t="s">
        <v>203</v>
      </c>
      <c r="E610" s="135" t="s">
        <v>204</v>
      </c>
      <c r="F610" s="135" t="s">
        <v>2868</v>
      </c>
      <c r="G610" s="135" t="s">
        <v>2871</v>
      </c>
      <c r="H610" s="135">
        <v>70</v>
      </c>
      <c r="I610" s="135" t="s">
        <v>2869</v>
      </c>
      <c r="J610" s="135">
        <v>5524</v>
      </c>
      <c r="K610" s="140">
        <v>1430.72</v>
      </c>
      <c r="L610" s="135" t="s">
        <v>3483</v>
      </c>
      <c r="M610" s="135" t="str">
        <f t="shared" si="9"/>
        <v>FAZENDA PLATAFORMASILO PRODUCERESSOJA</v>
      </c>
      <c r="N610" s="135" t="s">
        <v>3729</v>
      </c>
    </row>
    <row r="611" spans="2:14" x14ac:dyDescent="0.25">
      <c r="B611" s="136">
        <v>46168</v>
      </c>
      <c r="C611" s="139">
        <v>1</v>
      </c>
      <c r="D611" s="139" t="s">
        <v>2866</v>
      </c>
      <c r="E611" s="137" t="s">
        <v>281</v>
      </c>
      <c r="F611" s="137" t="s">
        <v>166</v>
      </c>
      <c r="G611" s="137" t="s">
        <v>164</v>
      </c>
      <c r="H611" s="137">
        <v>58</v>
      </c>
      <c r="I611" s="137" t="s">
        <v>195</v>
      </c>
      <c r="J611" s="137">
        <v>2804</v>
      </c>
      <c r="K611" s="141">
        <v>601.74</v>
      </c>
      <c r="L611" s="137" t="s">
        <v>3484</v>
      </c>
      <c r="M611" s="135" t="str">
        <f t="shared" si="9"/>
        <v>GRANORTEUA SAO LUISBRITA 1</v>
      </c>
      <c r="N611" s="135" t="s">
        <v>224</v>
      </c>
    </row>
    <row r="612" spans="2:14" x14ac:dyDescent="0.25">
      <c r="B612" s="134">
        <v>46168</v>
      </c>
      <c r="C612" s="138">
        <v>1</v>
      </c>
      <c r="D612" s="138" t="s">
        <v>199</v>
      </c>
      <c r="E612" s="135" t="s">
        <v>180</v>
      </c>
      <c r="F612" s="135" t="s">
        <v>166</v>
      </c>
      <c r="G612" s="135" t="s">
        <v>164</v>
      </c>
      <c r="H612" s="135">
        <v>58</v>
      </c>
      <c r="I612" s="135" t="s">
        <v>292</v>
      </c>
      <c r="J612" s="135">
        <v>2796</v>
      </c>
      <c r="K612" s="140">
        <v>600.02</v>
      </c>
      <c r="L612" s="135" t="s">
        <v>3485</v>
      </c>
      <c r="M612" s="135" t="str">
        <f t="shared" si="9"/>
        <v>GRANORTEUA SAO LUISPEDRA PULMÃO</v>
      </c>
      <c r="N612" s="135" t="s">
        <v>224</v>
      </c>
    </row>
    <row r="613" spans="2:14" x14ac:dyDescent="0.25">
      <c r="B613" s="136">
        <v>46168</v>
      </c>
      <c r="C613" s="139">
        <v>1</v>
      </c>
      <c r="D613" s="139" t="s">
        <v>219</v>
      </c>
      <c r="E613" s="137" t="s">
        <v>220</v>
      </c>
      <c r="F613" s="137" t="s">
        <v>163</v>
      </c>
      <c r="G613" s="137" t="s">
        <v>164</v>
      </c>
      <c r="H613" s="137">
        <v>52</v>
      </c>
      <c r="I613" s="137" t="s">
        <v>165</v>
      </c>
      <c r="J613" s="137">
        <v>529</v>
      </c>
      <c r="K613" s="141">
        <v>1017.8</v>
      </c>
      <c r="L613" s="137" t="s">
        <v>3486</v>
      </c>
      <c r="M613" s="135" t="str">
        <f t="shared" si="9"/>
        <v>BRASIL MINERACAOUA SAO LUISPÓ DE BRITA</v>
      </c>
      <c r="N613" s="135" t="s">
        <v>224</v>
      </c>
    </row>
    <row r="614" spans="2:14" x14ac:dyDescent="0.25">
      <c r="B614" s="134">
        <v>46168</v>
      </c>
      <c r="C614" s="138">
        <v>1</v>
      </c>
      <c r="D614" s="138" t="s">
        <v>167</v>
      </c>
      <c r="E614" s="135" t="s">
        <v>168</v>
      </c>
      <c r="F614" s="135" t="s">
        <v>166</v>
      </c>
      <c r="G614" s="135" t="s">
        <v>111</v>
      </c>
      <c r="H614" s="135">
        <v>79</v>
      </c>
      <c r="I614" s="135" t="s">
        <v>169</v>
      </c>
      <c r="J614" s="135">
        <v>266</v>
      </c>
      <c r="K614" s="140">
        <v>777.52</v>
      </c>
      <c r="L614" s="135" t="s">
        <v>3487</v>
      </c>
      <c r="M614" s="135" t="str">
        <f t="shared" si="9"/>
        <v>GRANORTEBEIRA RIOPULMÃOZINHO</v>
      </c>
      <c r="N614" s="135" t="s">
        <v>111</v>
      </c>
    </row>
    <row r="615" spans="2:14" x14ac:dyDescent="0.25">
      <c r="B615" s="136">
        <v>46168</v>
      </c>
      <c r="C615" s="139">
        <v>1</v>
      </c>
      <c r="D615" s="139" t="s">
        <v>300</v>
      </c>
      <c r="E615" s="137" t="s">
        <v>1536</v>
      </c>
      <c r="F615" s="137" t="s">
        <v>2757</v>
      </c>
      <c r="G615" s="137" t="s">
        <v>2867</v>
      </c>
      <c r="H615" s="137">
        <v>383</v>
      </c>
      <c r="I615" s="137" t="s">
        <v>172</v>
      </c>
      <c r="J615" s="137">
        <v>566</v>
      </c>
      <c r="K615" s="141">
        <v>6936.9</v>
      </c>
      <c r="L615" s="137" t="s">
        <v>3488</v>
      </c>
      <c r="M615" s="135" t="str">
        <f t="shared" si="9"/>
        <v>MINERADORA PORTO FRANCO MAVALE KM324BICA CORRIDA</v>
      </c>
      <c r="N615" s="135" t="s">
        <v>15</v>
      </c>
    </row>
    <row r="616" spans="2:14" x14ac:dyDescent="0.25">
      <c r="B616" s="134">
        <v>46168</v>
      </c>
      <c r="C616" s="138">
        <v>1</v>
      </c>
      <c r="D616" s="138" t="s">
        <v>192</v>
      </c>
      <c r="E616" s="135" t="s">
        <v>287</v>
      </c>
      <c r="F616" s="135" t="s">
        <v>2868</v>
      </c>
      <c r="G616" s="135" t="s">
        <v>2871</v>
      </c>
      <c r="H616" s="135">
        <v>70</v>
      </c>
      <c r="I616" s="135" t="s">
        <v>2869</v>
      </c>
      <c r="J616" s="135">
        <v>538</v>
      </c>
      <c r="K616" s="140">
        <v>1393.42</v>
      </c>
      <c r="L616" s="135" t="s">
        <v>3489</v>
      </c>
      <c r="M616" s="135" t="str">
        <f t="shared" si="9"/>
        <v>FAZENDA PLATAFORMASILO PRODUCERESSOJA</v>
      </c>
      <c r="N616" s="135" t="s">
        <v>3729</v>
      </c>
    </row>
    <row r="617" spans="2:14" x14ac:dyDescent="0.25">
      <c r="B617" s="136">
        <v>46168</v>
      </c>
      <c r="C617" s="139">
        <v>1</v>
      </c>
      <c r="D617" s="139" t="s">
        <v>176</v>
      </c>
      <c r="E617" s="137" t="s">
        <v>177</v>
      </c>
      <c r="F617" s="137" t="s">
        <v>2868</v>
      </c>
      <c r="G617" s="137" t="s">
        <v>2871</v>
      </c>
      <c r="H617" s="137">
        <v>70</v>
      </c>
      <c r="I617" s="137" t="s">
        <v>2869</v>
      </c>
      <c r="J617" s="137">
        <v>5278</v>
      </c>
      <c r="K617" s="141">
        <v>1367</v>
      </c>
      <c r="L617" s="137" t="s">
        <v>3490</v>
      </c>
      <c r="M617" s="135" t="str">
        <f t="shared" si="9"/>
        <v>FAZENDA PLATAFORMASILO PRODUCERESSOJA</v>
      </c>
      <c r="N617" s="135" t="s">
        <v>3729</v>
      </c>
    </row>
    <row r="618" spans="2:14" x14ac:dyDescent="0.25">
      <c r="B618" s="134">
        <v>46168</v>
      </c>
      <c r="C618" s="138">
        <v>1</v>
      </c>
      <c r="D618" s="138" t="s">
        <v>199</v>
      </c>
      <c r="E618" s="135" t="s">
        <v>180</v>
      </c>
      <c r="F618" s="135" t="s">
        <v>163</v>
      </c>
      <c r="G618" s="135" t="s">
        <v>164</v>
      </c>
      <c r="H618" s="135">
        <v>52</v>
      </c>
      <c r="I618" s="135" t="s">
        <v>185</v>
      </c>
      <c r="J618" s="135">
        <v>2778</v>
      </c>
      <c r="K618" s="140">
        <v>534.49</v>
      </c>
      <c r="L618" s="135" t="s">
        <v>3491</v>
      </c>
      <c r="M618" s="135" t="str">
        <f t="shared" si="9"/>
        <v>BRASIL MINERACAOUA SAO LUISRACHÃOZINHO</v>
      </c>
      <c r="N618" s="135" t="s">
        <v>224</v>
      </c>
    </row>
    <row r="619" spans="2:14" x14ac:dyDescent="0.25">
      <c r="B619" s="136">
        <v>46168</v>
      </c>
      <c r="C619" s="139">
        <v>1</v>
      </c>
      <c r="D619" s="139" t="s">
        <v>286</v>
      </c>
      <c r="E619" s="137" t="s">
        <v>506</v>
      </c>
      <c r="F619" s="137" t="s">
        <v>163</v>
      </c>
      <c r="G619" s="137" t="s">
        <v>164</v>
      </c>
      <c r="H619" s="137">
        <v>52</v>
      </c>
      <c r="I619" s="137" t="s">
        <v>165</v>
      </c>
      <c r="J619" s="137">
        <v>4584</v>
      </c>
      <c r="K619" s="141">
        <v>881.96</v>
      </c>
      <c r="L619" s="137" t="s">
        <v>3492</v>
      </c>
      <c r="M619" s="135" t="str">
        <f t="shared" si="9"/>
        <v>BRASIL MINERACAOUA SAO LUISPÓ DE BRITA</v>
      </c>
      <c r="N619" s="135" t="s">
        <v>224</v>
      </c>
    </row>
    <row r="620" spans="2:14" x14ac:dyDescent="0.25">
      <c r="B620" s="134">
        <v>46168</v>
      </c>
      <c r="C620" s="138">
        <v>1</v>
      </c>
      <c r="D620" s="138" t="s">
        <v>286</v>
      </c>
      <c r="E620" s="135" t="s">
        <v>506</v>
      </c>
      <c r="F620" s="135" t="s">
        <v>163</v>
      </c>
      <c r="G620" s="135" t="s">
        <v>164</v>
      </c>
      <c r="H620" s="135">
        <v>52</v>
      </c>
      <c r="I620" s="135" t="s">
        <v>165</v>
      </c>
      <c r="J620" s="135">
        <v>4618</v>
      </c>
      <c r="K620" s="140">
        <v>888.5</v>
      </c>
      <c r="L620" s="135" t="s">
        <v>3493</v>
      </c>
      <c r="M620" s="135" t="str">
        <f t="shared" si="9"/>
        <v>BRASIL MINERACAOUA SAO LUISPÓ DE BRITA</v>
      </c>
      <c r="N620" s="135" t="s">
        <v>224</v>
      </c>
    </row>
    <row r="621" spans="2:14" x14ac:dyDescent="0.25">
      <c r="B621" s="136">
        <v>46168</v>
      </c>
      <c r="C621" s="139">
        <v>1</v>
      </c>
      <c r="D621" s="139" t="s">
        <v>199</v>
      </c>
      <c r="E621" s="137" t="s">
        <v>180</v>
      </c>
      <c r="F621" s="137" t="s">
        <v>166</v>
      </c>
      <c r="G621" s="137" t="s">
        <v>164</v>
      </c>
      <c r="H621" s="137">
        <v>58</v>
      </c>
      <c r="I621" s="137" t="s">
        <v>165</v>
      </c>
      <c r="J621" s="137">
        <v>2898</v>
      </c>
      <c r="K621" s="141">
        <v>621.91</v>
      </c>
      <c r="L621" s="137" t="s">
        <v>3494</v>
      </c>
      <c r="M621" s="135" t="str">
        <f t="shared" si="9"/>
        <v>GRANORTEUA SAO LUISPÓ DE BRITA</v>
      </c>
      <c r="N621" s="135" t="s">
        <v>224</v>
      </c>
    </row>
    <row r="622" spans="2:14" x14ac:dyDescent="0.25">
      <c r="B622" s="134">
        <v>46168</v>
      </c>
      <c r="C622" s="138">
        <v>1</v>
      </c>
      <c r="D622" s="138" t="s">
        <v>183</v>
      </c>
      <c r="E622" s="135" t="s">
        <v>184</v>
      </c>
      <c r="F622" s="135" t="s">
        <v>166</v>
      </c>
      <c r="G622" s="135" t="s">
        <v>111</v>
      </c>
      <c r="H622" s="135">
        <v>79</v>
      </c>
      <c r="I622" s="135" t="s">
        <v>169</v>
      </c>
      <c r="J622" s="135">
        <v>2664</v>
      </c>
      <c r="K622" s="140">
        <v>778.69</v>
      </c>
      <c r="L622" s="135" t="s">
        <v>3495</v>
      </c>
      <c r="M622" s="135" t="str">
        <f t="shared" si="9"/>
        <v>GRANORTEBEIRA RIOPULMÃOZINHO</v>
      </c>
      <c r="N622" s="135" t="s">
        <v>111</v>
      </c>
    </row>
    <row r="623" spans="2:14" x14ac:dyDescent="0.25">
      <c r="B623" s="136">
        <v>46168</v>
      </c>
      <c r="C623" s="139">
        <v>1</v>
      </c>
      <c r="D623" s="139" t="s">
        <v>183</v>
      </c>
      <c r="E623" s="137" t="s">
        <v>184</v>
      </c>
      <c r="F623" s="137" t="s">
        <v>166</v>
      </c>
      <c r="G623" s="137" t="s">
        <v>111</v>
      </c>
      <c r="H623" s="137">
        <v>79</v>
      </c>
      <c r="I623" s="137" t="s">
        <v>169</v>
      </c>
      <c r="J623" s="137">
        <v>2678</v>
      </c>
      <c r="K623" s="141">
        <v>782.78</v>
      </c>
      <c r="L623" s="137" t="s">
        <v>3496</v>
      </c>
      <c r="M623" s="135" t="str">
        <f t="shared" si="9"/>
        <v>GRANORTEBEIRA RIOPULMÃOZINHO</v>
      </c>
      <c r="N623" s="137" t="s">
        <v>111</v>
      </c>
    </row>
    <row r="624" spans="2:14" x14ac:dyDescent="0.25">
      <c r="B624" s="134">
        <v>46168</v>
      </c>
      <c r="C624" s="138">
        <v>1</v>
      </c>
      <c r="D624" s="138" t="s">
        <v>202</v>
      </c>
      <c r="E624" s="135" t="s">
        <v>214</v>
      </c>
      <c r="F624" s="135" t="s">
        <v>190</v>
      </c>
      <c r="G624" s="135" t="s">
        <v>191</v>
      </c>
      <c r="H624" s="135">
        <v>217</v>
      </c>
      <c r="I624" s="135" t="s">
        <v>165</v>
      </c>
      <c r="J624" s="135">
        <v>6058</v>
      </c>
      <c r="K624" s="140">
        <v>4863.97</v>
      </c>
      <c r="L624" s="135" t="s">
        <v>3497</v>
      </c>
      <c r="M624" s="135" t="str">
        <f t="shared" si="9"/>
        <v>SERVENGOLINDA NOVA - MAPÓ DE BRITA</v>
      </c>
      <c r="N624" s="137" t="s">
        <v>3730</v>
      </c>
    </row>
    <row r="625" spans="2:14" x14ac:dyDescent="0.25">
      <c r="B625" s="136">
        <v>46168</v>
      </c>
      <c r="C625" s="139">
        <v>1</v>
      </c>
      <c r="D625" s="139" t="s">
        <v>193</v>
      </c>
      <c r="E625" s="137" t="s">
        <v>285</v>
      </c>
      <c r="F625" s="137" t="s">
        <v>166</v>
      </c>
      <c r="G625" s="137" t="s">
        <v>111</v>
      </c>
      <c r="H625" s="137">
        <v>79</v>
      </c>
      <c r="I625" s="137" t="s">
        <v>169</v>
      </c>
      <c r="J625" s="137">
        <v>2574</v>
      </c>
      <c r="K625" s="141">
        <v>752.38</v>
      </c>
      <c r="L625" s="137" t="s">
        <v>3498</v>
      </c>
      <c r="M625" s="135" t="str">
        <f t="shared" si="9"/>
        <v>GRANORTEBEIRA RIOPULMÃOZINHO</v>
      </c>
      <c r="N625" s="137" t="s">
        <v>111</v>
      </c>
    </row>
    <row r="626" spans="2:14" x14ac:dyDescent="0.25">
      <c r="B626" s="134">
        <v>46168</v>
      </c>
      <c r="C626" s="138">
        <v>1</v>
      </c>
      <c r="D626" s="138" t="s">
        <v>193</v>
      </c>
      <c r="E626" s="135" t="s">
        <v>285</v>
      </c>
      <c r="F626" s="135" t="s">
        <v>166</v>
      </c>
      <c r="G626" s="135" t="s">
        <v>111</v>
      </c>
      <c r="H626" s="135">
        <v>79</v>
      </c>
      <c r="I626" s="135" t="s">
        <v>169</v>
      </c>
      <c r="J626" s="135">
        <v>2716</v>
      </c>
      <c r="K626" s="140">
        <v>793.89</v>
      </c>
      <c r="L626" s="135" t="s">
        <v>3499</v>
      </c>
      <c r="M626" s="135" t="str">
        <f t="shared" si="9"/>
        <v>GRANORTEBEIRA RIOPULMÃOZINHO</v>
      </c>
      <c r="N626" s="135" t="s">
        <v>111</v>
      </c>
    </row>
    <row r="627" spans="2:14" x14ac:dyDescent="0.25">
      <c r="B627" s="136">
        <v>46168</v>
      </c>
      <c r="C627" s="139">
        <v>1</v>
      </c>
      <c r="D627" s="139" t="s">
        <v>210</v>
      </c>
      <c r="E627" s="137" t="s">
        <v>211</v>
      </c>
      <c r="F627" s="137" t="s">
        <v>2868</v>
      </c>
      <c r="G627" s="137" t="s">
        <v>2871</v>
      </c>
      <c r="H627" s="137">
        <v>70</v>
      </c>
      <c r="I627" s="137" t="s">
        <v>2869</v>
      </c>
      <c r="J627" s="137">
        <v>5367</v>
      </c>
      <c r="K627" s="141">
        <v>1390.05</v>
      </c>
      <c r="L627" s="137" t="s">
        <v>3500</v>
      </c>
      <c r="M627" s="135" t="str">
        <f t="shared" si="9"/>
        <v>FAZENDA PLATAFORMASILO PRODUCERESSOJA</v>
      </c>
      <c r="N627" s="135" t="s">
        <v>3729</v>
      </c>
    </row>
    <row r="628" spans="2:14" x14ac:dyDescent="0.25">
      <c r="B628" s="134">
        <v>46168</v>
      </c>
      <c r="C628" s="138">
        <v>1</v>
      </c>
      <c r="D628" s="138" t="s">
        <v>275</v>
      </c>
      <c r="E628" s="135" t="s">
        <v>178</v>
      </c>
      <c r="F628" s="135" t="s">
        <v>163</v>
      </c>
      <c r="G628" s="135" t="s">
        <v>164</v>
      </c>
      <c r="H628" s="135">
        <v>52</v>
      </c>
      <c r="I628" s="135" t="s">
        <v>165</v>
      </c>
      <c r="J628" s="135">
        <v>4962</v>
      </c>
      <c r="K628" s="140">
        <v>954.69</v>
      </c>
      <c r="L628" s="135" t="s">
        <v>3501</v>
      </c>
      <c r="M628" s="135" t="str">
        <f t="shared" si="9"/>
        <v>BRASIL MINERACAOUA SAO LUISPÓ DE BRITA</v>
      </c>
      <c r="N628" s="135" t="s">
        <v>224</v>
      </c>
    </row>
    <row r="629" spans="2:14" x14ac:dyDescent="0.25">
      <c r="B629" s="136">
        <v>46168</v>
      </c>
      <c r="C629" s="139">
        <v>1</v>
      </c>
      <c r="D629" s="139" t="s">
        <v>219</v>
      </c>
      <c r="E629" s="137" t="s">
        <v>220</v>
      </c>
      <c r="F629" s="137" t="s">
        <v>163</v>
      </c>
      <c r="G629" s="137" t="s">
        <v>164</v>
      </c>
      <c r="H629" s="137">
        <v>52</v>
      </c>
      <c r="I629" s="137" t="s">
        <v>175</v>
      </c>
      <c r="J629" s="137">
        <v>596</v>
      </c>
      <c r="K629" s="141">
        <v>1146.7</v>
      </c>
      <c r="L629" s="137" t="s">
        <v>3502</v>
      </c>
      <c r="M629" s="135" t="str">
        <f t="shared" si="9"/>
        <v>BRASIL MINERACAOUA SAO LUISBRITA 0</v>
      </c>
      <c r="N629" s="135" t="s">
        <v>224</v>
      </c>
    </row>
    <row r="630" spans="2:14" x14ac:dyDescent="0.25">
      <c r="B630" s="134">
        <v>46168</v>
      </c>
      <c r="C630" s="138">
        <v>1</v>
      </c>
      <c r="D630" s="138" t="s">
        <v>219</v>
      </c>
      <c r="E630" s="135" t="s">
        <v>220</v>
      </c>
      <c r="F630" s="135" t="s">
        <v>163</v>
      </c>
      <c r="G630" s="135" t="s">
        <v>164</v>
      </c>
      <c r="H630" s="135">
        <v>52</v>
      </c>
      <c r="I630" s="135" t="s">
        <v>175</v>
      </c>
      <c r="J630" s="135">
        <v>532</v>
      </c>
      <c r="K630" s="140">
        <v>1023.57</v>
      </c>
      <c r="L630" s="135" t="s">
        <v>3503</v>
      </c>
      <c r="M630" s="135" t="str">
        <f t="shared" si="9"/>
        <v>BRASIL MINERACAOUA SAO LUISBRITA 0</v>
      </c>
      <c r="N630" s="135" t="s">
        <v>224</v>
      </c>
    </row>
    <row r="631" spans="2:14" x14ac:dyDescent="0.25">
      <c r="B631" s="136">
        <v>46168</v>
      </c>
      <c r="C631" s="139">
        <v>1</v>
      </c>
      <c r="D631" s="139" t="s">
        <v>179</v>
      </c>
      <c r="E631" s="137" t="s">
        <v>2863</v>
      </c>
      <c r="F631" s="137" t="s">
        <v>166</v>
      </c>
      <c r="G631" s="137" t="s">
        <v>111</v>
      </c>
      <c r="H631" s="137">
        <v>79</v>
      </c>
      <c r="I631" s="137" t="s">
        <v>169</v>
      </c>
      <c r="J631" s="137">
        <v>2632</v>
      </c>
      <c r="K631" s="141">
        <v>769.33</v>
      </c>
      <c r="L631" s="137" t="s">
        <v>3504</v>
      </c>
      <c r="M631" s="135" t="str">
        <f t="shared" si="9"/>
        <v>GRANORTEBEIRA RIOPULMÃOZINHO</v>
      </c>
      <c r="N631" s="137" t="s">
        <v>111</v>
      </c>
    </row>
    <row r="632" spans="2:14" x14ac:dyDescent="0.25">
      <c r="B632" s="134">
        <v>46168</v>
      </c>
      <c r="C632" s="138">
        <v>1</v>
      </c>
      <c r="D632" s="138" t="s">
        <v>179</v>
      </c>
      <c r="E632" s="135" t="s">
        <v>2863</v>
      </c>
      <c r="F632" s="135" t="s">
        <v>166</v>
      </c>
      <c r="G632" s="135" t="s">
        <v>111</v>
      </c>
      <c r="H632" s="135">
        <v>79</v>
      </c>
      <c r="I632" s="135" t="s">
        <v>169</v>
      </c>
      <c r="J632" s="135">
        <v>2694</v>
      </c>
      <c r="K632" s="140">
        <v>787.46</v>
      </c>
      <c r="L632" s="135" t="s">
        <v>3505</v>
      </c>
      <c r="M632" s="135" t="str">
        <f t="shared" si="9"/>
        <v>GRANORTEBEIRA RIOPULMÃOZINHO</v>
      </c>
      <c r="N632" s="135" t="s">
        <v>111</v>
      </c>
    </row>
    <row r="633" spans="2:14" x14ac:dyDescent="0.25">
      <c r="B633" s="136">
        <v>46169</v>
      </c>
      <c r="C633" s="139">
        <v>1</v>
      </c>
      <c r="D633" s="139" t="s">
        <v>205</v>
      </c>
      <c r="E633" s="137" t="s">
        <v>206</v>
      </c>
      <c r="F633" s="137" t="s">
        <v>276</v>
      </c>
      <c r="G633" s="137" t="s">
        <v>3506</v>
      </c>
      <c r="H633" s="137">
        <v>118</v>
      </c>
      <c r="I633" s="137" t="s">
        <v>185</v>
      </c>
      <c r="J633" s="137">
        <v>6535</v>
      </c>
      <c r="K633" s="141">
        <v>2467.62</v>
      </c>
      <c r="L633" s="137" t="s">
        <v>3507</v>
      </c>
      <c r="M633" s="135" t="str">
        <f t="shared" si="9"/>
        <v>MINERADORA PORTO FRANCOPRAXIS OBRA JKRACHÃOZINHO</v>
      </c>
      <c r="N633" s="135" t="s">
        <v>15</v>
      </c>
    </row>
    <row r="634" spans="2:14" x14ac:dyDescent="0.25">
      <c r="B634" s="134">
        <v>46169</v>
      </c>
      <c r="C634" s="138">
        <v>1</v>
      </c>
      <c r="D634" s="138" t="s">
        <v>213</v>
      </c>
      <c r="E634" s="135" t="s">
        <v>1153</v>
      </c>
      <c r="F634" s="135" t="s">
        <v>190</v>
      </c>
      <c r="G634" s="135" t="s">
        <v>191</v>
      </c>
      <c r="H634" s="135">
        <v>217</v>
      </c>
      <c r="I634" s="135" t="s">
        <v>165</v>
      </c>
      <c r="J634" s="135">
        <v>6052</v>
      </c>
      <c r="K634" s="140">
        <v>4859.1499999999996</v>
      </c>
      <c r="L634" s="135" t="s">
        <v>3508</v>
      </c>
      <c r="M634" s="135" t="str">
        <f t="shared" si="9"/>
        <v>SERVENGOLINDA NOVA - MAPÓ DE BRITA</v>
      </c>
      <c r="N634" s="137" t="s">
        <v>3730</v>
      </c>
    </row>
    <row r="635" spans="2:14" x14ac:dyDescent="0.25">
      <c r="B635" s="136">
        <v>46169</v>
      </c>
      <c r="C635" s="139">
        <v>1</v>
      </c>
      <c r="D635" s="139" t="s">
        <v>219</v>
      </c>
      <c r="E635" s="137" t="s">
        <v>220</v>
      </c>
      <c r="F635" s="137" t="s">
        <v>163</v>
      </c>
      <c r="G635" s="137" t="s">
        <v>164</v>
      </c>
      <c r="H635" s="137">
        <v>52</v>
      </c>
      <c r="I635" s="137" t="s">
        <v>165</v>
      </c>
      <c r="J635" s="137">
        <v>532</v>
      </c>
      <c r="K635" s="141">
        <v>1023.57</v>
      </c>
      <c r="L635" s="137" t="s">
        <v>3509</v>
      </c>
      <c r="M635" s="135" t="str">
        <f t="shared" si="9"/>
        <v>BRASIL MINERACAOUA SAO LUISPÓ DE BRITA</v>
      </c>
      <c r="N635" s="135" t="s">
        <v>224</v>
      </c>
    </row>
    <row r="636" spans="2:14" x14ac:dyDescent="0.25">
      <c r="B636" s="134">
        <v>46169</v>
      </c>
      <c r="C636" s="138">
        <v>1</v>
      </c>
      <c r="D636" s="138" t="s">
        <v>208</v>
      </c>
      <c r="E636" s="135" t="s">
        <v>209</v>
      </c>
      <c r="F636" s="135" t="s">
        <v>190</v>
      </c>
      <c r="G636" s="135" t="s">
        <v>212</v>
      </c>
      <c r="H636" s="135">
        <v>376</v>
      </c>
      <c r="I636" s="135" t="s">
        <v>165</v>
      </c>
      <c r="J636" s="135">
        <v>550</v>
      </c>
      <c r="K636" s="140">
        <v>6617.6</v>
      </c>
      <c r="L636" s="135" t="s">
        <v>3510</v>
      </c>
      <c r="M636" s="135" t="str">
        <f t="shared" si="9"/>
        <v>SERVENGUSINA PINHEIROPÓ DE BRITA</v>
      </c>
      <c r="N636" s="137" t="s">
        <v>161</v>
      </c>
    </row>
    <row r="637" spans="2:14" x14ac:dyDescent="0.25">
      <c r="B637" s="136">
        <v>46169</v>
      </c>
      <c r="C637" s="139">
        <v>1</v>
      </c>
      <c r="D637" s="139" t="s">
        <v>342</v>
      </c>
      <c r="E637" s="137" t="s">
        <v>171</v>
      </c>
      <c r="F637" s="137" t="s">
        <v>163</v>
      </c>
      <c r="G637" s="137" t="s">
        <v>164</v>
      </c>
      <c r="H637" s="137">
        <v>52</v>
      </c>
      <c r="I637" s="137" t="s">
        <v>185</v>
      </c>
      <c r="J637" s="137">
        <v>4608</v>
      </c>
      <c r="K637" s="141">
        <v>886.58</v>
      </c>
      <c r="L637" s="137" t="s">
        <v>3511</v>
      </c>
      <c r="M637" s="135" t="str">
        <f t="shared" si="9"/>
        <v>BRASIL MINERACAOUA SAO LUISRACHÃOZINHO</v>
      </c>
      <c r="N637" s="135" t="s">
        <v>224</v>
      </c>
    </row>
    <row r="638" spans="2:14" x14ac:dyDescent="0.25">
      <c r="B638" s="134">
        <v>46169</v>
      </c>
      <c r="C638" s="138">
        <v>1</v>
      </c>
      <c r="D638" s="138" t="s">
        <v>199</v>
      </c>
      <c r="E638" s="135" t="s">
        <v>180</v>
      </c>
      <c r="F638" s="135" t="s">
        <v>163</v>
      </c>
      <c r="G638" s="135" t="s">
        <v>164</v>
      </c>
      <c r="H638" s="135">
        <v>52</v>
      </c>
      <c r="I638" s="135" t="s">
        <v>185</v>
      </c>
      <c r="J638" s="135">
        <v>2864</v>
      </c>
      <c r="K638" s="140">
        <v>551.03</v>
      </c>
      <c r="L638" s="135" t="s">
        <v>3512</v>
      </c>
      <c r="M638" s="135" t="str">
        <f t="shared" si="9"/>
        <v>BRASIL MINERACAOUA SAO LUISRACHÃOZINHO</v>
      </c>
      <c r="N638" s="135" t="s">
        <v>224</v>
      </c>
    </row>
    <row r="639" spans="2:14" x14ac:dyDescent="0.25">
      <c r="B639" s="136">
        <v>46169</v>
      </c>
      <c r="C639" s="139">
        <v>1</v>
      </c>
      <c r="D639" s="139" t="s">
        <v>219</v>
      </c>
      <c r="E639" s="137" t="s">
        <v>220</v>
      </c>
      <c r="F639" s="137" t="s">
        <v>163</v>
      </c>
      <c r="G639" s="137" t="s">
        <v>164</v>
      </c>
      <c r="H639" s="137">
        <v>52</v>
      </c>
      <c r="I639" s="137" t="s">
        <v>175</v>
      </c>
      <c r="J639" s="137">
        <v>536</v>
      </c>
      <c r="K639" s="141">
        <v>1031.26</v>
      </c>
      <c r="L639" s="137" t="s">
        <v>3513</v>
      </c>
      <c r="M639" s="135" t="str">
        <f t="shared" si="9"/>
        <v>BRASIL MINERACAOUA SAO LUISBRITA 0</v>
      </c>
      <c r="N639" s="135" t="s">
        <v>224</v>
      </c>
    </row>
    <row r="640" spans="2:14" x14ac:dyDescent="0.25">
      <c r="B640" s="134">
        <v>46169</v>
      </c>
      <c r="C640" s="138">
        <v>1</v>
      </c>
      <c r="D640" s="138" t="s">
        <v>188</v>
      </c>
      <c r="E640" s="135" t="s">
        <v>189</v>
      </c>
      <c r="F640" s="135" t="s">
        <v>276</v>
      </c>
      <c r="G640" s="135" t="s">
        <v>2033</v>
      </c>
      <c r="H640" s="135">
        <v>323</v>
      </c>
      <c r="I640" s="135" t="s">
        <v>172</v>
      </c>
      <c r="J640" s="135">
        <v>6916</v>
      </c>
      <c r="K640" s="140">
        <v>7148.38</v>
      </c>
      <c r="L640" s="135" t="s">
        <v>3514</v>
      </c>
      <c r="M640" s="135" t="str">
        <f t="shared" si="9"/>
        <v>MINERADORA PORTO FRANCOVALE KM 386BICA CORRIDA</v>
      </c>
      <c r="N640" s="135" t="s">
        <v>15</v>
      </c>
    </row>
    <row r="641" spans="2:14" x14ac:dyDescent="0.25">
      <c r="B641" s="136">
        <v>46169</v>
      </c>
      <c r="C641" s="139">
        <v>1</v>
      </c>
      <c r="D641" s="139" t="s">
        <v>196</v>
      </c>
      <c r="E641" s="137" t="s">
        <v>197</v>
      </c>
      <c r="F641" s="137" t="s">
        <v>276</v>
      </c>
      <c r="G641" s="137" t="s">
        <v>2033</v>
      </c>
      <c r="H641" s="137">
        <v>323</v>
      </c>
      <c r="I641" s="137" t="s">
        <v>172</v>
      </c>
      <c r="J641" s="137">
        <v>6962</v>
      </c>
      <c r="K641" s="141">
        <v>7195.92</v>
      </c>
      <c r="L641" s="137" t="s">
        <v>3515</v>
      </c>
      <c r="M641" s="135" t="str">
        <f t="shared" si="9"/>
        <v>MINERADORA PORTO FRANCOVALE KM 386BICA CORRIDA</v>
      </c>
      <c r="N641" s="135" t="s">
        <v>15</v>
      </c>
    </row>
    <row r="642" spans="2:14" x14ac:dyDescent="0.25">
      <c r="B642" s="134">
        <v>46169</v>
      </c>
      <c r="C642" s="138">
        <v>1</v>
      </c>
      <c r="D642" s="138" t="s">
        <v>205</v>
      </c>
      <c r="E642" s="135" t="s">
        <v>206</v>
      </c>
      <c r="F642" s="135" t="s">
        <v>276</v>
      </c>
      <c r="G642" s="135" t="s">
        <v>3506</v>
      </c>
      <c r="H642" s="135">
        <v>118</v>
      </c>
      <c r="I642" s="135" t="s">
        <v>185</v>
      </c>
      <c r="J642" s="135">
        <v>3616</v>
      </c>
      <c r="K642" s="140">
        <v>1365.4</v>
      </c>
      <c r="L642" s="135" t="s">
        <v>3516</v>
      </c>
      <c r="M642" s="135" t="str">
        <f t="shared" si="9"/>
        <v>MINERADORA PORTO FRANCOPRAXIS OBRA JKRACHÃOZINHO</v>
      </c>
      <c r="N642" s="135" t="s">
        <v>15</v>
      </c>
    </row>
    <row r="643" spans="2:14" x14ac:dyDescent="0.25">
      <c r="B643" s="136">
        <v>46169</v>
      </c>
      <c r="C643" s="139">
        <v>1</v>
      </c>
      <c r="D643" s="139" t="s">
        <v>167</v>
      </c>
      <c r="E643" s="137" t="s">
        <v>168</v>
      </c>
      <c r="F643" s="137" t="s">
        <v>166</v>
      </c>
      <c r="G643" s="137" t="s">
        <v>111</v>
      </c>
      <c r="H643" s="137">
        <v>79</v>
      </c>
      <c r="I643" s="137" t="s">
        <v>169</v>
      </c>
      <c r="J643" s="137">
        <v>2848</v>
      </c>
      <c r="K643" s="141">
        <v>832.47</v>
      </c>
      <c r="L643" s="137" t="s">
        <v>3517</v>
      </c>
      <c r="M643" s="135" t="str">
        <f t="shared" si="9"/>
        <v>GRANORTEBEIRA RIOPULMÃOZINHO</v>
      </c>
      <c r="N643" s="137" t="s">
        <v>111</v>
      </c>
    </row>
    <row r="644" spans="2:14" x14ac:dyDescent="0.25">
      <c r="B644" s="134">
        <v>46169</v>
      </c>
      <c r="C644" s="138">
        <v>1</v>
      </c>
      <c r="D644" s="138" t="s">
        <v>167</v>
      </c>
      <c r="E644" s="135" t="s">
        <v>168</v>
      </c>
      <c r="F644" s="135" t="s">
        <v>166</v>
      </c>
      <c r="G644" s="135" t="s">
        <v>111</v>
      </c>
      <c r="H644" s="135">
        <v>79</v>
      </c>
      <c r="I644" s="135" t="s">
        <v>169</v>
      </c>
      <c r="J644" s="135">
        <v>2674</v>
      </c>
      <c r="K644" s="140">
        <v>781.61</v>
      </c>
      <c r="L644" s="135" t="s">
        <v>3518</v>
      </c>
      <c r="M644" s="135" t="str">
        <f t="shared" si="9"/>
        <v>GRANORTEBEIRA RIOPULMÃOZINHO</v>
      </c>
      <c r="N644" s="135" t="s">
        <v>111</v>
      </c>
    </row>
    <row r="645" spans="2:14" x14ac:dyDescent="0.25">
      <c r="B645" s="136">
        <v>46169</v>
      </c>
      <c r="C645" s="139">
        <v>1</v>
      </c>
      <c r="D645" s="139" t="s">
        <v>192</v>
      </c>
      <c r="E645" s="137" t="s">
        <v>287</v>
      </c>
      <c r="F645" s="137" t="s">
        <v>2868</v>
      </c>
      <c r="G645" s="137" t="s">
        <v>2871</v>
      </c>
      <c r="H645" s="137">
        <v>70</v>
      </c>
      <c r="I645" s="137" t="s">
        <v>2869</v>
      </c>
      <c r="J645" s="137">
        <v>5096</v>
      </c>
      <c r="K645" s="141">
        <v>1319.86</v>
      </c>
      <c r="L645" s="137" t="s">
        <v>3519</v>
      </c>
      <c r="M645" s="135" t="str">
        <f t="shared" ref="M645:M708" si="10">CONCATENATE(F645&amp;G645&amp;I645)</f>
        <v>FAZENDA PLATAFORMASILO PRODUCERESSOJA</v>
      </c>
      <c r="N645" s="135" t="s">
        <v>3729</v>
      </c>
    </row>
    <row r="646" spans="2:14" x14ac:dyDescent="0.25">
      <c r="B646" s="134">
        <v>46169</v>
      </c>
      <c r="C646" s="138">
        <v>1</v>
      </c>
      <c r="D646" s="138" t="s">
        <v>199</v>
      </c>
      <c r="E646" s="135" t="s">
        <v>180</v>
      </c>
      <c r="F646" s="135" t="s">
        <v>163</v>
      </c>
      <c r="G646" s="135" t="s">
        <v>164</v>
      </c>
      <c r="H646" s="135">
        <v>52</v>
      </c>
      <c r="I646" s="135" t="s">
        <v>185</v>
      </c>
      <c r="J646" s="135">
        <v>2774</v>
      </c>
      <c r="K646" s="140">
        <v>533.72</v>
      </c>
      <c r="L646" s="135" t="s">
        <v>3520</v>
      </c>
      <c r="M646" s="135" t="str">
        <f t="shared" si="10"/>
        <v>BRASIL MINERACAOUA SAO LUISRACHÃOZINHO</v>
      </c>
      <c r="N646" s="135" t="s">
        <v>224</v>
      </c>
    </row>
    <row r="647" spans="2:14" x14ac:dyDescent="0.25">
      <c r="B647" s="136">
        <v>46169</v>
      </c>
      <c r="C647" s="139">
        <v>1</v>
      </c>
      <c r="D647" s="139" t="s">
        <v>200</v>
      </c>
      <c r="E647" s="137" t="s">
        <v>201</v>
      </c>
      <c r="F647" s="137" t="s">
        <v>2868</v>
      </c>
      <c r="G647" s="137" t="s">
        <v>2871</v>
      </c>
      <c r="H647" s="137">
        <v>70</v>
      </c>
      <c r="I647" s="137" t="s">
        <v>2869</v>
      </c>
      <c r="J647" s="137">
        <v>52515</v>
      </c>
      <c r="K647" s="141">
        <v>1360.14</v>
      </c>
      <c r="L647" s="137" t="s">
        <v>3521</v>
      </c>
      <c r="M647" s="135" t="str">
        <f t="shared" si="10"/>
        <v>FAZENDA PLATAFORMASILO PRODUCERESSOJA</v>
      </c>
      <c r="N647" s="135" t="s">
        <v>3729</v>
      </c>
    </row>
    <row r="648" spans="2:14" x14ac:dyDescent="0.25">
      <c r="B648" s="134">
        <v>46169</v>
      </c>
      <c r="C648" s="138">
        <v>1</v>
      </c>
      <c r="D648" s="138" t="s">
        <v>270</v>
      </c>
      <c r="E648" s="135" t="s">
        <v>288</v>
      </c>
      <c r="F648" s="135" t="s">
        <v>190</v>
      </c>
      <c r="G648" s="135" t="s">
        <v>212</v>
      </c>
      <c r="H648" s="135">
        <v>376</v>
      </c>
      <c r="I648" s="135" t="s">
        <v>165</v>
      </c>
      <c r="J648" s="135">
        <v>5474</v>
      </c>
      <c r="K648" s="140">
        <v>6586.32</v>
      </c>
      <c r="L648" s="135" t="s">
        <v>3522</v>
      </c>
      <c r="M648" s="135" t="str">
        <f t="shared" si="10"/>
        <v>SERVENGUSINA PINHEIROPÓ DE BRITA</v>
      </c>
      <c r="N648" s="137" t="s">
        <v>161</v>
      </c>
    </row>
    <row r="649" spans="2:14" x14ac:dyDescent="0.25">
      <c r="B649" s="136">
        <v>46169</v>
      </c>
      <c r="C649" s="139">
        <v>1</v>
      </c>
      <c r="D649" s="139" t="s">
        <v>342</v>
      </c>
      <c r="E649" s="137" t="s">
        <v>171</v>
      </c>
      <c r="F649" s="137" t="s">
        <v>163</v>
      </c>
      <c r="G649" s="137" t="s">
        <v>164</v>
      </c>
      <c r="H649" s="137">
        <v>52</v>
      </c>
      <c r="I649" s="137" t="s">
        <v>185</v>
      </c>
      <c r="J649" s="137">
        <v>4592</v>
      </c>
      <c r="K649" s="141">
        <v>883.5</v>
      </c>
      <c r="L649" s="137" t="s">
        <v>3523</v>
      </c>
      <c r="M649" s="135" t="str">
        <f t="shared" si="10"/>
        <v>BRASIL MINERACAOUA SAO LUISRACHÃOZINHO</v>
      </c>
      <c r="N649" s="135" t="s">
        <v>224</v>
      </c>
    </row>
    <row r="650" spans="2:14" x14ac:dyDescent="0.25">
      <c r="B650" s="134">
        <v>46169</v>
      </c>
      <c r="C650" s="138">
        <v>1</v>
      </c>
      <c r="D650" s="138" t="s">
        <v>203</v>
      </c>
      <c r="E650" s="135" t="s">
        <v>204</v>
      </c>
      <c r="F650" s="135" t="s">
        <v>2868</v>
      </c>
      <c r="G650" s="135" t="s">
        <v>2871</v>
      </c>
      <c r="H650" s="135">
        <v>70</v>
      </c>
      <c r="I650" s="135" t="s">
        <v>2869</v>
      </c>
      <c r="J650" s="135">
        <v>5388</v>
      </c>
      <c r="K650" s="140">
        <v>1395.49</v>
      </c>
      <c r="L650" s="135" t="s">
        <v>3524</v>
      </c>
      <c r="M650" s="135" t="str">
        <f t="shared" si="10"/>
        <v>FAZENDA PLATAFORMASILO PRODUCERESSOJA</v>
      </c>
      <c r="N650" s="135" t="s">
        <v>3729</v>
      </c>
    </row>
    <row r="651" spans="2:14" x14ac:dyDescent="0.25">
      <c r="B651" s="136">
        <v>46169</v>
      </c>
      <c r="C651" s="139">
        <v>1</v>
      </c>
      <c r="D651" s="139" t="s">
        <v>199</v>
      </c>
      <c r="E651" s="137" t="s">
        <v>180</v>
      </c>
      <c r="F651" s="137" t="s">
        <v>166</v>
      </c>
      <c r="G651" s="137" t="s">
        <v>111</v>
      </c>
      <c r="H651" s="137">
        <v>79</v>
      </c>
      <c r="I651" s="137" t="s">
        <v>172</v>
      </c>
      <c r="J651" s="137">
        <v>2764</v>
      </c>
      <c r="K651" s="141">
        <v>807.92</v>
      </c>
      <c r="L651" s="137" t="s">
        <v>3525</v>
      </c>
      <c r="M651" s="135" t="str">
        <f t="shared" si="10"/>
        <v>GRANORTEBEIRA RIOBICA CORRIDA</v>
      </c>
      <c r="N651" s="137" t="s">
        <v>111</v>
      </c>
    </row>
    <row r="652" spans="2:14" x14ac:dyDescent="0.25">
      <c r="B652" s="134">
        <v>46169</v>
      </c>
      <c r="C652" s="138">
        <v>1</v>
      </c>
      <c r="D652" s="138" t="s">
        <v>205</v>
      </c>
      <c r="E652" s="135" t="s">
        <v>206</v>
      </c>
      <c r="F652" s="135" t="s">
        <v>276</v>
      </c>
      <c r="G652" s="135" t="s">
        <v>2865</v>
      </c>
      <c r="H652" s="135">
        <v>37</v>
      </c>
      <c r="I652" s="135" t="s">
        <v>175</v>
      </c>
      <c r="J652" s="135">
        <v>3719</v>
      </c>
      <c r="K652" s="140">
        <v>509.13</v>
      </c>
      <c r="L652" s="135" t="s">
        <v>3526</v>
      </c>
      <c r="M652" s="135" t="str">
        <f t="shared" si="10"/>
        <v>MINERADORA PORTO FRANCOUSINA DA ETHOSBRITA 0</v>
      </c>
      <c r="N652" s="135" t="s">
        <v>15</v>
      </c>
    </row>
    <row r="653" spans="2:14" x14ac:dyDescent="0.25">
      <c r="B653" s="136">
        <v>46169</v>
      </c>
      <c r="C653" s="139">
        <v>1</v>
      </c>
      <c r="D653" s="139" t="s">
        <v>210</v>
      </c>
      <c r="E653" s="137" t="s">
        <v>211</v>
      </c>
      <c r="F653" s="137" t="s">
        <v>2868</v>
      </c>
      <c r="G653" s="137" t="s">
        <v>2871</v>
      </c>
      <c r="H653" s="137">
        <v>70</v>
      </c>
      <c r="I653" s="137" t="s">
        <v>2869</v>
      </c>
      <c r="J653" s="137">
        <v>51648</v>
      </c>
      <c r="K653" s="141">
        <v>1337.68</v>
      </c>
      <c r="L653" s="137" t="s">
        <v>3527</v>
      </c>
      <c r="M653" s="135" t="str">
        <f t="shared" si="10"/>
        <v>FAZENDA PLATAFORMASILO PRODUCERESSOJA</v>
      </c>
      <c r="N653" s="135" t="s">
        <v>3729</v>
      </c>
    </row>
    <row r="654" spans="2:14" x14ac:dyDescent="0.25">
      <c r="B654" s="134">
        <v>46169</v>
      </c>
      <c r="C654" s="138">
        <v>1</v>
      </c>
      <c r="D654" s="138" t="s">
        <v>183</v>
      </c>
      <c r="E654" s="135" t="s">
        <v>184</v>
      </c>
      <c r="F654" s="135" t="s">
        <v>166</v>
      </c>
      <c r="G654" s="135" t="s">
        <v>111</v>
      </c>
      <c r="H654" s="135">
        <v>79</v>
      </c>
      <c r="I654" s="135" t="s">
        <v>169</v>
      </c>
      <c r="J654" s="135">
        <v>2648</v>
      </c>
      <c r="K654" s="140">
        <v>774.01</v>
      </c>
      <c r="L654" s="135" t="s">
        <v>3528</v>
      </c>
      <c r="M654" s="135" t="str">
        <f t="shared" si="10"/>
        <v>GRANORTEBEIRA RIOPULMÃOZINHO</v>
      </c>
      <c r="N654" s="135" t="s">
        <v>111</v>
      </c>
    </row>
    <row r="655" spans="2:14" x14ac:dyDescent="0.25">
      <c r="B655" s="136">
        <v>46169</v>
      </c>
      <c r="C655" s="139">
        <v>1</v>
      </c>
      <c r="D655" s="139" t="s">
        <v>183</v>
      </c>
      <c r="E655" s="137" t="s">
        <v>184</v>
      </c>
      <c r="F655" s="137" t="s">
        <v>166</v>
      </c>
      <c r="G655" s="137" t="s">
        <v>111</v>
      </c>
      <c r="H655" s="137">
        <v>79</v>
      </c>
      <c r="I655" s="137" t="s">
        <v>169</v>
      </c>
      <c r="J655" s="137">
        <v>2666</v>
      </c>
      <c r="K655" s="141">
        <v>779.27</v>
      </c>
      <c r="L655" s="137" t="s">
        <v>3529</v>
      </c>
      <c r="M655" s="135" t="str">
        <f t="shared" si="10"/>
        <v>GRANORTEBEIRA RIOPULMÃOZINHO</v>
      </c>
      <c r="N655" s="137" t="s">
        <v>111</v>
      </c>
    </row>
    <row r="656" spans="2:14" x14ac:dyDescent="0.25">
      <c r="B656" s="134">
        <v>46169</v>
      </c>
      <c r="C656" s="138">
        <v>1</v>
      </c>
      <c r="D656" s="138" t="s">
        <v>275</v>
      </c>
      <c r="E656" s="135" t="s">
        <v>178</v>
      </c>
      <c r="F656" s="135" t="s">
        <v>163</v>
      </c>
      <c r="G656" s="135" t="s">
        <v>164</v>
      </c>
      <c r="H656" s="135">
        <v>52</v>
      </c>
      <c r="I656" s="135" t="s">
        <v>165</v>
      </c>
      <c r="J656" s="135">
        <v>4442</v>
      </c>
      <c r="K656" s="140">
        <v>854.64</v>
      </c>
      <c r="L656" s="135" t="s">
        <v>3530</v>
      </c>
      <c r="M656" s="135" t="str">
        <f t="shared" si="10"/>
        <v>BRASIL MINERACAOUA SAO LUISPÓ DE BRITA</v>
      </c>
      <c r="N656" s="135" t="s">
        <v>224</v>
      </c>
    </row>
    <row r="657" spans="2:14" x14ac:dyDescent="0.25">
      <c r="B657" s="136">
        <v>46169</v>
      </c>
      <c r="C657" s="139">
        <v>1</v>
      </c>
      <c r="D657" s="139" t="s">
        <v>219</v>
      </c>
      <c r="E657" s="137" t="s">
        <v>220</v>
      </c>
      <c r="F657" s="137" t="s">
        <v>166</v>
      </c>
      <c r="G657" s="137" t="s">
        <v>164</v>
      </c>
      <c r="H657" s="137">
        <v>58</v>
      </c>
      <c r="I657" s="137" t="s">
        <v>175</v>
      </c>
      <c r="J657" s="137">
        <v>302</v>
      </c>
      <c r="K657" s="141">
        <v>648.09</v>
      </c>
      <c r="L657" s="137" t="s">
        <v>3531</v>
      </c>
      <c r="M657" s="135" t="str">
        <f t="shared" si="10"/>
        <v>GRANORTEUA SAO LUISBRITA 0</v>
      </c>
      <c r="N657" s="135" t="s">
        <v>224</v>
      </c>
    </row>
    <row r="658" spans="2:14" x14ac:dyDescent="0.25">
      <c r="B658" s="134">
        <v>46169</v>
      </c>
      <c r="C658" s="138">
        <v>1</v>
      </c>
      <c r="D658" s="138" t="s">
        <v>1948</v>
      </c>
      <c r="E658" s="135" t="s">
        <v>1949</v>
      </c>
      <c r="F658" s="135" t="s">
        <v>2868</v>
      </c>
      <c r="G658" s="135" t="s">
        <v>2871</v>
      </c>
      <c r="H658" s="135">
        <v>70</v>
      </c>
      <c r="I658" s="135" t="s">
        <v>2869</v>
      </c>
      <c r="J658" s="135">
        <v>476</v>
      </c>
      <c r="K658" s="140">
        <v>1232.8399999999999</v>
      </c>
      <c r="L658" s="135" t="s">
        <v>3532</v>
      </c>
      <c r="M658" s="135" t="str">
        <f t="shared" si="10"/>
        <v>FAZENDA PLATAFORMASILO PRODUCERESSOJA</v>
      </c>
      <c r="N658" s="135" t="s">
        <v>3729</v>
      </c>
    </row>
    <row r="659" spans="2:14" x14ac:dyDescent="0.25">
      <c r="B659" s="136">
        <v>46169</v>
      </c>
      <c r="C659" s="139">
        <v>1</v>
      </c>
      <c r="D659" s="139" t="s">
        <v>193</v>
      </c>
      <c r="E659" s="137" t="s">
        <v>285</v>
      </c>
      <c r="F659" s="137" t="s">
        <v>163</v>
      </c>
      <c r="G659" s="137" t="s">
        <v>111</v>
      </c>
      <c r="H659" s="137">
        <v>75</v>
      </c>
      <c r="I659" s="137" t="s">
        <v>185</v>
      </c>
      <c r="J659" s="137">
        <v>2798</v>
      </c>
      <c r="K659" s="141">
        <v>776.45</v>
      </c>
      <c r="L659" s="137" t="s">
        <v>3533</v>
      </c>
      <c r="M659" s="135" t="str">
        <f t="shared" si="10"/>
        <v>BRASIL MINERACAOBEIRA RIORACHÃOZINHO</v>
      </c>
      <c r="N659" s="137" t="s">
        <v>111</v>
      </c>
    </row>
    <row r="660" spans="2:14" x14ac:dyDescent="0.25">
      <c r="B660" s="134">
        <v>46169</v>
      </c>
      <c r="C660" s="138">
        <v>1</v>
      </c>
      <c r="D660" s="138" t="s">
        <v>300</v>
      </c>
      <c r="E660" s="135" t="s">
        <v>1536</v>
      </c>
      <c r="F660" s="135" t="s">
        <v>276</v>
      </c>
      <c r="G660" s="135" t="s">
        <v>2865</v>
      </c>
      <c r="H660" s="135">
        <v>37</v>
      </c>
      <c r="I660" s="135" t="s">
        <v>175</v>
      </c>
      <c r="J660" s="135">
        <v>7004</v>
      </c>
      <c r="K660" s="140">
        <v>958.85</v>
      </c>
      <c r="L660" s="135" t="s">
        <v>3534</v>
      </c>
      <c r="M660" s="135" t="str">
        <f t="shared" si="10"/>
        <v>MINERADORA PORTO FRANCOUSINA DA ETHOSBRITA 0</v>
      </c>
      <c r="N660" s="135" t="s">
        <v>15</v>
      </c>
    </row>
    <row r="661" spans="2:14" x14ac:dyDescent="0.25">
      <c r="B661" s="136">
        <v>46169</v>
      </c>
      <c r="C661" s="139">
        <v>1</v>
      </c>
      <c r="D661" s="139" t="s">
        <v>179</v>
      </c>
      <c r="E661" s="137" t="s">
        <v>2863</v>
      </c>
      <c r="F661" s="137" t="s">
        <v>166</v>
      </c>
      <c r="G661" s="137" t="s">
        <v>111</v>
      </c>
      <c r="H661" s="137">
        <v>79</v>
      </c>
      <c r="I661" s="137" t="s">
        <v>169</v>
      </c>
      <c r="J661" s="137">
        <v>2824</v>
      </c>
      <c r="K661" s="141">
        <v>825.46</v>
      </c>
      <c r="L661" s="137" t="s">
        <v>3535</v>
      </c>
      <c r="M661" s="135" t="str">
        <f t="shared" si="10"/>
        <v>GRANORTEBEIRA RIOPULMÃOZINHO</v>
      </c>
      <c r="N661" s="137" t="s">
        <v>111</v>
      </c>
    </row>
    <row r="662" spans="2:14" x14ac:dyDescent="0.25">
      <c r="B662" s="134">
        <v>46169</v>
      </c>
      <c r="C662" s="138">
        <v>1</v>
      </c>
      <c r="D662" s="138" t="s">
        <v>286</v>
      </c>
      <c r="E662" s="135" t="s">
        <v>506</v>
      </c>
      <c r="F662" s="135" t="s">
        <v>163</v>
      </c>
      <c r="G662" s="135" t="s">
        <v>164</v>
      </c>
      <c r="H662" s="135">
        <v>52</v>
      </c>
      <c r="I662" s="135" t="s">
        <v>175</v>
      </c>
      <c r="J662" s="135">
        <v>4564</v>
      </c>
      <c r="K662" s="140">
        <v>878.11</v>
      </c>
      <c r="L662" s="135" t="s">
        <v>3536</v>
      </c>
      <c r="M662" s="135" t="str">
        <f t="shared" si="10"/>
        <v>BRASIL MINERACAOUA SAO LUISBRITA 0</v>
      </c>
      <c r="N662" s="135" t="s">
        <v>224</v>
      </c>
    </row>
    <row r="663" spans="2:14" x14ac:dyDescent="0.25">
      <c r="B663" s="136">
        <v>46169</v>
      </c>
      <c r="C663" s="139">
        <v>1</v>
      </c>
      <c r="D663" s="139" t="s">
        <v>186</v>
      </c>
      <c r="E663" s="137" t="s">
        <v>187</v>
      </c>
      <c r="F663" s="137" t="s">
        <v>276</v>
      </c>
      <c r="G663" s="137" t="s">
        <v>2865</v>
      </c>
      <c r="H663" s="137">
        <v>37</v>
      </c>
      <c r="I663" s="137" t="s">
        <v>165</v>
      </c>
      <c r="J663" s="137">
        <v>6938</v>
      </c>
      <c r="K663" s="141">
        <v>949.81</v>
      </c>
      <c r="L663" s="137" t="s">
        <v>3537</v>
      </c>
      <c r="M663" s="135" t="str">
        <f t="shared" si="10"/>
        <v>MINERADORA PORTO FRANCOUSINA DA ETHOSPÓ DE BRITA</v>
      </c>
      <c r="N663" s="135" t="s">
        <v>15</v>
      </c>
    </row>
    <row r="664" spans="2:14" x14ac:dyDescent="0.25">
      <c r="B664" s="134">
        <v>46169</v>
      </c>
      <c r="C664" s="138">
        <v>1</v>
      </c>
      <c r="D664" s="138" t="s">
        <v>186</v>
      </c>
      <c r="E664" s="135" t="s">
        <v>187</v>
      </c>
      <c r="F664" s="135" t="s">
        <v>2757</v>
      </c>
      <c r="G664" s="135" t="s">
        <v>2867</v>
      </c>
      <c r="H664" s="135">
        <v>383</v>
      </c>
      <c r="I664" s="135" t="s">
        <v>221</v>
      </c>
      <c r="J664" s="135">
        <v>5024</v>
      </c>
      <c r="K664" s="140">
        <v>6157.41</v>
      </c>
      <c r="L664" s="135" t="s">
        <v>3538</v>
      </c>
      <c r="M664" s="135" t="str">
        <f t="shared" si="10"/>
        <v>MINERADORA PORTO FRANCO MAVALE KM324BGS</v>
      </c>
      <c r="N664" s="135" t="s">
        <v>15</v>
      </c>
    </row>
    <row r="665" spans="2:14" x14ac:dyDescent="0.25">
      <c r="B665" s="136">
        <v>46170</v>
      </c>
      <c r="C665" s="139">
        <v>1</v>
      </c>
      <c r="D665" s="139" t="s">
        <v>208</v>
      </c>
      <c r="E665" s="137" t="s">
        <v>209</v>
      </c>
      <c r="F665" s="137" t="s">
        <v>190</v>
      </c>
      <c r="G665" s="137" t="s">
        <v>212</v>
      </c>
      <c r="H665" s="137">
        <v>376</v>
      </c>
      <c r="I665" s="137" t="s">
        <v>165</v>
      </c>
      <c r="J665" s="137">
        <v>550</v>
      </c>
      <c r="K665" s="141">
        <v>6617.6</v>
      </c>
      <c r="L665" s="137" t="s">
        <v>3539</v>
      </c>
      <c r="M665" s="135" t="str">
        <f t="shared" si="10"/>
        <v>SERVENGUSINA PINHEIROPÓ DE BRITA</v>
      </c>
      <c r="N665" s="137" t="s">
        <v>161</v>
      </c>
    </row>
    <row r="666" spans="2:14" x14ac:dyDescent="0.25">
      <c r="B666" s="134">
        <v>46170</v>
      </c>
      <c r="C666" s="138">
        <v>1</v>
      </c>
      <c r="D666" s="138" t="s">
        <v>342</v>
      </c>
      <c r="E666" s="135" t="s">
        <v>171</v>
      </c>
      <c r="F666" s="135" t="s">
        <v>163</v>
      </c>
      <c r="G666" s="135" t="s">
        <v>164</v>
      </c>
      <c r="H666" s="135">
        <v>52</v>
      </c>
      <c r="I666" s="135" t="s">
        <v>175</v>
      </c>
      <c r="J666" s="135">
        <v>4736</v>
      </c>
      <c r="K666" s="140">
        <v>911.21</v>
      </c>
      <c r="L666" s="135" t="s">
        <v>3540</v>
      </c>
      <c r="M666" s="135" t="str">
        <f t="shared" si="10"/>
        <v>BRASIL MINERACAOUA SAO LUISBRITA 0</v>
      </c>
      <c r="N666" s="135" t="s">
        <v>224</v>
      </c>
    </row>
    <row r="667" spans="2:14" x14ac:dyDescent="0.25">
      <c r="B667" s="136">
        <v>46170</v>
      </c>
      <c r="C667" s="139">
        <v>1</v>
      </c>
      <c r="D667" s="139" t="s">
        <v>199</v>
      </c>
      <c r="E667" s="137" t="s">
        <v>180</v>
      </c>
      <c r="F667" s="137" t="s">
        <v>166</v>
      </c>
      <c r="G667" s="137" t="s">
        <v>111</v>
      </c>
      <c r="H667" s="137">
        <v>79</v>
      </c>
      <c r="I667" s="137" t="s">
        <v>172</v>
      </c>
      <c r="J667" s="137">
        <v>2768</v>
      </c>
      <c r="K667" s="141">
        <v>809.09</v>
      </c>
      <c r="L667" s="137" t="s">
        <v>3541</v>
      </c>
      <c r="M667" s="135" t="str">
        <f t="shared" si="10"/>
        <v>GRANORTEBEIRA RIOBICA CORRIDA</v>
      </c>
      <c r="N667" s="137" t="s">
        <v>111</v>
      </c>
    </row>
    <row r="668" spans="2:14" x14ac:dyDescent="0.25">
      <c r="B668" s="134">
        <v>46170</v>
      </c>
      <c r="C668" s="138">
        <v>1</v>
      </c>
      <c r="D668" s="138" t="s">
        <v>2866</v>
      </c>
      <c r="E668" s="135" t="s">
        <v>281</v>
      </c>
      <c r="F668" s="135" t="s">
        <v>166</v>
      </c>
      <c r="G668" s="135" t="s">
        <v>164</v>
      </c>
      <c r="H668" s="135">
        <v>58</v>
      </c>
      <c r="I668" s="135" t="s">
        <v>165</v>
      </c>
      <c r="J668" s="135">
        <v>2762</v>
      </c>
      <c r="K668" s="140">
        <v>592.73</v>
      </c>
      <c r="L668" s="135" t="s">
        <v>3542</v>
      </c>
      <c r="M668" s="135" t="str">
        <f t="shared" si="10"/>
        <v>GRANORTEUA SAO LUISPÓ DE BRITA</v>
      </c>
      <c r="N668" s="135" t="s">
        <v>224</v>
      </c>
    </row>
    <row r="669" spans="2:14" x14ac:dyDescent="0.25">
      <c r="B669" s="136">
        <v>46170</v>
      </c>
      <c r="C669" s="139">
        <v>1</v>
      </c>
      <c r="D669" s="139" t="s">
        <v>188</v>
      </c>
      <c r="E669" s="137" t="s">
        <v>189</v>
      </c>
      <c r="F669" s="137" t="s">
        <v>276</v>
      </c>
      <c r="G669" s="137" t="s">
        <v>2033</v>
      </c>
      <c r="H669" s="137">
        <v>323</v>
      </c>
      <c r="I669" s="137" t="s">
        <v>172</v>
      </c>
      <c r="J669" s="137">
        <v>7362</v>
      </c>
      <c r="K669" s="141">
        <v>7609.36</v>
      </c>
      <c r="L669" s="137" t="s">
        <v>3543</v>
      </c>
      <c r="M669" s="135" t="str">
        <f t="shared" si="10"/>
        <v>MINERADORA PORTO FRANCOVALE KM 386BICA CORRIDA</v>
      </c>
      <c r="N669" s="135" t="s">
        <v>15</v>
      </c>
    </row>
    <row r="670" spans="2:14" x14ac:dyDescent="0.25">
      <c r="B670" s="134">
        <v>46170</v>
      </c>
      <c r="C670" s="138">
        <v>1</v>
      </c>
      <c r="D670" s="138" t="s">
        <v>196</v>
      </c>
      <c r="E670" s="135" t="s">
        <v>197</v>
      </c>
      <c r="F670" s="135" t="s">
        <v>276</v>
      </c>
      <c r="G670" s="135" t="s">
        <v>2033</v>
      </c>
      <c r="H670" s="135">
        <v>323</v>
      </c>
      <c r="I670" s="135" t="s">
        <v>172</v>
      </c>
      <c r="J670" s="135">
        <v>6804</v>
      </c>
      <c r="K670" s="140">
        <v>7032.61</v>
      </c>
      <c r="L670" s="135" t="s">
        <v>3544</v>
      </c>
      <c r="M670" s="135" t="str">
        <f t="shared" si="10"/>
        <v>MINERADORA PORTO FRANCOVALE KM 386BICA CORRIDA</v>
      </c>
      <c r="N670" s="135" t="s">
        <v>15</v>
      </c>
    </row>
    <row r="671" spans="2:14" x14ac:dyDescent="0.25">
      <c r="B671" s="136">
        <v>46170</v>
      </c>
      <c r="C671" s="139">
        <v>1</v>
      </c>
      <c r="D671" s="139" t="s">
        <v>205</v>
      </c>
      <c r="E671" s="137" t="s">
        <v>206</v>
      </c>
      <c r="F671" s="137" t="s">
        <v>276</v>
      </c>
      <c r="G671" s="137" t="s">
        <v>3506</v>
      </c>
      <c r="H671" s="137">
        <v>118</v>
      </c>
      <c r="I671" s="137" t="s">
        <v>185</v>
      </c>
      <c r="J671" s="137">
        <v>3734</v>
      </c>
      <c r="K671" s="141">
        <v>1409.96</v>
      </c>
      <c r="L671" s="137" t="s">
        <v>3545</v>
      </c>
      <c r="M671" s="135" t="str">
        <f t="shared" si="10"/>
        <v>MINERADORA PORTO FRANCOPRAXIS OBRA JKRACHÃOZINHO</v>
      </c>
      <c r="N671" s="135" t="s">
        <v>15</v>
      </c>
    </row>
    <row r="672" spans="2:14" x14ac:dyDescent="0.25">
      <c r="B672" s="134">
        <v>46170</v>
      </c>
      <c r="C672" s="138">
        <v>1</v>
      </c>
      <c r="D672" s="138" t="s">
        <v>203</v>
      </c>
      <c r="E672" s="135" t="s">
        <v>204</v>
      </c>
      <c r="F672" s="135" t="s">
        <v>2868</v>
      </c>
      <c r="G672" s="135" t="s">
        <v>2871</v>
      </c>
      <c r="H672" s="135">
        <v>70</v>
      </c>
      <c r="I672" s="135" t="s">
        <v>2869</v>
      </c>
      <c r="J672" s="135">
        <v>5444</v>
      </c>
      <c r="K672" s="140">
        <v>1410</v>
      </c>
      <c r="L672" s="135" t="s">
        <v>3546</v>
      </c>
      <c r="M672" s="135" t="str">
        <f t="shared" si="10"/>
        <v>FAZENDA PLATAFORMASILO PRODUCERESSOJA</v>
      </c>
      <c r="N672" s="135" t="s">
        <v>3729</v>
      </c>
    </row>
    <row r="673" spans="2:14" x14ac:dyDescent="0.25">
      <c r="B673" s="136">
        <v>46170</v>
      </c>
      <c r="C673" s="139">
        <v>1</v>
      </c>
      <c r="D673" s="139" t="s">
        <v>167</v>
      </c>
      <c r="E673" s="137" t="s">
        <v>168</v>
      </c>
      <c r="F673" s="137" t="s">
        <v>166</v>
      </c>
      <c r="G673" s="137" t="s">
        <v>164</v>
      </c>
      <c r="H673" s="137">
        <v>58</v>
      </c>
      <c r="I673" s="137" t="s">
        <v>195</v>
      </c>
      <c r="J673" s="137">
        <v>2496</v>
      </c>
      <c r="K673" s="141">
        <v>535.64</v>
      </c>
      <c r="L673" s="137" t="s">
        <v>3547</v>
      </c>
      <c r="M673" s="135" t="str">
        <f t="shared" si="10"/>
        <v>GRANORTEUA SAO LUISBRITA 1</v>
      </c>
      <c r="N673" s="135" t="s">
        <v>224</v>
      </c>
    </row>
    <row r="674" spans="2:14" x14ac:dyDescent="0.25">
      <c r="B674" s="134">
        <v>46170</v>
      </c>
      <c r="C674" s="138">
        <v>1</v>
      </c>
      <c r="D674" s="138" t="s">
        <v>167</v>
      </c>
      <c r="E674" s="135" t="s">
        <v>168</v>
      </c>
      <c r="F674" s="135" t="s">
        <v>163</v>
      </c>
      <c r="G674" s="135" t="s">
        <v>111</v>
      </c>
      <c r="H674" s="135">
        <v>75</v>
      </c>
      <c r="I674" s="135" t="s">
        <v>185</v>
      </c>
      <c r="J674" s="135">
        <v>2618</v>
      </c>
      <c r="K674" s="140">
        <v>726.5</v>
      </c>
      <c r="L674" s="135" t="s">
        <v>3548</v>
      </c>
      <c r="M674" s="135" t="str">
        <f t="shared" si="10"/>
        <v>BRASIL MINERACAOBEIRA RIORACHÃOZINHO</v>
      </c>
      <c r="N674" s="135" t="s">
        <v>111</v>
      </c>
    </row>
    <row r="675" spans="2:14" x14ac:dyDescent="0.25">
      <c r="B675" s="136">
        <v>46170</v>
      </c>
      <c r="C675" s="139">
        <v>1</v>
      </c>
      <c r="D675" s="139" t="s">
        <v>167</v>
      </c>
      <c r="E675" s="137" t="s">
        <v>168</v>
      </c>
      <c r="F675" s="137" t="s">
        <v>163</v>
      </c>
      <c r="G675" s="137" t="s">
        <v>111</v>
      </c>
      <c r="H675" s="137">
        <v>75</v>
      </c>
      <c r="I675" s="137" t="s">
        <v>185</v>
      </c>
      <c r="J675" s="137">
        <v>2612</v>
      </c>
      <c r="K675" s="141">
        <v>724.83</v>
      </c>
      <c r="L675" s="137" t="s">
        <v>3549</v>
      </c>
      <c r="M675" s="135" t="str">
        <f t="shared" si="10"/>
        <v>BRASIL MINERACAOBEIRA RIORACHÃOZINHO</v>
      </c>
      <c r="N675" s="137" t="s">
        <v>111</v>
      </c>
    </row>
    <row r="676" spans="2:14" x14ac:dyDescent="0.25">
      <c r="B676" s="134">
        <v>46170</v>
      </c>
      <c r="C676" s="138">
        <v>1</v>
      </c>
      <c r="D676" s="138" t="s">
        <v>342</v>
      </c>
      <c r="E676" s="135" t="s">
        <v>171</v>
      </c>
      <c r="F676" s="135" t="s">
        <v>163</v>
      </c>
      <c r="G676" s="135" t="s">
        <v>164</v>
      </c>
      <c r="H676" s="135">
        <v>52</v>
      </c>
      <c r="I676" s="135" t="s">
        <v>165</v>
      </c>
      <c r="J676" s="135">
        <v>4468</v>
      </c>
      <c r="K676" s="140">
        <v>859.64</v>
      </c>
      <c r="L676" s="135" t="s">
        <v>3550</v>
      </c>
      <c r="M676" s="135" t="str">
        <f t="shared" si="10"/>
        <v>BRASIL MINERACAOUA SAO LUISPÓ DE BRITA</v>
      </c>
      <c r="N676" s="135" t="s">
        <v>224</v>
      </c>
    </row>
    <row r="677" spans="2:14" x14ac:dyDescent="0.25">
      <c r="B677" s="136">
        <v>46170</v>
      </c>
      <c r="C677" s="139">
        <v>1</v>
      </c>
      <c r="D677" s="139" t="s">
        <v>200</v>
      </c>
      <c r="E677" s="137" t="s">
        <v>201</v>
      </c>
      <c r="F677" s="137" t="s">
        <v>2868</v>
      </c>
      <c r="G677" s="137" t="s">
        <v>2881</v>
      </c>
      <c r="H677" s="137">
        <v>62</v>
      </c>
      <c r="I677" s="137" t="s">
        <v>2869</v>
      </c>
      <c r="J677" s="137">
        <v>54396</v>
      </c>
      <c r="K677" s="141">
        <v>1247.8399999999999</v>
      </c>
      <c r="L677" s="137" t="s">
        <v>3551</v>
      </c>
      <c r="M677" s="135" t="str">
        <f t="shared" si="10"/>
        <v>FAZENDA PLATAFORMASITIO DO GUTO - SEN. ALEXANDRE COSTASOJA</v>
      </c>
      <c r="N677" s="137" t="s">
        <v>3729</v>
      </c>
    </row>
    <row r="678" spans="2:14" x14ac:dyDescent="0.25">
      <c r="B678" s="134">
        <v>46170</v>
      </c>
      <c r="C678" s="138">
        <v>1</v>
      </c>
      <c r="D678" s="138" t="s">
        <v>199</v>
      </c>
      <c r="E678" s="135" t="s">
        <v>180</v>
      </c>
      <c r="F678" s="135" t="s">
        <v>166</v>
      </c>
      <c r="G678" s="135" t="s">
        <v>111</v>
      </c>
      <c r="H678" s="135">
        <v>79</v>
      </c>
      <c r="I678" s="135" t="s">
        <v>172</v>
      </c>
      <c r="J678" s="135">
        <v>2936</v>
      </c>
      <c r="K678" s="140">
        <v>858.19</v>
      </c>
      <c r="L678" s="135" t="s">
        <v>3552</v>
      </c>
      <c r="M678" s="135" t="str">
        <f t="shared" si="10"/>
        <v>GRANORTEBEIRA RIOBICA CORRIDA</v>
      </c>
      <c r="N678" s="135" t="s">
        <v>111</v>
      </c>
    </row>
    <row r="679" spans="2:14" x14ac:dyDescent="0.25">
      <c r="B679" s="136">
        <v>46170</v>
      </c>
      <c r="C679" s="139">
        <v>1</v>
      </c>
      <c r="D679" s="139" t="s">
        <v>270</v>
      </c>
      <c r="E679" s="137" t="s">
        <v>288</v>
      </c>
      <c r="F679" s="137" t="s">
        <v>190</v>
      </c>
      <c r="G679" s="137" t="s">
        <v>212</v>
      </c>
      <c r="H679" s="137">
        <v>376</v>
      </c>
      <c r="I679" s="137" t="s">
        <v>165</v>
      </c>
      <c r="J679" s="137">
        <v>5412</v>
      </c>
      <c r="K679" s="141">
        <v>6511.72</v>
      </c>
      <c r="L679" s="137" t="s">
        <v>3553</v>
      </c>
      <c r="M679" s="135" t="str">
        <f t="shared" si="10"/>
        <v>SERVENGUSINA PINHEIROPÓ DE BRITA</v>
      </c>
      <c r="N679" s="137" t="s">
        <v>161</v>
      </c>
    </row>
    <row r="680" spans="2:14" x14ac:dyDescent="0.25">
      <c r="B680" s="134">
        <v>46170</v>
      </c>
      <c r="C680" s="138">
        <v>1</v>
      </c>
      <c r="D680" s="138" t="s">
        <v>300</v>
      </c>
      <c r="E680" s="135" t="s">
        <v>1536</v>
      </c>
      <c r="F680" s="135" t="s">
        <v>2757</v>
      </c>
      <c r="G680" s="135" t="s">
        <v>2867</v>
      </c>
      <c r="H680" s="135">
        <v>383</v>
      </c>
      <c r="I680" s="135" t="s">
        <v>172</v>
      </c>
      <c r="J680" s="135">
        <v>5354</v>
      </c>
      <c r="K680" s="140">
        <v>6561.86</v>
      </c>
      <c r="L680" s="135" t="s">
        <v>3554</v>
      </c>
      <c r="M680" s="135" t="str">
        <f t="shared" si="10"/>
        <v>MINERADORA PORTO FRANCO MAVALE KM324BICA CORRIDA</v>
      </c>
      <c r="N680" s="135" t="s">
        <v>15</v>
      </c>
    </row>
    <row r="681" spans="2:14" x14ac:dyDescent="0.25">
      <c r="B681" s="136">
        <v>46170</v>
      </c>
      <c r="C681" s="139">
        <v>1</v>
      </c>
      <c r="D681" s="139" t="s">
        <v>219</v>
      </c>
      <c r="E681" s="137" t="s">
        <v>220</v>
      </c>
      <c r="F681" s="137" t="s">
        <v>163</v>
      </c>
      <c r="G681" s="137" t="s">
        <v>164</v>
      </c>
      <c r="H681" s="137">
        <v>52</v>
      </c>
      <c r="I681" s="137" t="s">
        <v>175</v>
      </c>
      <c r="J681" s="137">
        <v>567</v>
      </c>
      <c r="K681" s="141">
        <v>1090.9100000000001</v>
      </c>
      <c r="L681" s="137" t="s">
        <v>3555</v>
      </c>
      <c r="M681" s="135" t="str">
        <f t="shared" si="10"/>
        <v>BRASIL MINERACAOUA SAO LUISBRITA 0</v>
      </c>
      <c r="N681" s="135" t="s">
        <v>224</v>
      </c>
    </row>
    <row r="682" spans="2:14" x14ac:dyDescent="0.25">
      <c r="B682" s="134">
        <v>46170</v>
      </c>
      <c r="C682" s="138">
        <v>1</v>
      </c>
      <c r="D682" s="138" t="s">
        <v>219</v>
      </c>
      <c r="E682" s="135" t="s">
        <v>220</v>
      </c>
      <c r="F682" s="135" t="s">
        <v>163</v>
      </c>
      <c r="G682" s="135" t="s">
        <v>164</v>
      </c>
      <c r="H682" s="135">
        <v>52</v>
      </c>
      <c r="I682" s="135" t="s">
        <v>165</v>
      </c>
      <c r="J682" s="135">
        <v>522</v>
      </c>
      <c r="K682" s="140">
        <v>1004.33</v>
      </c>
      <c r="L682" s="135" t="s">
        <v>3556</v>
      </c>
      <c r="M682" s="135" t="str">
        <f t="shared" si="10"/>
        <v>BRASIL MINERACAOUA SAO LUISPÓ DE BRITA</v>
      </c>
      <c r="N682" s="135" t="s">
        <v>224</v>
      </c>
    </row>
    <row r="683" spans="2:14" x14ac:dyDescent="0.25">
      <c r="B683" s="136">
        <v>46170</v>
      </c>
      <c r="C683" s="139">
        <v>1</v>
      </c>
      <c r="D683" s="139" t="s">
        <v>219</v>
      </c>
      <c r="E683" s="137" t="s">
        <v>220</v>
      </c>
      <c r="F683" s="137" t="s">
        <v>163</v>
      </c>
      <c r="G683" s="137" t="s">
        <v>164</v>
      </c>
      <c r="H683" s="137">
        <v>52</v>
      </c>
      <c r="I683" s="137" t="s">
        <v>165</v>
      </c>
      <c r="J683" s="137">
        <v>534</v>
      </c>
      <c r="K683" s="141">
        <v>1027.42</v>
      </c>
      <c r="L683" s="137" t="s">
        <v>3557</v>
      </c>
      <c r="M683" s="135" t="str">
        <f t="shared" si="10"/>
        <v>BRASIL MINERACAOUA SAO LUISPÓ DE BRITA</v>
      </c>
      <c r="N683" s="135" t="s">
        <v>224</v>
      </c>
    </row>
    <row r="684" spans="2:14" x14ac:dyDescent="0.25">
      <c r="B684" s="134">
        <v>46170</v>
      </c>
      <c r="C684" s="138">
        <v>1</v>
      </c>
      <c r="D684" s="138" t="s">
        <v>210</v>
      </c>
      <c r="E684" s="135" t="s">
        <v>211</v>
      </c>
      <c r="F684" s="135" t="s">
        <v>2868</v>
      </c>
      <c r="G684" s="135" t="s">
        <v>2871</v>
      </c>
      <c r="H684" s="135">
        <v>70</v>
      </c>
      <c r="I684" s="135" t="s">
        <v>2869</v>
      </c>
      <c r="J684" s="135">
        <v>51353</v>
      </c>
      <c r="K684" s="140">
        <v>1330.04</v>
      </c>
      <c r="L684" s="135" t="s">
        <v>3558</v>
      </c>
      <c r="M684" s="135" t="str">
        <f t="shared" si="10"/>
        <v>FAZENDA PLATAFORMASILO PRODUCERESSOJA</v>
      </c>
      <c r="N684" s="135" t="s">
        <v>3729</v>
      </c>
    </row>
    <row r="685" spans="2:14" x14ac:dyDescent="0.25">
      <c r="B685" s="136">
        <v>46170</v>
      </c>
      <c r="C685" s="139">
        <v>1</v>
      </c>
      <c r="D685" s="139" t="s">
        <v>283</v>
      </c>
      <c r="E685" s="137" t="s">
        <v>282</v>
      </c>
      <c r="F685" s="137" t="s">
        <v>166</v>
      </c>
      <c r="G685" s="137" t="s">
        <v>1178</v>
      </c>
      <c r="H685" s="137">
        <v>51</v>
      </c>
      <c r="I685" s="137" t="s">
        <v>292</v>
      </c>
      <c r="J685" s="137">
        <v>2876</v>
      </c>
      <c r="K685" s="141">
        <v>542.70000000000005</v>
      </c>
      <c r="L685" s="137" t="s">
        <v>3559</v>
      </c>
      <c r="M685" s="135" t="str">
        <f t="shared" si="10"/>
        <v>GRANORTEVETORPEDRA PULMÃO</v>
      </c>
      <c r="N685" s="137" t="s">
        <v>1178</v>
      </c>
    </row>
    <row r="686" spans="2:14" x14ac:dyDescent="0.25">
      <c r="B686" s="134">
        <v>46170</v>
      </c>
      <c r="C686" s="138">
        <v>1</v>
      </c>
      <c r="D686" s="138" t="s">
        <v>283</v>
      </c>
      <c r="E686" s="135" t="s">
        <v>282</v>
      </c>
      <c r="F686" s="135" t="s">
        <v>166</v>
      </c>
      <c r="G686" s="135" t="s">
        <v>1178</v>
      </c>
      <c r="H686" s="135">
        <v>51</v>
      </c>
      <c r="I686" s="135" t="s">
        <v>292</v>
      </c>
      <c r="J686" s="135">
        <v>2678</v>
      </c>
      <c r="K686" s="140">
        <v>505.34</v>
      </c>
      <c r="L686" s="135" t="s">
        <v>3560</v>
      </c>
      <c r="M686" s="135" t="str">
        <f t="shared" si="10"/>
        <v>GRANORTEVETORPEDRA PULMÃO</v>
      </c>
      <c r="N686" s="135" t="s">
        <v>1178</v>
      </c>
    </row>
    <row r="687" spans="2:14" x14ac:dyDescent="0.25">
      <c r="B687" s="136">
        <v>46170</v>
      </c>
      <c r="C687" s="139">
        <v>1</v>
      </c>
      <c r="D687" s="139" t="s">
        <v>283</v>
      </c>
      <c r="E687" s="137" t="s">
        <v>282</v>
      </c>
      <c r="F687" s="137" t="s">
        <v>166</v>
      </c>
      <c r="G687" s="137" t="s">
        <v>1178</v>
      </c>
      <c r="H687" s="137">
        <v>51</v>
      </c>
      <c r="I687" s="137" t="s">
        <v>172</v>
      </c>
      <c r="J687" s="137">
        <v>2622</v>
      </c>
      <c r="K687" s="141">
        <v>494.77</v>
      </c>
      <c r="L687" s="137" t="s">
        <v>3561</v>
      </c>
      <c r="M687" s="135" t="str">
        <f t="shared" si="10"/>
        <v>GRANORTEVETORBICA CORRIDA</v>
      </c>
      <c r="N687" s="137" t="s">
        <v>1178</v>
      </c>
    </row>
    <row r="688" spans="2:14" x14ac:dyDescent="0.25">
      <c r="B688" s="134">
        <v>46170</v>
      </c>
      <c r="C688" s="138">
        <v>1</v>
      </c>
      <c r="D688" s="138" t="s">
        <v>176</v>
      </c>
      <c r="E688" s="135" t="s">
        <v>177</v>
      </c>
      <c r="F688" s="135" t="s">
        <v>3562</v>
      </c>
      <c r="G688" s="135" t="s">
        <v>2868</v>
      </c>
      <c r="H688" s="135">
        <v>56</v>
      </c>
      <c r="I688" s="135" t="s">
        <v>2869</v>
      </c>
      <c r="J688" s="135">
        <v>51176</v>
      </c>
      <c r="K688" s="140">
        <v>1060.3699999999999</v>
      </c>
      <c r="L688" s="135" t="s">
        <v>3563</v>
      </c>
      <c r="M688" s="135" t="str">
        <f t="shared" si="10"/>
        <v>FAZENDA VALAGRO - BR226  KM145FAZENDA PLATAFORMASOJA</v>
      </c>
      <c r="N688" s="135" t="s">
        <v>3729</v>
      </c>
    </row>
    <row r="689" spans="2:14" x14ac:dyDescent="0.25">
      <c r="B689" s="136">
        <v>46170</v>
      </c>
      <c r="C689" s="139">
        <v>1</v>
      </c>
      <c r="D689" s="139" t="s">
        <v>286</v>
      </c>
      <c r="E689" s="137" t="s">
        <v>506</v>
      </c>
      <c r="F689" s="137" t="s">
        <v>163</v>
      </c>
      <c r="G689" s="137" t="s">
        <v>164</v>
      </c>
      <c r="H689" s="137">
        <v>52</v>
      </c>
      <c r="I689" s="137" t="s">
        <v>165</v>
      </c>
      <c r="J689" s="137">
        <v>4484</v>
      </c>
      <c r="K689" s="141">
        <v>862.72</v>
      </c>
      <c r="L689" s="137" t="s">
        <v>3564</v>
      </c>
      <c r="M689" s="135" t="str">
        <f t="shared" si="10"/>
        <v>BRASIL MINERACAOUA SAO LUISPÓ DE BRITA</v>
      </c>
      <c r="N689" s="135" t="s">
        <v>224</v>
      </c>
    </row>
    <row r="690" spans="2:14" x14ac:dyDescent="0.25">
      <c r="B690" s="134">
        <v>46170</v>
      </c>
      <c r="C690" s="138">
        <v>1</v>
      </c>
      <c r="D690" s="138" t="s">
        <v>286</v>
      </c>
      <c r="E690" s="135" t="s">
        <v>506</v>
      </c>
      <c r="F690" s="135" t="s">
        <v>163</v>
      </c>
      <c r="G690" s="135" t="s">
        <v>164</v>
      </c>
      <c r="H690" s="135">
        <v>52</v>
      </c>
      <c r="I690" s="135" t="s">
        <v>165</v>
      </c>
      <c r="J690" s="135">
        <v>4466</v>
      </c>
      <c r="K690" s="140">
        <v>859.26</v>
      </c>
      <c r="L690" s="135" t="s">
        <v>3565</v>
      </c>
      <c r="M690" s="135" t="str">
        <f t="shared" si="10"/>
        <v>BRASIL MINERACAOUA SAO LUISPÓ DE BRITA</v>
      </c>
      <c r="N690" s="135" t="s">
        <v>224</v>
      </c>
    </row>
    <row r="691" spans="2:14" x14ac:dyDescent="0.25">
      <c r="B691" s="136">
        <v>46170</v>
      </c>
      <c r="C691" s="139">
        <v>1</v>
      </c>
      <c r="D691" s="139" t="s">
        <v>199</v>
      </c>
      <c r="E691" s="137" t="s">
        <v>180</v>
      </c>
      <c r="F691" s="137" t="s">
        <v>163</v>
      </c>
      <c r="G691" s="137" t="s">
        <v>164</v>
      </c>
      <c r="H691" s="137">
        <v>52</v>
      </c>
      <c r="I691" s="137" t="s">
        <v>165</v>
      </c>
      <c r="J691" s="137">
        <v>2682</v>
      </c>
      <c r="K691" s="141">
        <v>516.02</v>
      </c>
      <c r="L691" s="137" t="s">
        <v>3566</v>
      </c>
      <c r="M691" s="135" t="str">
        <f t="shared" si="10"/>
        <v>BRASIL MINERACAOUA SAO LUISPÓ DE BRITA</v>
      </c>
      <c r="N691" s="135" t="s">
        <v>224</v>
      </c>
    </row>
    <row r="692" spans="2:14" x14ac:dyDescent="0.25">
      <c r="B692" s="134">
        <v>46170</v>
      </c>
      <c r="C692" s="138">
        <v>1</v>
      </c>
      <c r="D692" s="138" t="s">
        <v>205</v>
      </c>
      <c r="E692" s="135" t="s">
        <v>206</v>
      </c>
      <c r="F692" s="135" t="s">
        <v>276</v>
      </c>
      <c r="G692" s="135" t="s">
        <v>3506</v>
      </c>
      <c r="H692" s="135">
        <v>118</v>
      </c>
      <c r="I692" s="135" t="s">
        <v>185</v>
      </c>
      <c r="J692" s="135">
        <v>3732</v>
      </c>
      <c r="K692" s="140">
        <v>1409.2</v>
      </c>
      <c r="L692" s="135" t="s">
        <v>3567</v>
      </c>
      <c r="M692" s="135" t="str">
        <f t="shared" si="10"/>
        <v>MINERADORA PORTO FRANCOPRAXIS OBRA JKRACHÃOZINHO</v>
      </c>
      <c r="N692" s="135" t="s">
        <v>15</v>
      </c>
    </row>
    <row r="693" spans="2:14" x14ac:dyDescent="0.25">
      <c r="B693" s="136">
        <v>46170</v>
      </c>
      <c r="C693" s="139">
        <v>1</v>
      </c>
      <c r="D693" s="139" t="s">
        <v>183</v>
      </c>
      <c r="E693" s="137" t="s">
        <v>184</v>
      </c>
      <c r="F693" s="137" t="s">
        <v>166</v>
      </c>
      <c r="G693" s="137" t="s">
        <v>111</v>
      </c>
      <c r="H693" s="137">
        <v>79</v>
      </c>
      <c r="I693" s="137" t="s">
        <v>169</v>
      </c>
      <c r="J693" s="137">
        <v>2642</v>
      </c>
      <c r="K693" s="141">
        <v>772.26</v>
      </c>
      <c r="L693" s="137" t="s">
        <v>3568</v>
      </c>
      <c r="M693" s="135" t="str">
        <f t="shared" si="10"/>
        <v>GRANORTEBEIRA RIOPULMÃOZINHO</v>
      </c>
      <c r="N693" s="137" t="s">
        <v>111</v>
      </c>
    </row>
    <row r="694" spans="2:14" x14ac:dyDescent="0.25">
      <c r="B694" s="134">
        <v>46170</v>
      </c>
      <c r="C694" s="138">
        <v>1</v>
      </c>
      <c r="D694" s="138" t="s">
        <v>183</v>
      </c>
      <c r="E694" s="135" t="s">
        <v>184</v>
      </c>
      <c r="F694" s="135" t="s">
        <v>166</v>
      </c>
      <c r="G694" s="135" t="s">
        <v>111</v>
      </c>
      <c r="H694" s="135">
        <v>79</v>
      </c>
      <c r="I694" s="135" t="s">
        <v>169</v>
      </c>
      <c r="J694" s="135">
        <v>2724</v>
      </c>
      <c r="K694" s="140">
        <v>796.23</v>
      </c>
      <c r="L694" s="135" t="s">
        <v>3569</v>
      </c>
      <c r="M694" s="135" t="str">
        <f t="shared" si="10"/>
        <v>GRANORTEBEIRA RIOPULMÃOZINHO</v>
      </c>
      <c r="N694" s="135" t="s">
        <v>111</v>
      </c>
    </row>
    <row r="695" spans="2:14" x14ac:dyDescent="0.25">
      <c r="B695" s="136">
        <v>46170</v>
      </c>
      <c r="C695" s="139">
        <v>1</v>
      </c>
      <c r="D695" s="139" t="s">
        <v>202</v>
      </c>
      <c r="E695" s="137" t="s">
        <v>214</v>
      </c>
      <c r="F695" s="137" t="s">
        <v>190</v>
      </c>
      <c r="G695" s="137" t="s">
        <v>191</v>
      </c>
      <c r="H695" s="137">
        <v>217</v>
      </c>
      <c r="I695" s="137" t="s">
        <v>165</v>
      </c>
      <c r="J695" s="137">
        <v>624</v>
      </c>
      <c r="K695" s="141">
        <v>5010.1000000000004</v>
      </c>
      <c r="L695" s="137" t="s">
        <v>3570</v>
      </c>
      <c r="M695" s="135" t="str">
        <f t="shared" si="10"/>
        <v>SERVENGOLINDA NOVA - MAPÓ DE BRITA</v>
      </c>
      <c r="N695" s="137" t="s">
        <v>3730</v>
      </c>
    </row>
    <row r="696" spans="2:14" x14ac:dyDescent="0.25">
      <c r="B696" s="134">
        <v>46170</v>
      </c>
      <c r="C696" s="138">
        <v>1</v>
      </c>
      <c r="D696" s="138" t="s">
        <v>275</v>
      </c>
      <c r="E696" s="135" t="s">
        <v>178</v>
      </c>
      <c r="F696" s="135" t="s">
        <v>163</v>
      </c>
      <c r="G696" s="135" t="s">
        <v>164</v>
      </c>
      <c r="H696" s="135">
        <v>52</v>
      </c>
      <c r="I696" s="135" t="s">
        <v>165</v>
      </c>
      <c r="J696" s="135">
        <v>453</v>
      </c>
      <c r="K696" s="140">
        <v>871.57</v>
      </c>
      <c r="L696" s="135" t="s">
        <v>3571</v>
      </c>
      <c r="M696" s="135" t="str">
        <f t="shared" si="10"/>
        <v>BRASIL MINERACAOUA SAO LUISPÓ DE BRITA</v>
      </c>
      <c r="N696" s="135" t="s">
        <v>224</v>
      </c>
    </row>
    <row r="697" spans="2:14" x14ac:dyDescent="0.25">
      <c r="B697" s="136">
        <v>46170</v>
      </c>
      <c r="C697" s="139">
        <v>1</v>
      </c>
      <c r="D697" s="139" t="s">
        <v>1948</v>
      </c>
      <c r="E697" s="137" t="s">
        <v>1949</v>
      </c>
      <c r="F697" s="137" t="s">
        <v>2868</v>
      </c>
      <c r="G697" s="137" t="s">
        <v>2871</v>
      </c>
      <c r="H697" s="137">
        <v>70</v>
      </c>
      <c r="I697" s="137" t="s">
        <v>2869</v>
      </c>
      <c r="J697" s="137">
        <v>517</v>
      </c>
      <c r="K697" s="141">
        <v>1339.03</v>
      </c>
      <c r="L697" s="137" t="s">
        <v>3572</v>
      </c>
      <c r="M697" s="135" t="str">
        <f t="shared" si="10"/>
        <v>FAZENDA PLATAFORMASILO PRODUCERESSOJA</v>
      </c>
      <c r="N697" s="135" t="s">
        <v>3729</v>
      </c>
    </row>
    <row r="698" spans="2:14" x14ac:dyDescent="0.25">
      <c r="B698" s="134">
        <v>46170</v>
      </c>
      <c r="C698" s="138">
        <v>1</v>
      </c>
      <c r="D698" s="138" t="s">
        <v>192</v>
      </c>
      <c r="E698" s="135" t="s">
        <v>287</v>
      </c>
      <c r="F698" s="135" t="s">
        <v>2868</v>
      </c>
      <c r="G698" s="135" t="s">
        <v>2881</v>
      </c>
      <c r="H698" s="135">
        <v>62</v>
      </c>
      <c r="I698" s="135" t="s">
        <v>2869</v>
      </c>
      <c r="J698" s="135">
        <v>5536</v>
      </c>
      <c r="K698" s="140">
        <v>1269.96</v>
      </c>
      <c r="L698" s="135" t="s">
        <v>3573</v>
      </c>
      <c r="M698" s="135" t="str">
        <f t="shared" si="10"/>
        <v>FAZENDA PLATAFORMASITIO DO GUTO - SEN. ALEXANDRE COSTASOJA</v>
      </c>
      <c r="N698" s="135" t="s">
        <v>3729</v>
      </c>
    </row>
    <row r="699" spans="2:14" x14ac:dyDescent="0.25">
      <c r="B699" s="136">
        <v>46170</v>
      </c>
      <c r="C699" s="139">
        <v>1</v>
      </c>
      <c r="D699" s="139" t="s">
        <v>193</v>
      </c>
      <c r="E699" s="137" t="s">
        <v>285</v>
      </c>
      <c r="F699" s="137" t="s">
        <v>166</v>
      </c>
      <c r="G699" s="137" t="s">
        <v>111</v>
      </c>
      <c r="H699" s="137">
        <v>79</v>
      </c>
      <c r="I699" s="137" t="s">
        <v>172</v>
      </c>
      <c r="J699" s="137">
        <v>2762</v>
      </c>
      <c r="K699" s="141">
        <v>807.33</v>
      </c>
      <c r="L699" s="137" t="s">
        <v>3574</v>
      </c>
      <c r="M699" s="135" t="str">
        <f t="shared" si="10"/>
        <v>GRANORTEBEIRA RIOBICA CORRIDA</v>
      </c>
      <c r="N699" s="137" t="s">
        <v>111</v>
      </c>
    </row>
    <row r="700" spans="2:14" x14ac:dyDescent="0.25">
      <c r="B700" s="134">
        <v>46170</v>
      </c>
      <c r="C700" s="138">
        <v>1</v>
      </c>
      <c r="D700" s="138" t="s">
        <v>179</v>
      </c>
      <c r="E700" s="135" t="s">
        <v>2863</v>
      </c>
      <c r="F700" s="135" t="s">
        <v>166</v>
      </c>
      <c r="G700" s="135" t="s">
        <v>111</v>
      </c>
      <c r="H700" s="135">
        <v>79</v>
      </c>
      <c r="I700" s="135" t="s">
        <v>172</v>
      </c>
      <c r="J700" s="135">
        <v>2788</v>
      </c>
      <c r="K700" s="140">
        <v>814.93</v>
      </c>
      <c r="L700" s="135" t="s">
        <v>3575</v>
      </c>
      <c r="M700" s="135" t="str">
        <f t="shared" si="10"/>
        <v>GRANORTEBEIRA RIOBICA CORRIDA</v>
      </c>
      <c r="N700" s="135" t="s">
        <v>111</v>
      </c>
    </row>
    <row r="701" spans="2:14" x14ac:dyDescent="0.25">
      <c r="B701" s="136">
        <v>46171</v>
      </c>
      <c r="C701" s="139">
        <v>1</v>
      </c>
      <c r="D701" s="139" t="s">
        <v>2866</v>
      </c>
      <c r="E701" s="137" t="s">
        <v>281</v>
      </c>
      <c r="F701" s="137" t="s">
        <v>166</v>
      </c>
      <c r="G701" s="137" t="s">
        <v>164</v>
      </c>
      <c r="H701" s="137">
        <v>58</v>
      </c>
      <c r="I701" s="137" t="s">
        <v>165</v>
      </c>
      <c r="J701" s="137">
        <v>272</v>
      </c>
      <c r="K701" s="141">
        <v>583.71</v>
      </c>
      <c r="L701" s="137" t="s">
        <v>3576</v>
      </c>
      <c r="M701" s="135" t="str">
        <f t="shared" si="10"/>
        <v>GRANORTEUA SAO LUISPÓ DE BRITA</v>
      </c>
      <c r="N701" s="135" t="s">
        <v>224</v>
      </c>
    </row>
    <row r="702" spans="2:14" x14ac:dyDescent="0.25">
      <c r="B702" s="134">
        <v>46171</v>
      </c>
      <c r="C702" s="138">
        <v>1</v>
      </c>
      <c r="D702" s="138" t="s">
        <v>208</v>
      </c>
      <c r="E702" s="135" t="s">
        <v>209</v>
      </c>
      <c r="F702" s="135" t="s">
        <v>190</v>
      </c>
      <c r="G702" s="135" t="s">
        <v>191</v>
      </c>
      <c r="H702" s="135">
        <v>217</v>
      </c>
      <c r="I702" s="135" t="s">
        <v>165</v>
      </c>
      <c r="J702" s="135">
        <v>510</v>
      </c>
      <c r="K702" s="140">
        <v>4094.79</v>
      </c>
      <c r="L702" s="135" t="s">
        <v>3577</v>
      </c>
      <c r="M702" s="135" t="str">
        <f t="shared" si="10"/>
        <v>SERVENGOLINDA NOVA - MAPÓ DE BRITA</v>
      </c>
      <c r="N702" s="137" t="s">
        <v>3730</v>
      </c>
    </row>
    <row r="703" spans="2:14" x14ac:dyDescent="0.25">
      <c r="B703" s="136">
        <v>46171</v>
      </c>
      <c r="C703" s="139">
        <v>1</v>
      </c>
      <c r="D703" s="139" t="s">
        <v>342</v>
      </c>
      <c r="E703" s="137" t="s">
        <v>171</v>
      </c>
      <c r="F703" s="137" t="s">
        <v>163</v>
      </c>
      <c r="G703" s="137" t="s">
        <v>164</v>
      </c>
      <c r="H703" s="137">
        <v>52</v>
      </c>
      <c r="I703" s="137" t="s">
        <v>185</v>
      </c>
      <c r="J703" s="137">
        <v>4584</v>
      </c>
      <c r="K703" s="141">
        <v>881.96</v>
      </c>
      <c r="L703" s="137" t="s">
        <v>3578</v>
      </c>
      <c r="M703" s="135" t="str">
        <f t="shared" si="10"/>
        <v>BRASIL MINERACAOUA SAO LUISRACHÃOZINHO</v>
      </c>
      <c r="N703" s="135" t="s">
        <v>224</v>
      </c>
    </row>
    <row r="704" spans="2:14" x14ac:dyDescent="0.25">
      <c r="B704" s="134">
        <v>46171</v>
      </c>
      <c r="C704" s="138">
        <v>1</v>
      </c>
      <c r="D704" s="138" t="s">
        <v>199</v>
      </c>
      <c r="E704" s="135" t="s">
        <v>180</v>
      </c>
      <c r="F704" s="135" t="s">
        <v>163</v>
      </c>
      <c r="G704" s="135" t="s">
        <v>111</v>
      </c>
      <c r="H704" s="135">
        <v>75</v>
      </c>
      <c r="I704" s="135" t="s">
        <v>185</v>
      </c>
      <c r="J704" s="135">
        <v>2796</v>
      </c>
      <c r="K704" s="140">
        <v>775.89</v>
      </c>
      <c r="L704" s="135" t="s">
        <v>3579</v>
      </c>
      <c r="M704" s="135" t="str">
        <f t="shared" si="10"/>
        <v>BRASIL MINERACAOBEIRA RIORACHÃOZINHO</v>
      </c>
      <c r="N704" s="135" t="s">
        <v>111</v>
      </c>
    </row>
    <row r="705" spans="2:14" x14ac:dyDescent="0.25">
      <c r="B705" s="136">
        <v>46171</v>
      </c>
      <c r="C705" s="139">
        <v>1</v>
      </c>
      <c r="D705" s="139" t="s">
        <v>188</v>
      </c>
      <c r="E705" s="137" t="s">
        <v>189</v>
      </c>
      <c r="F705" s="137" t="s">
        <v>276</v>
      </c>
      <c r="G705" s="137" t="s">
        <v>2865</v>
      </c>
      <c r="H705" s="137">
        <v>37</v>
      </c>
      <c r="I705" s="137" t="s">
        <v>175</v>
      </c>
      <c r="J705" s="137">
        <v>7958</v>
      </c>
      <c r="K705" s="141">
        <v>1089.45</v>
      </c>
      <c r="L705" s="137" t="s">
        <v>3580</v>
      </c>
      <c r="M705" s="135" t="str">
        <f t="shared" si="10"/>
        <v>MINERADORA PORTO FRANCOUSINA DA ETHOSBRITA 0</v>
      </c>
      <c r="N705" s="135" t="s">
        <v>15</v>
      </c>
    </row>
    <row r="706" spans="2:14" x14ac:dyDescent="0.25">
      <c r="B706" s="134">
        <v>46171</v>
      </c>
      <c r="C706" s="138">
        <v>1</v>
      </c>
      <c r="D706" s="138" t="s">
        <v>167</v>
      </c>
      <c r="E706" s="135" t="s">
        <v>168</v>
      </c>
      <c r="F706" s="135" t="s">
        <v>163</v>
      </c>
      <c r="G706" s="135" t="s">
        <v>164</v>
      </c>
      <c r="H706" s="135">
        <v>52</v>
      </c>
      <c r="I706" s="135" t="s">
        <v>175</v>
      </c>
      <c r="J706" s="135">
        <v>2684</v>
      </c>
      <c r="K706" s="140">
        <v>516.4</v>
      </c>
      <c r="L706" s="135" t="s">
        <v>3581</v>
      </c>
      <c r="M706" s="135" t="str">
        <f t="shared" si="10"/>
        <v>BRASIL MINERACAOUA SAO LUISBRITA 0</v>
      </c>
      <c r="N706" s="135" t="s">
        <v>224</v>
      </c>
    </row>
    <row r="707" spans="2:14" x14ac:dyDescent="0.25">
      <c r="B707" s="136">
        <v>46171</v>
      </c>
      <c r="C707" s="139">
        <v>1</v>
      </c>
      <c r="D707" s="139" t="s">
        <v>167</v>
      </c>
      <c r="E707" s="137" t="s">
        <v>168</v>
      </c>
      <c r="F707" s="137" t="s">
        <v>163</v>
      </c>
      <c r="G707" s="137" t="s">
        <v>111</v>
      </c>
      <c r="H707" s="137">
        <v>75</v>
      </c>
      <c r="I707" s="137" t="s">
        <v>185</v>
      </c>
      <c r="J707" s="137">
        <v>2594</v>
      </c>
      <c r="K707" s="141">
        <v>719.84</v>
      </c>
      <c r="L707" s="137" t="s">
        <v>3582</v>
      </c>
      <c r="M707" s="135" t="str">
        <f t="shared" si="10"/>
        <v>BRASIL MINERACAOBEIRA RIORACHÃOZINHO</v>
      </c>
      <c r="N707" s="137" t="s">
        <v>111</v>
      </c>
    </row>
    <row r="708" spans="2:14" x14ac:dyDescent="0.25">
      <c r="B708" s="134">
        <v>46171</v>
      </c>
      <c r="C708" s="138">
        <v>1</v>
      </c>
      <c r="D708" s="138" t="s">
        <v>167</v>
      </c>
      <c r="E708" s="135" t="s">
        <v>168</v>
      </c>
      <c r="F708" s="135" t="s">
        <v>163</v>
      </c>
      <c r="G708" s="135" t="s">
        <v>111</v>
      </c>
      <c r="H708" s="135">
        <v>75</v>
      </c>
      <c r="I708" s="135" t="s">
        <v>185</v>
      </c>
      <c r="J708" s="135">
        <v>264</v>
      </c>
      <c r="K708" s="140">
        <v>732.6</v>
      </c>
      <c r="L708" s="135" t="s">
        <v>3583</v>
      </c>
      <c r="M708" s="135" t="str">
        <f t="shared" si="10"/>
        <v>BRASIL MINERACAOBEIRA RIORACHÃOZINHO</v>
      </c>
      <c r="N708" s="135" t="s">
        <v>111</v>
      </c>
    </row>
    <row r="709" spans="2:14" x14ac:dyDescent="0.25">
      <c r="B709" s="136">
        <v>46171</v>
      </c>
      <c r="C709" s="139">
        <v>1</v>
      </c>
      <c r="D709" s="139" t="s">
        <v>342</v>
      </c>
      <c r="E709" s="137" t="s">
        <v>171</v>
      </c>
      <c r="F709" s="137" t="s">
        <v>163</v>
      </c>
      <c r="G709" s="137" t="s">
        <v>164</v>
      </c>
      <c r="H709" s="137">
        <v>52</v>
      </c>
      <c r="I709" s="137" t="s">
        <v>185</v>
      </c>
      <c r="J709" s="137">
        <v>4504</v>
      </c>
      <c r="K709" s="141">
        <v>866.57</v>
      </c>
      <c r="L709" s="137" t="s">
        <v>3584</v>
      </c>
      <c r="M709" s="135" t="str">
        <f t="shared" ref="M709:M772" si="11">CONCATENATE(F709&amp;G709&amp;I709)</f>
        <v>BRASIL MINERACAOUA SAO LUISRACHÃOZINHO</v>
      </c>
      <c r="N709" s="135" t="s">
        <v>224</v>
      </c>
    </row>
    <row r="710" spans="2:14" x14ac:dyDescent="0.25">
      <c r="B710" s="134">
        <v>46171</v>
      </c>
      <c r="C710" s="138">
        <v>1</v>
      </c>
      <c r="D710" s="138" t="s">
        <v>176</v>
      </c>
      <c r="E710" s="135" t="s">
        <v>177</v>
      </c>
      <c r="F710" s="135" t="s">
        <v>2868</v>
      </c>
      <c r="G710" s="135" t="s">
        <v>2871</v>
      </c>
      <c r="H710" s="135">
        <v>70</v>
      </c>
      <c r="I710" s="135" t="s">
        <v>2869</v>
      </c>
      <c r="J710" s="135">
        <v>5204</v>
      </c>
      <c r="K710" s="140">
        <v>1347.84</v>
      </c>
      <c r="L710" s="135" t="s">
        <v>3585</v>
      </c>
      <c r="M710" s="135" t="str">
        <f t="shared" si="11"/>
        <v>FAZENDA PLATAFORMASILO PRODUCERESSOJA</v>
      </c>
      <c r="N710" s="135" t="s">
        <v>3729</v>
      </c>
    </row>
    <row r="711" spans="2:14" x14ac:dyDescent="0.25">
      <c r="B711" s="136">
        <v>46171</v>
      </c>
      <c r="C711" s="139">
        <v>1</v>
      </c>
      <c r="D711" s="139" t="s">
        <v>188</v>
      </c>
      <c r="E711" s="137" t="s">
        <v>189</v>
      </c>
      <c r="F711" s="137" t="s">
        <v>276</v>
      </c>
      <c r="G711" s="137" t="s">
        <v>2865</v>
      </c>
      <c r="H711" s="137">
        <v>37</v>
      </c>
      <c r="I711" s="137" t="s">
        <v>175</v>
      </c>
      <c r="J711" s="137">
        <v>8802</v>
      </c>
      <c r="K711" s="141">
        <v>1204.99</v>
      </c>
      <c r="L711" s="137" t="s">
        <v>3586</v>
      </c>
      <c r="M711" s="135" t="str">
        <f t="shared" si="11"/>
        <v>MINERADORA PORTO FRANCOUSINA DA ETHOSBRITA 0</v>
      </c>
      <c r="N711" s="135" t="s">
        <v>15</v>
      </c>
    </row>
    <row r="712" spans="2:14" x14ac:dyDescent="0.25">
      <c r="B712" s="134">
        <v>46171</v>
      </c>
      <c r="C712" s="138">
        <v>1</v>
      </c>
      <c r="D712" s="138" t="s">
        <v>2866</v>
      </c>
      <c r="E712" s="135" t="s">
        <v>281</v>
      </c>
      <c r="F712" s="135" t="s">
        <v>166</v>
      </c>
      <c r="G712" s="135" t="s">
        <v>164</v>
      </c>
      <c r="H712" s="135">
        <v>58</v>
      </c>
      <c r="I712" s="135" t="s">
        <v>165</v>
      </c>
      <c r="J712" s="135">
        <v>4664</v>
      </c>
      <c r="K712" s="140">
        <v>1000.89</v>
      </c>
      <c r="L712" s="135" t="s">
        <v>3587</v>
      </c>
      <c r="M712" s="135" t="str">
        <f t="shared" si="11"/>
        <v>GRANORTEUA SAO LUISPÓ DE BRITA</v>
      </c>
      <c r="N712" s="135" t="s">
        <v>224</v>
      </c>
    </row>
    <row r="713" spans="2:14" x14ac:dyDescent="0.25">
      <c r="B713" s="136">
        <v>46171</v>
      </c>
      <c r="C713" s="139">
        <v>1</v>
      </c>
      <c r="D713" s="139" t="s">
        <v>199</v>
      </c>
      <c r="E713" s="137" t="s">
        <v>180</v>
      </c>
      <c r="F713" s="137" t="s">
        <v>163</v>
      </c>
      <c r="G713" s="137" t="s">
        <v>111</v>
      </c>
      <c r="H713" s="137">
        <v>75</v>
      </c>
      <c r="I713" s="137" t="s">
        <v>185</v>
      </c>
      <c r="J713" s="137">
        <v>282</v>
      </c>
      <c r="K713" s="141">
        <v>782.55</v>
      </c>
      <c r="L713" s="137" t="s">
        <v>3588</v>
      </c>
      <c r="M713" s="135" t="str">
        <f t="shared" si="11"/>
        <v>BRASIL MINERACAOBEIRA RIORACHÃOZINHO</v>
      </c>
      <c r="N713" s="137" t="s">
        <v>111</v>
      </c>
    </row>
    <row r="714" spans="2:14" x14ac:dyDescent="0.25">
      <c r="B714" s="134">
        <v>46171</v>
      </c>
      <c r="C714" s="138">
        <v>1</v>
      </c>
      <c r="D714" s="138" t="s">
        <v>202</v>
      </c>
      <c r="E714" s="135" t="s">
        <v>214</v>
      </c>
      <c r="F714" s="135" t="s">
        <v>190</v>
      </c>
      <c r="G714" s="135" t="s">
        <v>191</v>
      </c>
      <c r="H714" s="135">
        <v>217</v>
      </c>
      <c r="I714" s="135" t="s">
        <v>165</v>
      </c>
      <c r="J714" s="135">
        <v>6534</v>
      </c>
      <c r="K714" s="140">
        <v>5246.15</v>
      </c>
      <c r="L714" s="135" t="s">
        <v>3589</v>
      </c>
      <c r="M714" s="135" t="str">
        <f t="shared" si="11"/>
        <v>SERVENGOLINDA NOVA - MAPÓ DE BRITA</v>
      </c>
      <c r="N714" s="137" t="s">
        <v>3730</v>
      </c>
    </row>
    <row r="715" spans="2:14" x14ac:dyDescent="0.25">
      <c r="B715" s="136">
        <v>46171</v>
      </c>
      <c r="C715" s="139">
        <v>1</v>
      </c>
      <c r="D715" s="139" t="s">
        <v>283</v>
      </c>
      <c r="E715" s="137" t="s">
        <v>282</v>
      </c>
      <c r="F715" s="137" t="s">
        <v>166</v>
      </c>
      <c r="G715" s="137" t="s">
        <v>1178</v>
      </c>
      <c r="H715" s="137">
        <v>51</v>
      </c>
      <c r="I715" s="137" t="s">
        <v>172</v>
      </c>
      <c r="J715" s="137">
        <v>2668</v>
      </c>
      <c r="K715" s="141">
        <v>503.45</v>
      </c>
      <c r="L715" s="137" t="s">
        <v>3590</v>
      </c>
      <c r="M715" s="135" t="str">
        <f t="shared" si="11"/>
        <v>GRANORTEVETORBICA CORRIDA</v>
      </c>
      <c r="N715" s="137" t="s">
        <v>1178</v>
      </c>
    </row>
    <row r="716" spans="2:14" x14ac:dyDescent="0.25">
      <c r="B716" s="134">
        <v>46171</v>
      </c>
      <c r="C716" s="138">
        <v>1</v>
      </c>
      <c r="D716" s="138" t="s">
        <v>283</v>
      </c>
      <c r="E716" s="135" t="s">
        <v>282</v>
      </c>
      <c r="F716" s="135" t="s">
        <v>166</v>
      </c>
      <c r="G716" s="135" t="s">
        <v>1178</v>
      </c>
      <c r="H716" s="135">
        <v>51</v>
      </c>
      <c r="I716" s="135" t="s">
        <v>185</v>
      </c>
      <c r="J716" s="135">
        <v>2734</v>
      </c>
      <c r="K716" s="140">
        <v>515.91</v>
      </c>
      <c r="L716" s="135" t="s">
        <v>3591</v>
      </c>
      <c r="M716" s="135" t="str">
        <f t="shared" si="11"/>
        <v>GRANORTEVETORRACHÃOZINHO</v>
      </c>
      <c r="N716" s="135" t="s">
        <v>1178</v>
      </c>
    </row>
    <row r="717" spans="2:14" x14ac:dyDescent="0.25">
      <c r="B717" s="136">
        <v>46171</v>
      </c>
      <c r="C717" s="139">
        <v>1</v>
      </c>
      <c r="D717" s="139" t="s">
        <v>219</v>
      </c>
      <c r="E717" s="137" t="s">
        <v>220</v>
      </c>
      <c r="F717" s="137" t="s">
        <v>163</v>
      </c>
      <c r="G717" s="137" t="s">
        <v>164</v>
      </c>
      <c r="H717" s="137">
        <v>52</v>
      </c>
      <c r="I717" s="137" t="s">
        <v>175</v>
      </c>
      <c r="J717" s="137">
        <v>588</v>
      </c>
      <c r="K717" s="141">
        <v>1131.31</v>
      </c>
      <c r="L717" s="137" t="s">
        <v>3592</v>
      </c>
      <c r="M717" s="135" t="str">
        <f t="shared" si="11"/>
        <v>BRASIL MINERACAOUA SAO LUISBRITA 0</v>
      </c>
      <c r="N717" s="135" t="s">
        <v>224</v>
      </c>
    </row>
    <row r="718" spans="2:14" x14ac:dyDescent="0.25">
      <c r="B718" s="134">
        <v>46171</v>
      </c>
      <c r="C718" s="138">
        <v>1</v>
      </c>
      <c r="D718" s="138" t="s">
        <v>219</v>
      </c>
      <c r="E718" s="135" t="s">
        <v>220</v>
      </c>
      <c r="F718" s="135" t="s">
        <v>163</v>
      </c>
      <c r="G718" s="135" t="s">
        <v>164</v>
      </c>
      <c r="H718" s="135">
        <v>52</v>
      </c>
      <c r="I718" s="135" t="s">
        <v>175</v>
      </c>
      <c r="J718" s="135">
        <v>431</v>
      </c>
      <c r="K718" s="140">
        <v>829.24</v>
      </c>
      <c r="L718" s="135" t="s">
        <v>3593</v>
      </c>
      <c r="M718" s="135" t="str">
        <f t="shared" si="11"/>
        <v>BRASIL MINERACAOUA SAO LUISBRITA 0</v>
      </c>
      <c r="N718" s="135" t="s">
        <v>224</v>
      </c>
    </row>
    <row r="719" spans="2:14" x14ac:dyDescent="0.25">
      <c r="B719" s="136">
        <v>46171</v>
      </c>
      <c r="C719" s="139">
        <v>1</v>
      </c>
      <c r="D719" s="139" t="s">
        <v>219</v>
      </c>
      <c r="E719" s="137" t="s">
        <v>220</v>
      </c>
      <c r="F719" s="137" t="s">
        <v>163</v>
      </c>
      <c r="G719" s="137" t="s">
        <v>164</v>
      </c>
      <c r="H719" s="137">
        <v>52</v>
      </c>
      <c r="I719" s="137" t="s">
        <v>175</v>
      </c>
      <c r="J719" s="137">
        <v>430</v>
      </c>
      <c r="K719" s="141">
        <v>827.32</v>
      </c>
      <c r="L719" s="137" t="s">
        <v>3594</v>
      </c>
      <c r="M719" s="135" t="str">
        <f t="shared" si="11"/>
        <v>BRASIL MINERACAOUA SAO LUISBRITA 0</v>
      </c>
      <c r="N719" s="135" t="s">
        <v>224</v>
      </c>
    </row>
    <row r="720" spans="2:14" x14ac:dyDescent="0.25">
      <c r="B720" s="134">
        <v>46171</v>
      </c>
      <c r="C720" s="138">
        <v>1</v>
      </c>
      <c r="D720" s="138" t="s">
        <v>205</v>
      </c>
      <c r="E720" s="135" t="s">
        <v>206</v>
      </c>
      <c r="F720" s="135" t="s">
        <v>276</v>
      </c>
      <c r="G720" s="135" t="s">
        <v>3506</v>
      </c>
      <c r="H720" s="135">
        <v>118</v>
      </c>
      <c r="I720" s="135" t="s">
        <v>185</v>
      </c>
      <c r="J720" s="135">
        <v>3668</v>
      </c>
      <c r="K720" s="140">
        <v>1385.04</v>
      </c>
      <c r="L720" s="135" t="s">
        <v>3595</v>
      </c>
      <c r="M720" s="135" t="str">
        <f t="shared" si="11"/>
        <v>MINERADORA PORTO FRANCOPRAXIS OBRA JKRACHÃOZINHO</v>
      </c>
      <c r="N720" s="135" t="s">
        <v>15</v>
      </c>
    </row>
    <row r="721" spans="2:14" x14ac:dyDescent="0.25">
      <c r="B721" s="136">
        <v>46171</v>
      </c>
      <c r="C721" s="139">
        <v>1</v>
      </c>
      <c r="D721" s="139" t="s">
        <v>183</v>
      </c>
      <c r="E721" s="137" t="s">
        <v>184</v>
      </c>
      <c r="F721" s="137" t="s">
        <v>166</v>
      </c>
      <c r="G721" s="137" t="s">
        <v>164</v>
      </c>
      <c r="H721" s="137">
        <v>58</v>
      </c>
      <c r="I721" s="137" t="s">
        <v>175</v>
      </c>
      <c r="J721" s="137">
        <v>2788</v>
      </c>
      <c r="K721" s="141">
        <v>598.29999999999995</v>
      </c>
      <c r="L721" s="137" t="s">
        <v>3596</v>
      </c>
      <c r="M721" s="135" t="str">
        <f t="shared" si="11"/>
        <v>GRANORTEUA SAO LUISBRITA 0</v>
      </c>
      <c r="N721" s="135" t="s">
        <v>224</v>
      </c>
    </row>
    <row r="722" spans="2:14" x14ac:dyDescent="0.25">
      <c r="B722" s="134">
        <v>46171</v>
      </c>
      <c r="C722" s="138">
        <v>1</v>
      </c>
      <c r="D722" s="138" t="s">
        <v>183</v>
      </c>
      <c r="E722" s="135" t="s">
        <v>184</v>
      </c>
      <c r="F722" s="135" t="s">
        <v>166</v>
      </c>
      <c r="G722" s="135" t="s">
        <v>111</v>
      </c>
      <c r="H722" s="135">
        <v>79</v>
      </c>
      <c r="I722" s="135" t="s">
        <v>169</v>
      </c>
      <c r="J722" s="135">
        <v>2724</v>
      </c>
      <c r="K722" s="140">
        <v>796.23</v>
      </c>
      <c r="L722" s="135" t="s">
        <v>3597</v>
      </c>
      <c r="M722" s="135" t="str">
        <f t="shared" si="11"/>
        <v>GRANORTEBEIRA RIOPULMÃOZINHO</v>
      </c>
      <c r="N722" s="135" t="s">
        <v>111</v>
      </c>
    </row>
    <row r="723" spans="2:14" x14ac:dyDescent="0.25">
      <c r="B723" s="136">
        <v>46171</v>
      </c>
      <c r="C723" s="139">
        <v>1</v>
      </c>
      <c r="D723" s="139" t="s">
        <v>270</v>
      </c>
      <c r="E723" s="137" t="s">
        <v>288</v>
      </c>
      <c r="F723" s="137" t="s">
        <v>190</v>
      </c>
      <c r="G723" s="137" t="s">
        <v>191</v>
      </c>
      <c r="H723" s="137">
        <v>217</v>
      </c>
      <c r="I723" s="137" t="s">
        <v>165</v>
      </c>
      <c r="J723" s="137">
        <v>5044</v>
      </c>
      <c r="K723" s="141">
        <v>3502.55</v>
      </c>
      <c r="L723" s="137" t="s">
        <v>3598</v>
      </c>
      <c r="M723" s="135" t="str">
        <f t="shared" si="11"/>
        <v>SERVENGOLINDA NOVA - MAPÓ DE BRITA</v>
      </c>
      <c r="N723" s="137" t="s">
        <v>3730</v>
      </c>
    </row>
    <row r="724" spans="2:14" x14ac:dyDescent="0.25">
      <c r="B724" s="134">
        <v>46171</v>
      </c>
      <c r="C724" s="138">
        <v>1</v>
      </c>
      <c r="D724" s="138" t="s">
        <v>193</v>
      </c>
      <c r="E724" s="135" t="s">
        <v>285</v>
      </c>
      <c r="F724" s="135" t="s">
        <v>163</v>
      </c>
      <c r="G724" s="135" t="s">
        <v>111</v>
      </c>
      <c r="H724" s="135">
        <v>75</v>
      </c>
      <c r="I724" s="135" t="s">
        <v>185</v>
      </c>
      <c r="J724" s="135">
        <v>2726</v>
      </c>
      <c r="K724" s="140">
        <v>756.47</v>
      </c>
      <c r="L724" s="135" t="s">
        <v>3599</v>
      </c>
      <c r="M724" s="135" t="str">
        <f t="shared" si="11"/>
        <v>BRASIL MINERACAOBEIRA RIORACHÃOZINHO</v>
      </c>
      <c r="N724" s="135" t="s">
        <v>111</v>
      </c>
    </row>
    <row r="725" spans="2:14" x14ac:dyDescent="0.25">
      <c r="B725" s="136">
        <v>46171</v>
      </c>
      <c r="C725" s="139">
        <v>1</v>
      </c>
      <c r="D725" s="139" t="s">
        <v>173</v>
      </c>
      <c r="E725" s="137" t="s">
        <v>174</v>
      </c>
      <c r="F725" s="137" t="s">
        <v>163</v>
      </c>
      <c r="G725" s="137" t="s">
        <v>164</v>
      </c>
      <c r="H725" s="137">
        <v>52</v>
      </c>
      <c r="I725" s="137" t="s">
        <v>175</v>
      </c>
      <c r="J725" s="137">
        <v>2506</v>
      </c>
      <c r="K725" s="141">
        <v>482.15</v>
      </c>
      <c r="L725" s="137" t="s">
        <v>3600</v>
      </c>
      <c r="M725" s="135" t="str">
        <f t="shared" si="11"/>
        <v>BRASIL MINERACAOUA SAO LUISBRITA 0</v>
      </c>
      <c r="N725" s="135" t="s">
        <v>224</v>
      </c>
    </row>
    <row r="726" spans="2:14" x14ac:dyDescent="0.25">
      <c r="B726" s="134">
        <v>46171</v>
      </c>
      <c r="C726" s="138">
        <v>1</v>
      </c>
      <c r="D726" s="138" t="s">
        <v>275</v>
      </c>
      <c r="E726" s="135" t="s">
        <v>178</v>
      </c>
      <c r="F726" s="135" t="s">
        <v>163</v>
      </c>
      <c r="G726" s="135" t="s">
        <v>164</v>
      </c>
      <c r="H726" s="135">
        <v>52</v>
      </c>
      <c r="I726" s="135" t="s">
        <v>165</v>
      </c>
      <c r="J726" s="135">
        <v>4544</v>
      </c>
      <c r="K726" s="140">
        <v>874.27</v>
      </c>
      <c r="L726" s="135" t="s">
        <v>3601</v>
      </c>
      <c r="M726" s="135" t="str">
        <f t="shared" si="11"/>
        <v>BRASIL MINERACAOUA SAO LUISPÓ DE BRITA</v>
      </c>
      <c r="N726" s="135" t="s">
        <v>224</v>
      </c>
    </row>
    <row r="727" spans="2:14" x14ac:dyDescent="0.25">
      <c r="B727" s="136">
        <v>46171</v>
      </c>
      <c r="C727" s="139">
        <v>1</v>
      </c>
      <c r="D727" s="139" t="s">
        <v>275</v>
      </c>
      <c r="E727" s="137" t="s">
        <v>178</v>
      </c>
      <c r="F727" s="137" t="s">
        <v>163</v>
      </c>
      <c r="G727" s="137" t="s">
        <v>164</v>
      </c>
      <c r="H727" s="137">
        <v>52</v>
      </c>
      <c r="I727" s="137" t="s">
        <v>175</v>
      </c>
      <c r="J727" s="137">
        <v>4958</v>
      </c>
      <c r="K727" s="141">
        <v>953.92</v>
      </c>
      <c r="L727" s="137" t="s">
        <v>3602</v>
      </c>
      <c r="M727" s="135" t="str">
        <f t="shared" si="11"/>
        <v>BRASIL MINERACAOUA SAO LUISBRITA 0</v>
      </c>
      <c r="N727" s="135" t="s">
        <v>224</v>
      </c>
    </row>
    <row r="728" spans="2:14" x14ac:dyDescent="0.25">
      <c r="B728" s="134">
        <v>46171</v>
      </c>
      <c r="C728" s="138">
        <v>1</v>
      </c>
      <c r="D728" s="138" t="s">
        <v>196</v>
      </c>
      <c r="E728" s="135" t="s">
        <v>197</v>
      </c>
      <c r="F728" s="135" t="s">
        <v>276</v>
      </c>
      <c r="G728" s="135" t="s">
        <v>2865</v>
      </c>
      <c r="H728" s="135">
        <v>37</v>
      </c>
      <c r="I728" s="135" t="s">
        <v>175</v>
      </c>
      <c r="J728" s="135">
        <v>9186</v>
      </c>
      <c r="K728" s="140">
        <v>1257.56</v>
      </c>
      <c r="L728" s="135" t="s">
        <v>3603</v>
      </c>
      <c r="M728" s="135" t="str">
        <f t="shared" si="11"/>
        <v>MINERADORA PORTO FRANCOUSINA DA ETHOSBRITA 0</v>
      </c>
      <c r="N728" s="135" t="s">
        <v>15</v>
      </c>
    </row>
    <row r="729" spans="2:14" x14ac:dyDescent="0.25">
      <c r="B729" s="136">
        <v>46171</v>
      </c>
      <c r="C729" s="139">
        <v>1</v>
      </c>
      <c r="D729" s="139" t="s">
        <v>286</v>
      </c>
      <c r="E729" s="137" t="s">
        <v>506</v>
      </c>
      <c r="F729" s="137" t="s">
        <v>163</v>
      </c>
      <c r="G729" s="137" t="s">
        <v>164</v>
      </c>
      <c r="H729" s="137">
        <v>52</v>
      </c>
      <c r="I729" s="137" t="s">
        <v>175</v>
      </c>
      <c r="J729" s="137">
        <v>4574</v>
      </c>
      <c r="K729" s="141">
        <v>880.04</v>
      </c>
      <c r="L729" s="137" t="s">
        <v>3604</v>
      </c>
      <c r="M729" s="135" t="str">
        <f t="shared" si="11"/>
        <v>BRASIL MINERACAOUA SAO LUISBRITA 0</v>
      </c>
      <c r="N729" s="135" t="s">
        <v>224</v>
      </c>
    </row>
    <row r="730" spans="2:14" x14ac:dyDescent="0.25">
      <c r="B730" s="134">
        <v>46171</v>
      </c>
      <c r="C730" s="138">
        <v>1</v>
      </c>
      <c r="D730" s="138" t="s">
        <v>286</v>
      </c>
      <c r="E730" s="135" t="s">
        <v>506</v>
      </c>
      <c r="F730" s="135" t="s">
        <v>163</v>
      </c>
      <c r="G730" s="135" t="s">
        <v>164</v>
      </c>
      <c r="H730" s="135">
        <v>52</v>
      </c>
      <c r="I730" s="135" t="s">
        <v>175</v>
      </c>
      <c r="J730" s="135">
        <v>4456</v>
      </c>
      <c r="K730" s="140">
        <v>857.33</v>
      </c>
      <c r="L730" s="135" t="s">
        <v>3605</v>
      </c>
      <c r="M730" s="135" t="str">
        <f t="shared" si="11"/>
        <v>BRASIL MINERACAOUA SAO LUISBRITA 0</v>
      </c>
      <c r="N730" s="135" t="s">
        <v>224</v>
      </c>
    </row>
    <row r="731" spans="2:14" x14ac:dyDescent="0.25">
      <c r="B731" s="136">
        <v>46171</v>
      </c>
      <c r="C731" s="139">
        <v>1</v>
      </c>
      <c r="D731" s="139" t="s">
        <v>179</v>
      </c>
      <c r="E731" s="137" t="s">
        <v>2863</v>
      </c>
      <c r="F731" s="137" t="s">
        <v>166</v>
      </c>
      <c r="G731" s="137" t="s">
        <v>111</v>
      </c>
      <c r="H731" s="137">
        <v>79</v>
      </c>
      <c r="I731" s="137" t="s">
        <v>172</v>
      </c>
      <c r="J731" s="137">
        <v>2876</v>
      </c>
      <c r="K731" s="141">
        <v>840.65</v>
      </c>
      <c r="L731" s="137" t="s">
        <v>3606</v>
      </c>
      <c r="M731" s="135" t="str">
        <f t="shared" si="11"/>
        <v>GRANORTEBEIRA RIOBICA CORRIDA</v>
      </c>
      <c r="N731" s="137" t="s">
        <v>111</v>
      </c>
    </row>
    <row r="732" spans="2:14" x14ac:dyDescent="0.25">
      <c r="B732" s="134">
        <v>46171</v>
      </c>
      <c r="C732" s="138">
        <v>1</v>
      </c>
      <c r="D732" s="138" t="s">
        <v>179</v>
      </c>
      <c r="E732" s="135" t="s">
        <v>2863</v>
      </c>
      <c r="F732" s="135" t="s">
        <v>166</v>
      </c>
      <c r="G732" s="135" t="s">
        <v>111</v>
      </c>
      <c r="H732" s="135">
        <v>79</v>
      </c>
      <c r="I732" s="135" t="s">
        <v>169</v>
      </c>
      <c r="J732" s="135">
        <v>2606</v>
      </c>
      <c r="K732" s="140">
        <v>761.73</v>
      </c>
      <c r="L732" s="135" t="s">
        <v>3607</v>
      </c>
      <c r="M732" s="135" t="str">
        <f t="shared" si="11"/>
        <v>GRANORTEBEIRA RIOPULMÃOZINHO</v>
      </c>
      <c r="N732" s="135" t="s">
        <v>111</v>
      </c>
    </row>
    <row r="733" spans="2:14" x14ac:dyDescent="0.25">
      <c r="B733" s="136">
        <v>46171</v>
      </c>
      <c r="C733" s="139">
        <v>1</v>
      </c>
      <c r="D733" s="139" t="s">
        <v>1948</v>
      </c>
      <c r="E733" s="137" t="s">
        <v>1949</v>
      </c>
      <c r="F733" s="137" t="s">
        <v>2868</v>
      </c>
      <c r="G733" s="137" t="s">
        <v>2871</v>
      </c>
      <c r="H733" s="137">
        <v>70</v>
      </c>
      <c r="I733" s="137" t="s">
        <v>2869</v>
      </c>
      <c r="J733" s="137">
        <v>517</v>
      </c>
      <c r="K733" s="141">
        <v>1339.03</v>
      </c>
      <c r="L733" s="137" t="s">
        <v>3608</v>
      </c>
      <c r="M733" s="135" t="str">
        <f t="shared" si="11"/>
        <v>FAZENDA PLATAFORMASILO PRODUCERESSOJA</v>
      </c>
      <c r="N733" s="135" t="s">
        <v>3729</v>
      </c>
    </row>
    <row r="734" spans="2:14" x14ac:dyDescent="0.25">
      <c r="B734" s="134">
        <v>46171</v>
      </c>
      <c r="C734" s="138">
        <v>1</v>
      </c>
      <c r="D734" s="138" t="s">
        <v>200</v>
      </c>
      <c r="E734" s="135" t="s">
        <v>201</v>
      </c>
      <c r="F734" s="135" t="s">
        <v>2868</v>
      </c>
      <c r="G734" s="135" t="s">
        <v>2871</v>
      </c>
      <c r="H734" s="135">
        <v>70</v>
      </c>
      <c r="I734" s="135" t="s">
        <v>2869</v>
      </c>
      <c r="J734" s="135">
        <v>49123</v>
      </c>
      <c r="K734" s="140">
        <v>1272.29</v>
      </c>
      <c r="L734" s="135" t="s">
        <v>3609</v>
      </c>
      <c r="M734" s="135" t="str">
        <f t="shared" si="11"/>
        <v>FAZENDA PLATAFORMASILO PRODUCERESSOJA</v>
      </c>
      <c r="N734" s="135" t="s">
        <v>3729</v>
      </c>
    </row>
    <row r="735" spans="2:14" x14ac:dyDescent="0.25">
      <c r="B735" s="136">
        <v>46171</v>
      </c>
      <c r="C735" s="139">
        <v>1</v>
      </c>
      <c r="D735" s="139" t="s">
        <v>186</v>
      </c>
      <c r="E735" s="137" t="s">
        <v>187</v>
      </c>
      <c r="F735" s="137" t="s">
        <v>2757</v>
      </c>
      <c r="G735" s="137" t="s">
        <v>2867</v>
      </c>
      <c r="H735" s="137">
        <v>383</v>
      </c>
      <c r="I735" s="137" t="s">
        <v>172</v>
      </c>
      <c r="J735" s="137">
        <v>500</v>
      </c>
      <c r="K735" s="141">
        <v>6128</v>
      </c>
      <c r="L735" s="137" t="s">
        <v>3610</v>
      </c>
      <c r="M735" s="135" t="str">
        <f t="shared" si="11"/>
        <v>MINERADORA PORTO FRANCO MAVALE KM324BICA CORRIDA</v>
      </c>
      <c r="N735" s="135" t="s">
        <v>15</v>
      </c>
    </row>
    <row r="736" spans="2:14" x14ac:dyDescent="0.25">
      <c r="B736" s="134">
        <v>46172</v>
      </c>
      <c r="C736" s="138">
        <v>1</v>
      </c>
      <c r="D736" s="138" t="s">
        <v>208</v>
      </c>
      <c r="E736" s="135" t="s">
        <v>209</v>
      </c>
      <c r="F736" s="135" t="s">
        <v>190</v>
      </c>
      <c r="G736" s="135" t="s">
        <v>191</v>
      </c>
      <c r="H736" s="135">
        <v>217</v>
      </c>
      <c r="I736" s="135" t="s">
        <v>165</v>
      </c>
      <c r="J736" s="135">
        <v>530</v>
      </c>
      <c r="K736" s="140">
        <v>4255.37</v>
      </c>
      <c r="L736" s="135" t="s">
        <v>3611</v>
      </c>
      <c r="M736" s="135" t="str">
        <f t="shared" si="11"/>
        <v>SERVENGOLINDA NOVA - MAPÓ DE BRITA</v>
      </c>
      <c r="N736" s="137" t="s">
        <v>3730</v>
      </c>
    </row>
    <row r="737" spans="2:14" x14ac:dyDescent="0.25">
      <c r="B737" s="136">
        <v>46172</v>
      </c>
      <c r="C737" s="139">
        <v>1</v>
      </c>
      <c r="D737" s="139" t="s">
        <v>342</v>
      </c>
      <c r="E737" s="137" t="s">
        <v>171</v>
      </c>
      <c r="F737" s="137" t="s">
        <v>163</v>
      </c>
      <c r="G737" s="137" t="s">
        <v>164</v>
      </c>
      <c r="H737" s="137">
        <v>52</v>
      </c>
      <c r="I737" s="137" t="s">
        <v>185</v>
      </c>
      <c r="J737" s="137">
        <v>4546</v>
      </c>
      <c r="K737" s="141">
        <v>874.65</v>
      </c>
      <c r="L737" s="137" t="s">
        <v>3612</v>
      </c>
      <c r="M737" s="135" t="str">
        <f t="shared" si="11"/>
        <v>BRASIL MINERACAOUA SAO LUISRACHÃOZINHO</v>
      </c>
      <c r="N737" s="135" t="s">
        <v>224</v>
      </c>
    </row>
    <row r="738" spans="2:14" x14ac:dyDescent="0.25">
      <c r="B738" s="134">
        <v>46172</v>
      </c>
      <c r="C738" s="138">
        <v>1</v>
      </c>
      <c r="D738" s="138" t="s">
        <v>193</v>
      </c>
      <c r="E738" s="135" t="s">
        <v>285</v>
      </c>
      <c r="F738" s="135" t="s">
        <v>163</v>
      </c>
      <c r="G738" s="135" t="s">
        <v>111</v>
      </c>
      <c r="H738" s="135">
        <v>75</v>
      </c>
      <c r="I738" s="135" t="s">
        <v>185</v>
      </c>
      <c r="J738" s="135">
        <v>270</v>
      </c>
      <c r="K738" s="140">
        <v>749.25</v>
      </c>
      <c r="L738" s="135" t="s">
        <v>3613</v>
      </c>
      <c r="M738" s="135" t="str">
        <f t="shared" si="11"/>
        <v>BRASIL MINERACAOBEIRA RIORACHÃOZINHO</v>
      </c>
      <c r="N738" s="135" t="s">
        <v>111</v>
      </c>
    </row>
    <row r="739" spans="2:14" x14ac:dyDescent="0.25">
      <c r="B739" s="136">
        <v>46172</v>
      </c>
      <c r="C739" s="139">
        <v>1</v>
      </c>
      <c r="D739" s="139" t="s">
        <v>173</v>
      </c>
      <c r="E739" s="137" t="s">
        <v>174</v>
      </c>
      <c r="F739" s="137" t="s">
        <v>166</v>
      </c>
      <c r="G739" s="137" t="s">
        <v>164</v>
      </c>
      <c r="H739" s="137">
        <v>58</v>
      </c>
      <c r="I739" s="137" t="s">
        <v>175</v>
      </c>
      <c r="J739" s="137">
        <v>2162</v>
      </c>
      <c r="K739" s="141">
        <v>463.97</v>
      </c>
      <c r="L739" s="137" t="s">
        <v>3614</v>
      </c>
      <c r="M739" s="135" t="str">
        <f t="shared" si="11"/>
        <v>GRANORTEUA SAO LUISBRITA 0</v>
      </c>
      <c r="N739" s="135" t="s">
        <v>224</v>
      </c>
    </row>
    <row r="740" spans="2:14" x14ac:dyDescent="0.25">
      <c r="B740" s="134">
        <v>46172</v>
      </c>
      <c r="C740" s="138">
        <v>1</v>
      </c>
      <c r="D740" s="138" t="s">
        <v>275</v>
      </c>
      <c r="E740" s="135" t="s">
        <v>178</v>
      </c>
      <c r="F740" s="135" t="s">
        <v>163</v>
      </c>
      <c r="G740" s="135" t="s">
        <v>164</v>
      </c>
      <c r="H740" s="135">
        <v>52</v>
      </c>
      <c r="I740" s="135" t="s">
        <v>175</v>
      </c>
      <c r="J740" s="135">
        <v>500</v>
      </c>
      <c r="K740" s="140">
        <v>962</v>
      </c>
      <c r="L740" s="135" t="s">
        <v>3615</v>
      </c>
      <c r="M740" s="135" t="str">
        <f t="shared" si="11"/>
        <v>BRASIL MINERACAOUA SAO LUISBRITA 0</v>
      </c>
      <c r="N740" s="135" t="s">
        <v>224</v>
      </c>
    </row>
    <row r="741" spans="2:14" x14ac:dyDescent="0.25">
      <c r="B741" s="136">
        <v>46172</v>
      </c>
      <c r="C741" s="139">
        <v>1</v>
      </c>
      <c r="D741" s="139" t="s">
        <v>167</v>
      </c>
      <c r="E741" s="137" t="s">
        <v>168</v>
      </c>
      <c r="F741" s="137" t="s">
        <v>163</v>
      </c>
      <c r="G741" s="137" t="s">
        <v>164</v>
      </c>
      <c r="H741" s="137">
        <v>52</v>
      </c>
      <c r="I741" s="137" t="s">
        <v>175</v>
      </c>
      <c r="J741" s="137">
        <v>2568</v>
      </c>
      <c r="K741" s="141">
        <v>494.08</v>
      </c>
      <c r="L741" s="137" t="s">
        <v>3616</v>
      </c>
      <c r="M741" s="135" t="str">
        <f t="shared" si="11"/>
        <v>BRASIL MINERACAOUA SAO LUISBRITA 0</v>
      </c>
      <c r="N741" s="135" t="s">
        <v>224</v>
      </c>
    </row>
    <row r="742" spans="2:14" x14ac:dyDescent="0.25">
      <c r="B742" s="134">
        <v>46172</v>
      </c>
      <c r="C742" s="138">
        <v>1</v>
      </c>
      <c r="D742" s="138" t="s">
        <v>167</v>
      </c>
      <c r="E742" s="135" t="s">
        <v>168</v>
      </c>
      <c r="F742" s="135" t="s">
        <v>163</v>
      </c>
      <c r="G742" s="135" t="s">
        <v>164</v>
      </c>
      <c r="H742" s="135">
        <v>52</v>
      </c>
      <c r="I742" s="135" t="s">
        <v>175</v>
      </c>
      <c r="J742" s="135">
        <v>267</v>
      </c>
      <c r="K742" s="140">
        <v>513.71</v>
      </c>
      <c r="L742" s="135" t="s">
        <v>3617</v>
      </c>
      <c r="M742" s="135" t="str">
        <f t="shared" si="11"/>
        <v>BRASIL MINERACAOUA SAO LUISBRITA 0</v>
      </c>
      <c r="N742" s="135" t="s">
        <v>224</v>
      </c>
    </row>
    <row r="743" spans="2:14" x14ac:dyDescent="0.25">
      <c r="B743" s="136">
        <v>46172</v>
      </c>
      <c r="C743" s="139">
        <v>1</v>
      </c>
      <c r="D743" s="139" t="s">
        <v>210</v>
      </c>
      <c r="E743" s="137" t="s">
        <v>211</v>
      </c>
      <c r="F743" s="137" t="s">
        <v>2868</v>
      </c>
      <c r="G743" s="137" t="s">
        <v>2871</v>
      </c>
      <c r="H743" s="137">
        <v>70</v>
      </c>
      <c r="I743" s="137" t="s">
        <v>2869</v>
      </c>
      <c r="J743" s="137">
        <v>4333</v>
      </c>
      <c r="K743" s="141">
        <v>1122.25</v>
      </c>
      <c r="L743" s="137" t="s">
        <v>3618</v>
      </c>
      <c r="M743" s="135" t="str">
        <f t="shared" si="11"/>
        <v>FAZENDA PLATAFORMASILO PRODUCERESSOJA</v>
      </c>
      <c r="N743" s="135" t="s">
        <v>3729</v>
      </c>
    </row>
    <row r="744" spans="2:14" x14ac:dyDescent="0.25">
      <c r="B744" s="134">
        <v>46172</v>
      </c>
      <c r="C744" s="138">
        <v>1</v>
      </c>
      <c r="D744" s="138" t="s">
        <v>203</v>
      </c>
      <c r="E744" s="135" t="s">
        <v>204</v>
      </c>
      <c r="F744" s="135" t="s">
        <v>2868</v>
      </c>
      <c r="G744" s="135" t="s">
        <v>2871</v>
      </c>
      <c r="H744" s="135">
        <v>70</v>
      </c>
      <c r="I744" s="135" t="s">
        <v>2869</v>
      </c>
      <c r="J744" s="135">
        <v>5486</v>
      </c>
      <c r="K744" s="140">
        <v>1420.87</v>
      </c>
      <c r="L744" s="135" t="s">
        <v>3619</v>
      </c>
      <c r="M744" s="135" t="str">
        <f t="shared" si="11"/>
        <v>FAZENDA PLATAFORMASILO PRODUCERESSOJA</v>
      </c>
      <c r="N744" s="135" t="s">
        <v>3729</v>
      </c>
    </row>
    <row r="745" spans="2:14" x14ac:dyDescent="0.25">
      <c r="B745" s="136">
        <v>46172</v>
      </c>
      <c r="C745" s="139">
        <v>1</v>
      </c>
      <c r="D745" s="139" t="s">
        <v>199</v>
      </c>
      <c r="E745" s="137" t="s">
        <v>180</v>
      </c>
      <c r="F745" s="137" t="s">
        <v>163</v>
      </c>
      <c r="G745" s="137" t="s">
        <v>111</v>
      </c>
      <c r="H745" s="137">
        <v>75</v>
      </c>
      <c r="I745" s="137" t="s">
        <v>185</v>
      </c>
      <c r="J745" s="137">
        <v>2808</v>
      </c>
      <c r="K745" s="141">
        <v>779.22</v>
      </c>
      <c r="L745" s="137" t="s">
        <v>3620</v>
      </c>
      <c r="M745" s="135" t="str">
        <f t="shared" si="11"/>
        <v>BRASIL MINERACAOBEIRA RIORACHÃOZINHO</v>
      </c>
      <c r="N745" s="137" t="s">
        <v>111</v>
      </c>
    </row>
    <row r="746" spans="2:14" x14ac:dyDescent="0.25">
      <c r="B746" s="134">
        <v>46172</v>
      </c>
      <c r="C746" s="138">
        <v>1</v>
      </c>
      <c r="D746" s="138" t="s">
        <v>202</v>
      </c>
      <c r="E746" s="135" t="s">
        <v>214</v>
      </c>
      <c r="F746" s="135" t="s">
        <v>190</v>
      </c>
      <c r="G746" s="135" t="s">
        <v>198</v>
      </c>
      <c r="H746" s="135">
        <v>70</v>
      </c>
      <c r="I746" s="135" t="s">
        <v>165</v>
      </c>
      <c r="J746" s="135">
        <v>4746</v>
      </c>
      <c r="K746" s="140">
        <v>1229.21</v>
      </c>
      <c r="L746" s="135" t="s">
        <v>3621</v>
      </c>
      <c r="M746" s="135" t="str">
        <f t="shared" si="11"/>
        <v>SERVENGUSINA SAO LUISPÓ DE BRITA</v>
      </c>
      <c r="N746" s="135" t="s">
        <v>224</v>
      </c>
    </row>
    <row r="747" spans="2:14" x14ac:dyDescent="0.25">
      <c r="B747" s="136">
        <v>46172</v>
      </c>
      <c r="C747" s="139">
        <v>1</v>
      </c>
      <c r="D747" s="139" t="s">
        <v>173</v>
      </c>
      <c r="E747" s="137" t="s">
        <v>174</v>
      </c>
      <c r="F747" s="137" t="s">
        <v>163</v>
      </c>
      <c r="G747" s="137" t="s">
        <v>164</v>
      </c>
      <c r="H747" s="137">
        <v>52</v>
      </c>
      <c r="I747" s="137" t="s">
        <v>185</v>
      </c>
      <c r="J747" s="137">
        <v>2724</v>
      </c>
      <c r="K747" s="141">
        <v>524.1</v>
      </c>
      <c r="L747" s="137" t="s">
        <v>3622</v>
      </c>
      <c r="M747" s="135" t="str">
        <f t="shared" si="11"/>
        <v>BRASIL MINERACAOUA SAO LUISRACHÃOZINHO</v>
      </c>
      <c r="N747" s="135" t="s">
        <v>224</v>
      </c>
    </row>
    <row r="748" spans="2:14" x14ac:dyDescent="0.25">
      <c r="B748" s="134">
        <v>46172</v>
      </c>
      <c r="C748" s="138">
        <v>1</v>
      </c>
      <c r="D748" s="138" t="s">
        <v>286</v>
      </c>
      <c r="E748" s="135" t="s">
        <v>506</v>
      </c>
      <c r="F748" s="135" t="s">
        <v>163</v>
      </c>
      <c r="G748" s="135" t="s">
        <v>164</v>
      </c>
      <c r="H748" s="135">
        <v>52</v>
      </c>
      <c r="I748" s="135" t="s">
        <v>175</v>
      </c>
      <c r="J748" s="135">
        <v>4464</v>
      </c>
      <c r="K748" s="140">
        <v>858.87</v>
      </c>
      <c r="L748" s="135" t="s">
        <v>3623</v>
      </c>
      <c r="M748" s="135" t="str">
        <f t="shared" si="11"/>
        <v>BRASIL MINERACAOUA SAO LUISBRITA 0</v>
      </c>
      <c r="N748" s="135" t="s">
        <v>224</v>
      </c>
    </row>
    <row r="749" spans="2:14" x14ac:dyDescent="0.25">
      <c r="B749" s="136">
        <v>46172</v>
      </c>
      <c r="C749" s="139">
        <v>1</v>
      </c>
      <c r="D749" s="139" t="s">
        <v>283</v>
      </c>
      <c r="E749" s="137" t="s">
        <v>282</v>
      </c>
      <c r="F749" s="137" t="s">
        <v>166</v>
      </c>
      <c r="G749" s="137" t="s">
        <v>1178</v>
      </c>
      <c r="H749" s="137">
        <v>51</v>
      </c>
      <c r="I749" s="137" t="s">
        <v>169</v>
      </c>
      <c r="J749" s="137">
        <v>261</v>
      </c>
      <c r="K749" s="141">
        <v>492.51</v>
      </c>
      <c r="L749" s="137" t="s">
        <v>3624</v>
      </c>
      <c r="M749" s="135" t="str">
        <f t="shared" si="11"/>
        <v>GRANORTEVETORPULMÃOZINHO</v>
      </c>
      <c r="N749" s="137" t="s">
        <v>1178</v>
      </c>
    </row>
    <row r="750" spans="2:14" x14ac:dyDescent="0.25">
      <c r="B750" s="134">
        <v>46172</v>
      </c>
      <c r="C750" s="138">
        <v>1</v>
      </c>
      <c r="D750" s="138" t="s">
        <v>1948</v>
      </c>
      <c r="E750" s="135" t="s">
        <v>1949</v>
      </c>
      <c r="F750" s="135" t="s">
        <v>2868</v>
      </c>
      <c r="G750" s="135" t="s">
        <v>2871</v>
      </c>
      <c r="H750" s="135">
        <v>70</v>
      </c>
      <c r="I750" s="135" t="s">
        <v>2869</v>
      </c>
      <c r="J750" s="135">
        <v>484</v>
      </c>
      <c r="K750" s="140">
        <v>1253.56</v>
      </c>
      <c r="L750" s="135" t="s">
        <v>3625</v>
      </c>
      <c r="M750" s="135" t="str">
        <f t="shared" si="11"/>
        <v>FAZENDA PLATAFORMASILO PRODUCERESSOJA</v>
      </c>
      <c r="N750" s="135" t="s">
        <v>3729</v>
      </c>
    </row>
    <row r="751" spans="2:14" x14ac:dyDescent="0.25">
      <c r="B751" s="136">
        <v>46172</v>
      </c>
      <c r="C751" s="139">
        <v>1</v>
      </c>
      <c r="D751" s="139" t="s">
        <v>183</v>
      </c>
      <c r="E751" s="137" t="s">
        <v>184</v>
      </c>
      <c r="F751" s="137" t="s">
        <v>163</v>
      </c>
      <c r="G751" s="137" t="s">
        <v>111</v>
      </c>
      <c r="H751" s="137">
        <v>75</v>
      </c>
      <c r="I751" s="137" t="s">
        <v>169</v>
      </c>
      <c r="J751" s="137">
        <v>2782</v>
      </c>
      <c r="K751" s="141">
        <v>772.01</v>
      </c>
      <c r="L751" s="137" t="s">
        <v>3626</v>
      </c>
      <c r="M751" s="135" t="str">
        <f t="shared" si="11"/>
        <v>BRASIL MINERACAOBEIRA RIOPULMÃOZINHO</v>
      </c>
      <c r="N751" s="137" t="s">
        <v>111</v>
      </c>
    </row>
    <row r="752" spans="2:14" x14ac:dyDescent="0.25">
      <c r="B752" s="134">
        <v>46172</v>
      </c>
      <c r="C752" s="138">
        <v>1</v>
      </c>
      <c r="D752" s="138" t="s">
        <v>270</v>
      </c>
      <c r="E752" s="135" t="s">
        <v>288</v>
      </c>
      <c r="F752" s="135" t="s">
        <v>190</v>
      </c>
      <c r="G752" s="135" t="s">
        <v>191</v>
      </c>
      <c r="H752" s="135">
        <v>217</v>
      </c>
      <c r="I752" s="135" t="s">
        <v>165</v>
      </c>
      <c r="J752" s="135">
        <v>518</v>
      </c>
      <c r="K752" s="140">
        <v>3596.99</v>
      </c>
      <c r="L752" s="135" t="s">
        <v>3627</v>
      </c>
      <c r="M752" s="135" t="str">
        <f t="shared" si="11"/>
        <v>SERVENGOLINDA NOVA - MAPÓ DE BRITA</v>
      </c>
      <c r="N752" s="137" t="s">
        <v>3730</v>
      </c>
    </row>
    <row r="753" spans="2:14" x14ac:dyDescent="0.25">
      <c r="B753" s="136">
        <v>46172</v>
      </c>
      <c r="C753" s="139">
        <v>1</v>
      </c>
      <c r="D753" s="139" t="s">
        <v>192</v>
      </c>
      <c r="E753" s="137" t="s">
        <v>287</v>
      </c>
      <c r="F753" s="137" t="s">
        <v>2868</v>
      </c>
      <c r="G753" s="137" t="s">
        <v>2871</v>
      </c>
      <c r="H753" s="137">
        <v>70</v>
      </c>
      <c r="I753" s="137" t="s">
        <v>2869</v>
      </c>
      <c r="J753" s="137">
        <v>496</v>
      </c>
      <c r="K753" s="141">
        <v>1284.6400000000001</v>
      </c>
      <c r="L753" s="137" t="s">
        <v>3628</v>
      </c>
      <c r="M753" s="135" t="str">
        <f t="shared" si="11"/>
        <v>FAZENDA PLATAFORMASILO PRODUCERESSOJA</v>
      </c>
      <c r="N753" s="135" t="s">
        <v>3729</v>
      </c>
    </row>
    <row r="754" spans="2:14" x14ac:dyDescent="0.25">
      <c r="B754" s="134">
        <v>46172</v>
      </c>
      <c r="C754" s="138">
        <v>1</v>
      </c>
      <c r="D754" s="138" t="s">
        <v>183</v>
      </c>
      <c r="E754" s="135" t="s">
        <v>184</v>
      </c>
      <c r="F754" s="135" t="s">
        <v>163</v>
      </c>
      <c r="G754" s="135" t="s">
        <v>164</v>
      </c>
      <c r="H754" s="135">
        <v>52</v>
      </c>
      <c r="I754" s="135" t="s">
        <v>175</v>
      </c>
      <c r="J754" s="135">
        <v>2788</v>
      </c>
      <c r="K754" s="140">
        <v>536.41</v>
      </c>
      <c r="L754" s="135" t="s">
        <v>3629</v>
      </c>
      <c r="M754" s="135" t="str">
        <f t="shared" si="11"/>
        <v>BRASIL MINERACAOUA SAO LUISBRITA 0</v>
      </c>
      <c r="N754" s="135" t="s">
        <v>224</v>
      </c>
    </row>
    <row r="755" spans="2:14" x14ac:dyDescent="0.25">
      <c r="B755" s="136">
        <v>46173</v>
      </c>
      <c r="C755" s="139">
        <v>1</v>
      </c>
      <c r="D755" s="139" t="s">
        <v>176</v>
      </c>
      <c r="E755" s="137" t="s">
        <v>177</v>
      </c>
      <c r="F755" s="137" t="s">
        <v>2868</v>
      </c>
      <c r="G755" s="137" t="s">
        <v>2871</v>
      </c>
      <c r="H755" s="137">
        <v>70</v>
      </c>
      <c r="I755" s="137" t="s">
        <v>2869</v>
      </c>
      <c r="J755" s="137">
        <v>5284</v>
      </c>
      <c r="K755" s="141">
        <v>1368.56</v>
      </c>
      <c r="L755" s="137" t="s">
        <v>3630</v>
      </c>
      <c r="M755" s="135" t="str">
        <f t="shared" si="11"/>
        <v>FAZENDA PLATAFORMASILO PRODUCERESSOJA</v>
      </c>
      <c r="N755" s="135" t="s">
        <v>3729</v>
      </c>
    </row>
    <row r="756" spans="2:14" x14ac:dyDescent="0.25">
      <c r="B756" s="134">
        <v>46173</v>
      </c>
      <c r="C756" s="138">
        <v>1</v>
      </c>
      <c r="D756" s="138" t="s">
        <v>210</v>
      </c>
      <c r="E756" s="135" t="s">
        <v>211</v>
      </c>
      <c r="F756" s="135" t="s">
        <v>2868</v>
      </c>
      <c r="G756" s="135" t="s">
        <v>2871</v>
      </c>
      <c r="H756" s="135">
        <v>70</v>
      </c>
      <c r="I756" s="135" t="s">
        <v>2869</v>
      </c>
      <c r="J756" s="135">
        <v>5104</v>
      </c>
      <c r="K756" s="140">
        <v>1321.94</v>
      </c>
      <c r="L756" s="135" t="s">
        <v>3631</v>
      </c>
      <c r="M756" s="135" t="str">
        <f t="shared" si="11"/>
        <v>FAZENDA PLATAFORMASILO PRODUCERESSOJA</v>
      </c>
      <c r="N756" s="135" t="s">
        <v>3729</v>
      </c>
    </row>
    <row r="757" spans="2:14" x14ac:dyDescent="0.25">
      <c r="B757" s="136">
        <v>46173</v>
      </c>
      <c r="C757" s="139">
        <v>1</v>
      </c>
      <c r="D757" s="139" t="s">
        <v>200</v>
      </c>
      <c r="E757" s="137" t="s">
        <v>201</v>
      </c>
      <c r="F757" s="137" t="s">
        <v>2868</v>
      </c>
      <c r="G757" s="137" t="s">
        <v>2871</v>
      </c>
      <c r="H757" s="137">
        <v>70</v>
      </c>
      <c r="I757" s="137" t="s">
        <v>2869</v>
      </c>
      <c r="J757" s="137">
        <v>50445</v>
      </c>
      <c r="K757" s="141">
        <v>1306.53</v>
      </c>
      <c r="L757" s="137" t="s">
        <v>3632</v>
      </c>
      <c r="M757" s="135" t="str">
        <f t="shared" si="11"/>
        <v>FAZENDA PLATAFORMASILO PRODUCERESSOJA</v>
      </c>
      <c r="N757" s="135" t="s">
        <v>3729</v>
      </c>
    </row>
    <row r="758" spans="2:14" x14ac:dyDescent="0.25">
      <c r="B758" s="134">
        <v>46146</v>
      </c>
      <c r="C758" s="138">
        <v>2</v>
      </c>
      <c r="D758" s="138" t="s">
        <v>289</v>
      </c>
      <c r="E758" s="135" t="s">
        <v>295</v>
      </c>
      <c r="F758" s="135" t="s">
        <v>276</v>
      </c>
      <c r="G758" s="135" t="s">
        <v>2865</v>
      </c>
      <c r="H758" s="135">
        <v>37</v>
      </c>
      <c r="I758" s="135" t="s">
        <v>175</v>
      </c>
      <c r="J758" s="135">
        <v>3818</v>
      </c>
      <c r="K758" s="140">
        <v>522.67999999999995</v>
      </c>
      <c r="L758" s="135" t="s">
        <v>3633</v>
      </c>
      <c r="M758" s="135" t="str">
        <f t="shared" si="11"/>
        <v>MINERADORA PORTO FRANCOUSINA DA ETHOSBRITA 0</v>
      </c>
      <c r="N758" s="135" t="s">
        <v>15</v>
      </c>
    </row>
    <row r="759" spans="2:14" x14ac:dyDescent="0.25">
      <c r="B759" s="136">
        <v>46146</v>
      </c>
      <c r="C759" s="139">
        <v>2</v>
      </c>
      <c r="D759" s="139" t="s">
        <v>289</v>
      </c>
      <c r="E759" s="137" t="s">
        <v>295</v>
      </c>
      <c r="F759" s="137" t="s">
        <v>276</v>
      </c>
      <c r="G759" s="137" t="s">
        <v>2865</v>
      </c>
      <c r="H759" s="137">
        <v>37</v>
      </c>
      <c r="I759" s="137" t="s">
        <v>175</v>
      </c>
      <c r="J759" s="137">
        <v>3806</v>
      </c>
      <c r="K759" s="141">
        <v>521.04</v>
      </c>
      <c r="L759" s="137" t="s">
        <v>3634</v>
      </c>
      <c r="M759" s="135" t="str">
        <f t="shared" si="11"/>
        <v>MINERADORA PORTO FRANCOUSINA DA ETHOSBRITA 0</v>
      </c>
      <c r="N759" s="135" t="s">
        <v>15</v>
      </c>
    </row>
    <row r="760" spans="2:14" x14ac:dyDescent="0.25">
      <c r="B760" s="134">
        <v>46146</v>
      </c>
      <c r="C760" s="138">
        <v>2</v>
      </c>
      <c r="D760" s="138" t="s">
        <v>289</v>
      </c>
      <c r="E760" s="135" t="s">
        <v>295</v>
      </c>
      <c r="F760" s="135" t="s">
        <v>276</v>
      </c>
      <c r="G760" s="135" t="s">
        <v>2865</v>
      </c>
      <c r="H760" s="135">
        <v>37</v>
      </c>
      <c r="I760" s="135" t="s">
        <v>175</v>
      </c>
      <c r="J760" s="135">
        <v>3928</v>
      </c>
      <c r="K760" s="140">
        <v>537.74</v>
      </c>
      <c r="L760" s="135" t="s">
        <v>3635</v>
      </c>
      <c r="M760" s="135" t="str">
        <f t="shared" si="11"/>
        <v>MINERADORA PORTO FRANCOUSINA DA ETHOSBRITA 0</v>
      </c>
      <c r="N760" s="135" t="s">
        <v>15</v>
      </c>
    </row>
    <row r="761" spans="2:14" x14ac:dyDescent="0.25">
      <c r="B761" s="136">
        <v>46146</v>
      </c>
      <c r="C761" s="139">
        <v>2</v>
      </c>
      <c r="D761" s="139" t="s">
        <v>289</v>
      </c>
      <c r="E761" s="137" t="s">
        <v>295</v>
      </c>
      <c r="F761" s="137" t="s">
        <v>276</v>
      </c>
      <c r="G761" s="137" t="s">
        <v>2865</v>
      </c>
      <c r="H761" s="137">
        <v>37</v>
      </c>
      <c r="I761" s="137" t="s">
        <v>175</v>
      </c>
      <c r="J761" s="137">
        <v>381</v>
      </c>
      <c r="K761" s="141">
        <v>521.59</v>
      </c>
      <c r="L761" s="137" t="s">
        <v>3636</v>
      </c>
      <c r="M761" s="135" t="str">
        <f t="shared" si="11"/>
        <v>MINERADORA PORTO FRANCOUSINA DA ETHOSBRITA 0</v>
      </c>
      <c r="N761" s="135" t="s">
        <v>15</v>
      </c>
    </row>
    <row r="762" spans="2:14" x14ac:dyDescent="0.25">
      <c r="B762" s="134">
        <v>46146</v>
      </c>
      <c r="C762" s="138">
        <v>2</v>
      </c>
      <c r="D762" s="138" t="s">
        <v>305</v>
      </c>
      <c r="E762" s="135" t="s">
        <v>306</v>
      </c>
      <c r="F762" s="135" t="s">
        <v>276</v>
      </c>
      <c r="G762" s="135" t="s">
        <v>2143</v>
      </c>
      <c r="H762" s="135">
        <v>281</v>
      </c>
      <c r="I762" s="135" t="s">
        <v>185</v>
      </c>
      <c r="J762" s="135">
        <v>5364</v>
      </c>
      <c r="K762" s="140">
        <v>4823.3100000000004</v>
      </c>
      <c r="L762" s="135" t="s">
        <v>3637</v>
      </c>
      <c r="M762" s="135" t="str">
        <f t="shared" si="11"/>
        <v>MINERADORA PORTO FRANCOSAO PEDRO DA AGUA BRANCARACHÃOZINHO</v>
      </c>
      <c r="N762" s="135" t="s">
        <v>15</v>
      </c>
    </row>
    <row r="763" spans="2:14" x14ac:dyDescent="0.25">
      <c r="B763" s="136">
        <v>46147</v>
      </c>
      <c r="C763" s="139">
        <v>2</v>
      </c>
      <c r="D763" s="139" t="s">
        <v>289</v>
      </c>
      <c r="E763" s="137" t="s">
        <v>295</v>
      </c>
      <c r="F763" s="137" t="s">
        <v>276</v>
      </c>
      <c r="G763" s="137" t="s">
        <v>2865</v>
      </c>
      <c r="H763" s="137">
        <v>37</v>
      </c>
      <c r="I763" s="137" t="s">
        <v>165</v>
      </c>
      <c r="J763" s="137">
        <v>4252</v>
      </c>
      <c r="K763" s="141">
        <v>582.1</v>
      </c>
      <c r="L763" s="137" t="s">
        <v>3638</v>
      </c>
      <c r="M763" s="135" t="str">
        <f t="shared" si="11"/>
        <v>MINERADORA PORTO FRANCOUSINA DA ETHOSPÓ DE BRITA</v>
      </c>
      <c r="N763" s="135" t="s">
        <v>15</v>
      </c>
    </row>
    <row r="764" spans="2:14" x14ac:dyDescent="0.25">
      <c r="B764" s="134">
        <v>46147</v>
      </c>
      <c r="C764" s="138">
        <v>2</v>
      </c>
      <c r="D764" s="138" t="s">
        <v>289</v>
      </c>
      <c r="E764" s="135" t="s">
        <v>295</v>
      </c>
      <c r="F764" s="135" t="s">
        <v>276</v>
      </c>
      <c r="G764" s="135" t="s">
        <v>2865</v>
      </c>
      <c r="H764" s="135">
        <v>37</v>
      </c>
      <c r="I764" s="135" t="s">
        <v>165</v>
      </c>
      <c r="J764" s="135">
        <v>3892</v>
      </c>
      <c r="K764" s="140">
        <v>532.80999999999995</v>
      </c>
      <c r="L764" s="135" t="s">
        <v>3639</v>
      </c>
      <c r="M764" s="135" t="str">
        <f t="shared" si="11"/>
        <v>MINERADORA PORTO FRANCOUSINA DA ETHOSPÓ DE BRITA</v>
      </c>
      <c r="N764" s="135" t="s">
        <v>15</v>
      </c>
    </row>
    <row r="765" spans="2:14" x14ac:dyDescent="0.25">
      <c r="B765" s="136">
        <v>46147</v>
      </c>
      <c r="C765" s="139">
        <v>2</v>
      </c>
      <c r="D765" s="139" t="s">
        <v>289</v>
      </c>
      <c r="E765" s="137" t="s">
        <v>295</v>
      </c>
      <c r="F765" s="137" t="s">
        <v>276</v>
      </c>
      <c r="G765" s="137" t="s">
        <v>2865</v>
      </c>
      <c r="H765" s="137">
        <v>37</v>
      </c>
      <c r="I765" s="137" t="s">
        <v>165</v>
      </c>
      <c r="J765" s="137">
        <v>411</v>
      </c>
      <c r="K765" s="141">
        <v>562.66</v>
      </c>
      <c r="L765" s="137" t="s">
        <v>3640</v>
      </c>
      <c r="M765" s="135" t="str">
        <f t="shared" si="11"/>
        <v>MINERADORA PORTO FRANCOUSINA DA ETHOSPÓ DE BRITA</v>
      </c>
      <c r="N765" s="135" t="s">
        <v>15</v>
      </c>
    </row>
    <row r="766" spans="2:14" x14ac:dyDescent="0.25">
      <c r="B766" s="134">
        <v>46148</v>
      </c>
      <c r="C766" s="138">
        <v>2</v>
      </c>
      <c r="D766" s="138" t="s">
        <v>2873</v>
      </c>
      <c r="E766" s="135" t="s">
        <v>290</v>
      </c>
      <c r="F766" s="135" t="s">
        <v>276</v>
      </c>
      <c r="G766" s="135" t="s">
        <v>2870</v>
      </c>
      <c r="H766" s="135">
        <v>190</v>
      </c>
      <c r="I766" s="135" t="s">
        <v>279</v>
      </c>
      <c r="J766" s="135">
        <v>5064</v>
      </c>
      <c r="K766" s="140">
        <v>3078.91</v>
      </c>
      <c r="L766" s="135" t="s">
        <v>3641</v>
      </c>
      <c r="M766" s="135" t="str">
        <f t="shared" si="11"/>
        <v>MINERADORA PORTO FRANCOVALE ACAILANDIA KM522MATACO</v>
      </c>
      <c r="N766" s="135" t="s">
        <v>15</v>
      </c>
    </row>
    <row r="767" spans="2:14" x14ac:dyDescent="0.25">
      <c r="B767" s="136">
        <v>46148</v>
      </c>
      <c r="C767" s="139">
        <v>2</v>
      </c>
      <c r="D767" s="139" t="s">
        <v>289</v>
      </c>
      <c r="E767" s="137" t="s">
        <v>295</v>
      </c>
      <c r="F767" s="137" t="s">
        <v>276</v>
      </c>
      <c r="G767" s="137" t="s">
        <v>2865</v>
      </c>
      <c r="H767" s="137">
        <v>37</v>
      </c>
      <c r="I767" s="137" t="s">
        <v>175</v>
      </c>
      <c r="J767" s="137">
        <v>4028</v>
      </c>
      <c r="K767" s="141">
        <v>551.42999999999995</v>
      </c>
      <c r="L767" s="137" t="s">
        <v>3642</v>
      </c>
      <c r="M767" s="135" t="str">
        <f t="shared" si="11"/>
        <v>MINERADORA PORTO FRANCOUSINA DA ETHOSBRITA 0</v>
      </c>
      <c r="N767" s="135" t="s">
        <v>15</v>
      </c>
    </row>
    <row r="768" spans="2:14" x14ac:dyDescent="0.25">
      <c r="B768" s="134">
        <v>46148</v>
      </c>
      <c r="C768" s="138">
        <v>2</v>
      </c>
      <c r="D768" s="138" t="s">
        <v>289</v>
      </c>
      <c r="E768" s="135" t="s">
        <v>295</v>
      </c>
      <c r="F768" s="135" t="s">
        <v>276</v>
      </c>
      <c r="G768" s="135" t="s">
        <v>2865</v>
      </c>
      <c r="H768" s="135">
        <v>37</v>
      </c>
      <c r="I768" s="135" t="s">
        <v>175</v>
      </c>
      <c r="J768" s="135">
        <v>3894</v>
      </c>
      <c r="K768" s="140">
        <v>533.09</v>
      </c>
      <c r="L768" s="135" t="s">
        <v>3643</v>
      </c>
      <c r="M768" s="135" t="str">
        <f t="shared" si="11"/>
        <v>MINERADORA PORTO FRANCOUSINA DA ETHOSBRITA 0</v>
      </c>
      <c r="N768" s="135" t="s">
        <v>15</v>
      </c>
    </row>
    <row r="769" spans="2:14" x14ac:dyDescent="0.25">
      <c r="B769" s="136">
        <v>46148</v>
      </c>
      <c r="C769" s="139">
        <v>2</v>
      </c>
      <c r="D769" s="139" t="s">
        <v>289</v>
      </c>
      <c r="E769" s="137" t="s">
        <v>295</v>
      </c>
      <c r="F769" s="137" t="s">
        <v>276</v>
      </c>
      <c r="G769" s="137" t="s">
        <v>2865</v>
      </c>
      <c r="H769" s="137">
        <v>37</v>
      </c>
      <c r="I769" s="137" t="s">
        <v>165</v>
      </c>
      <c r="J769" s="137">
        <v>4198</v>
      </c>
      <c r="K769" s="141">
        <v>574.71</v>
      </c>
      <c r="L769" s="137" t="s">
        <v>3644</v>
      </c>
      <c r="M769" s="135" t="str">
        <f t="shared" si="11"/>
        <v>MINERADORA PORTO FRANCOUSINA DA ETHOSPÓ DE BRITA</v>
      </c>
      <c r="N769" s="135" t="s">
        <v>15</v>
      </c>
    </row>
    <row r="770" spans="2:14" x14ac:dyDescent="0.25">
      <c r="B770" s="134">
        <v>46148</v>
      </c>
      <c r="C770" s="138">
        <v>2</v>
      </c>
      <c r="D770" s="138" t="s">
        <v>289</v>
      </c>
      <c r="E770" s="135" t="s">
        <v>295</v>
      </c>
      <c r="F770" s="135" t="s">
        <v>276</v>
      </c>
      <c r="G770" s="135" t="s">
        <v>2865</v>
      </c>
      <c r="H770" s="135">
        <v>37</v>
      </c>
      <c r="I770" s="135" t="s">
        <v>175</v>
      </c>
      <c r="J770" s="135">
        <v>3972</v>
      </c>
      <c r="K770" s="140">
        <v>543.77</v>
      </c>
      <c r="L770" s="135" t="s">
        <v>3645</v>
      </c>
      <c r="M770" s="135" t="str">
        <f t="shared" si="11"/>
        <v>MINERADORA PORTO FRANCOUSINA DA ETHOSBRITA 0</v>
      </c>
      <c r="N770" s="135" t="s">
        <v>15</v>
      </c>
    </row>
    <row r="771" spans="2:14" x14ac:dyDescent="0.25">
      <c r="B771" s="136">
        <v>46148</v>
      </c>
      <c r="C771" s="139">
        <v>2</v>
      </c>
      <c r="D771" s="139" t="s">
        <v>305</v>
      </c>
      <c r="E771" s="137" t="s">
        <v>306</v>
      </c>
      <c r="F771" s="137" t="s">
        <v>2757</v>
      </c>
      <c r="G771" s="137" t="s">
        <v>2867</v>
      </c>
      <c r="H771" s="137">
        <v>383</v>
      </c>
      <c r="I771" s="137" t="s">
        <v>279</v>
      </c>
      <c r="J771" s="137">
        <v>5242</v>
      </c>
      <c r="K771" s="141">
        <v>6424.6</v>
      </c>
      <c r="L771" s="137" t="s">
        <v>3646</v>
      </c>
      <c r="M771" s="135" t="str">
        <f t="shared" si="11"/>
        <v>MINERADORA PORTO FRANCO MAVALE KM324MATACO</v>
      </c>
      <c r="N771" s="135" t="s">
        <v>15</v>
      </c>
    </row>
    <row r="772" spans="2:14" x14ac:dyDescent="0.25">
      <c r="B772" s="134">
        <v>46149</v>
      </c>
      <c r="C772" s="138">
        <v>2</v>
      </c>
      <c r="D772" s="138" t="s">
        <v>289</v>
      </c>
      <c r="E772" s="135" t="s">
        <v>295</v>
      </c>
      <c r="F772" s="135" t="s">
        <v>276</v>
      </c>
      <c r="G772" s="135" t="s">
        <v>2865</v>
      </c>
      <c r="H772" s="135">
        <v>37</v>
      </c>
      <c r="I772" s="135" t="s">
        <v>165</v>
      </c>
      <c r="J772" s="135">
        <v>4058</v>
      </c>
      <c r="K772" s="140">
        <v>555.54</v>
      </c>
      <c r="L772" s="135" t="s">
        <v>3647</v>
      </c>
      <c r="M772" s="135" t="str">
        <f t="shared" si="11"/>
        <v>MINERADORA PORTO FRANCOUSINA DA ETHOSPÓ DE BRITA</v>
      </c>
      <c r="N772" s="135" t="s">
        <v>15</v>
      </c>
    </row>
    <row r="773" spans="2:14" x14ac:dyDescent="0.25">
      <c r="B773" s="136">
        <v>46149</v>
      </c>
      <c r="C773" s="139">
        <v>2</v>
      </c>
      <c r="D773" s="139" t="s">
        <v>289</v>
      </c>
      <c r="E773" s="137" t="s">
        <v>295</v>
      </c>
      <c r="F773" s="137" t="s">
        <v>276</v>
      </c>
      <c r="G773" s="137" t="s">
        <v>2865</v>
      </c>
      <c r="H773" s="137">
        <v>37</v>
      </c>
      <c r="I773" s="137" t="s">
        <v>175</v>
      </c>
      <c r="J773" s="137">
        <v>3944</v>
      </c>
      <c r="K773" s="141">
        <v>539.92999999999995</v>
      </c>
      <c r="L773" s="137" t="s">
        <v>3648</v>
      </c>
      <c r="M773" s="135" t="str">
        <f t="shared" ref="M773:M836" si="12">CONCATENATE(F773&amp;G773&amp;I773)</f>
        <v>MINERADORA PORTO FRANCOUSINA DA ETHOSBRITA 0</v>
      </c>
      <c r="N773" s="135" t="s">
        <v>15</v>
      </c>
    </row>
    <row r="774" spans="2:14" x14ac:dyDescent="0.25">
      <c r="B774" s="134">
        <v>46149</v>
      </c>
      <c r="C774" s="138">
        <v>2</v>
      </c>
      <c r="D774" s="138" t="s">
        <v>2873</v>
      </c>
      <c r="E774" s="135" t="s">
        <v>290</v>
      </c>
      <c r="F774" s="135" t="s">
        <v>291</v>
      </c>
      <c r="G774" s="135" t="s">
        <v>2087</v>
      </c>
      <c r="H774" s="135">
        <v>200</v>
      </c>
      <c r="I774" s="135" t="s">
        <v>207</v>
      </c>
      <c r="J774" s="135">
        <v>6828</v>
      </c>
      <c r="K774" s="140">
        <v>5052.72</v>
      </c>
      <c r="L774" s="135" t="s">
        <v>3649</v>
      </c>
      <c r="M774" s="135" t="str">
        <f t="shared" si="12"/>
        <v>MINERADORA PORTO FRANCO - MACIDELANDIARACHÃO</v>
      </c>
      <c r="N774" s="135" t="s">
        <v>15</v>
      </c>
    </row>
    <row r="775" spans="2:14" x14ac:dyDescent="0.25">
      <c r="B775" s="136">
        <v>46149</v>
      </c>
      <c r="C775" s="139">
        <v>2</v>
      </c>
      <c r="D775" s="139" t="s">
        <v>289</v>
      </c>
      <c r="E775" s="137" t="s">
        <v>295</v>
      </c>
      <c r="F775" s="137" t="s">
        <v>276</v>
      </c>
      <c r="G775" s="137" t="s">
        <v>2865</v>
      </c>
      <c r="H775" s="137">
        <v>37</v>
      </c>
      <c r="I775" s="137" t="s">
        <v>175</v>
      </c>
      <c r="J775" s="137">
        <v>3964</v>
      </c>
      <c r="K775" s="141">
        <v>542.66999999999996</v>
      </c>
      <c r="L775" s="137" t="s">
        <v>3650</v>
      </c>
      <c r="M775" s="135" t="str">
        <f t="shared" si="12"/>
        <v>MINERADORA PORTO FRANCOUSINA DA ETHOSBRITA 0</v>
      </c>
      <c r="N775" s="135" t="s">
        <v>15</v>
      </c>
    </row>
    <row r="776" spans="2:14" x14ac:dyDescent="0.25">
      <c r="B776" s="134">
        <v>46149</v>
      </c>
      <c r="C776" s="138">
        <v>2</v>
      </c>
      <c r="D776" s="138" t="s">
        <v>289</v>
      </c>
      <c r="E776" s="135" t="s">
        <v>295</v>
      </c>
      <c r="F776" s="135" t="s">
        <v>276</v>
      </c>
      <c r="G776" s="135" t="s">
        <v>2865</v>
      </c>
      <c r="H776" s="135">
        <v>37</v>
      </c>
      <c r="I776" s="135" t="s">
        <v>165</v>
      </c>
      <c r="J776" s="135">
        <v>432</v>
      </c>
      <c r="K776" s="140">
        <v>591.41</v>
      </c>
      <c r="L776" s="135" t="s">
        <v>3651</v>
      </c>
      <c r="M776" s="135" t="str">
        <f t="shared" si="12"/>
        <v>MINERADORA PORTO FRANCOUSINA DA ETHOSPÓ DE BRITA</v>
      </c>
      <c r="N776" s="135" t="s">
        <v>15</v>
      </c>
    </row>
    <row r="777" spans="2:14" x14ac:dyDescent="0.25">
      <c r="B777" s="136">
        <v>46150</v>
      </c>
      <c r="C777" s="139">
        <v>2</v>
      </c>
      <c r="D777" s="139" t="s">
        <v>289</v>
      </c>
      <c r="E777" s="137" t="s">
        <v>295</v>
      </c>
      <c r="F777" s="137" t="s">
        <v>276</v>
      </c>
      <c r="G777" s="137" t="s">
        <v>2865</v>
      </c>
      <c r="H777" s="137">
        <v>37</v>
      </c>
      <c r="I777" s="137" t="s">
        <v>175</v>
      </c>
      <c r="J777" s="137">
        <v>3896</v>
      </c>
      <c r="K777" s="141">
        <v>533.36</v>
      </c>
      <c r="L777" s="137" t="s">
        <v>3652</v>
      </c>
      <c r="M777" s="135" t="str">
        <f t="shared" si="12"/>
        <v>MINERADORA PORTO FRANCOUSINA DA ETHOSBRITA 0</v>
      </c>
      <c r="N777" s="135" t="s">
        <v>15</v>
      </c>
    </row>
    <row r="778" spans="2:14" x14ac:dyDescent="0.25">
      <c r="B778" s="134">
        <v>46150</v>
      </c>
      <c r="C778" s="138">
        <v>2</v>
      </c>
      <c r="D778" s="138" t="s">
        <v>305</v>
      </c>
      <c r="E778" s="135" t="s">
        <v>306</v>
      </c>
      <c r="F778" s="135" t="s">
        <v>2757</v>
      </c>
      <c r="G778" s="135" t="s">
        <v>2867</v>
      </c>
      <c r="H778" s="135">
        <v>383</v>
      </c>
      <c r="I778" s="135" t="s">
        <v>279</v>
      </c>
      <c r="J778" s="135">
        <v>5574</v>
      </c>
      <c r="K778" s="140">
        <v>6831.49</v>
      </c>
      <c r="L778" s="135" t="s">
        <v>3653</v>
      </c>
      <c r="M778" s="135" t="str">
        <f t="shared" si="12"/>
        <v>MINERADORA PORTO FRANCO MAVALE KM324MATACO</v>
      </c>
      <c r="N778" s="135" t="s">
        <v>15</v>
      </c>
    </row>
    <row r="779" spans="2:14" x14ac:dyDescent="0.25">
      <c r="B779" s="136">
        <v>46150</v>
      </c>
      <c r="C779" s="139">
        <v>2</v>
      </c>
      <c r="D779" s="139" t="s">
        <v>2873</v>
      </c>
      <c r="E779" s="137" t="s">
        <v>290</v>
      </c>
      <c r="F779" s="137" t="s">
        <v>291</v>
      </c>
      <c r="G779" s="137" t="s">
        <v>2087</v>
      </c>
      <c r="H779" s="137">
        <v>200</v>
      </c>
      <c r="I779" s="137" t="s">
        <v>207</v>
      </c>
      <c r="J779" s="137">
        <v>676</v>
      </c>
      <c r="K779" s="141">
        <v>5002.3999999999996</v>
      </c>
      <c r="L779" s="137" t="s">
        <v>3654</v>
      </c>
      <c r="M779" s="135" t="str">
        <f t="shared" si="12"/>
        <v>MINERADORA PORTO FRANCO - MACIDELANDIARACHÃO</v>
      </c>
      <c r="N779" s="135" t="s">
        <v>15</v>
      </c>
    </row>
    <row r="780" spans="2:14" x14ac:dyDescent="0.25">
      <c r="B780" s="134">
        <v>46150</v>
      </c>
      <c r="C780" s="138">
        <v>2</v>
      </c>
      <c r="D780" s="138" t="s">
        <v>289</v>
      </c>
      <c r="E780" s="135" t="s">
        <v>295</v>
      </c>
      <c r="F780" s="135" t="s">
        <v>276</v>
      </c>
      <c r="G780" s="135" t="s">
        <v>2865</v>
      </c>
      <c r="H780" s="135">
        <v>37</v>
      </c>
      <c r="I780" s="135" t="s">
        <v>175</v>
      </c>
      <c r="J780" s="135">
        <v>3432</v>
      </c>
      <c r="K780" s="140">
        <v>469.84</v>
      </c>
      <c r="L780" s="135" t="s">
        <v>3655</v>
      </c>
      <c r="M780" s="135" t="str">
        <f t="shared" si="12"/>
        <v>MINERADORA PORTO FRANCOUSINA DA ETHOSBRITA 0</v>
      </c>
      <c r="N780" s="135" t="s">
        <v>15</v>
      </c>
    </row>
    <row r="781" spans="2:14" x14ac:dyDescent="0.25">
      <c r="B781" s="136">
        <v>46153</v>
      </c>
      <c r="C781" s="139">
        <v>2</v>
      </c>
      <c r="D781" s="139" t="s">
        <v>308</v>
      </c>
      <c r="E781" s="137" t="s">
        <v>309</v>
      </c>
      <c r="F781" s="137" t="s">
        <v>2757</v>
      </c>
      <c r="G781" s="137" t="s">
        <v>2963</v>
      </c>
      <c r="H781" s="137">
        <v>493</v>
      </c>
      <c r="I781" s="137" t="s">
        <v>207</v>
      </c>
      <c r="J781" s="137">
        <v>6714</v>
      </c>
      <c r="K781" s="141">
        <v>10592.01</v>
      </c>
      <c r="L781" s="137" t="s">
        <v>3656</v>
      </c>
      <c r="M781" s="135" t="str">
        <f t="shared" si="12"/>
        <v>MINERADORA PORTO FRANCO MABARROLANDIA VLIRACHÃO</v>
      </c>
      <c r="N781" s="135" t="s">
        <v>15</v>
      </c>
    </row>
    <row r="782" spans="2:14" x14ac:dyDescent="0.25">
      <c r="B782" s="134">
        <v>46153</v>
      </c>
      <c r="C782" s="138">
        <v>2</v>
      </c>
      <c r="D782" s="138" t="s">
        <v>289</v>
      </c>
      <c r="E782" s="135" t="s">
        <v>295</v>
      </c>
      <c r="F782" s="135" t="s">
        <v>276</v>
      </c>
      <c r="G782" s="135" t="s">
        <v>2865</v>
      </c>
      <c r="H782" s="135">
        <v>37</v>
      </c>
      <c r="I782" s="135" t="s">
        <v>175</v>
      </c>
      <c r="J782" s="135">
        <v>3766</v>
      </c>
      <c r="K782" s="140">
        <v>515.57000000000005</v>
      </c>
      <c r="L782" s="135" t="s">
        <v>3657</v>
      </c>
      <c r="M782" s="135" t="str">
        <f t="shared" si="12"/>
        <v>MINERADORA PORTO FRANCOUSINA DA ETHOSBRITA 0</v>
      </c>
      <c r="N782" s="135" t="s">
        <v>15</v>
      </c>
    </row>
    <row r="783" spans="2:14" x14ac:dyDescent="0.25">
      <c r="B783" s="136">
        <v>46153</v>
      </c>
      <c r="C783" s="139">
        <v>2</v>
      </c>
      <c r="D783" s="139" t="s">
        <v>289</v>
      </c>
      <c r="E783" s="137" t="s">
        <v>295</v>
      </c>
      <c r="F783" s="137" t="s">
        <v>276</v>
      </c>
      <c r="G783" s="137" t="s">
        <v>2865</v>
      </c>
      <c r="H783" s="137">
        <v>37</v>
      </c>
      <c r="I783" s="137" t="s">
        <v>175</v>
      </c>
      <c r="J783" s="137">
        <v>3902</v>
      </c>
      <c r="K783" s="141">
        <v>534.17999999999995</v>
      </c>
      <c r="L783" s="137" t="s">
        <v>3658</v>
      </c>
      <c r="M783" s="135" t="str">
        <f t="shared" si="12"/>
        <v>MINERADORA PORTO FRANCOUSINA DA ETHOSBRITA 0</v>
      </c>
      <c r="N783" s="135" t="s">
        <v>15</v>
      </c>
    </row>
    <row r="784" spans="2:14" x14ac:dyDescent="0.25">
      <c r="B784" s="134">
        <v>46153</v>
      </c>
      <c r="C784" s="138">
        <v>2</v>
      </c>
      <c r="D784" s="138" t="s">
        <v>289</v>
      </c>
      <c r="E784" s="135" t="s">
        <v>295</v>
      </c>
      <c r="F784" s="135" t="s">
        <v>276</v>
      </c>
      <c r="G784" s="135" t="s">
        <v>2865</v>
      </c>
      <c r="H784" s="135">
        <v>37</v>
      </c>
      <c r="I784" s="135" t="s">
        <v>175</v>
      </c>
      <c r="J784" s="135">
        <v>3762</v>
      </c>
      <c r="K784" s="140">
        <v>515.02</v>
      </c>
      <c r="L784" s="135" t="s">
        <v>3659</v>
      </c>
      <c r="M784" s="135" t="str">
        <f t="shared" si="12"/>
        <v>MINERADORA PORTO FRANCOUSINA DA ETHOSBRITA 0</v>
      </c>
      <c r="N784" s="135" t="s">
        <v>15</v>
      </c>
    </row>
    <row r="785" spans="2:14" x14ac:dyDescent="0.25">
      <c r="B785" s="136">
        <v>46154</v>
      </c>
      <c r="C785" s="139">
        <v>2</v>
      </c>
      <c r="D785" s="139" t="s">
        <v>289</v>
      </c>
      <c r="E785" s="137" t="s">
        <v>295</v>
      </c>
      <c r="F785" s="137" t="s">
        <v>276</v>
      </c>
      <c r="G785" s="137" t="s">
        <v>2865</v>
      </c>
      <c r="H785" s="137">
        <v>37</v>
      </c>
      <c r="I785" s="137" t="s">
        <v>175</v>
      </c>
      <c r="J785" s="137">
        <v>4072</v>
      </c>
      <c r="K785" s="141">
        <v>557.46</v>
      </c>
      <c r="L785" s="137" t="s">
        <v>3660</v>
      </c>
      <c r="M785" s="135" t="str">
        <f t="shared" si="12"/>
        <v>MINERADORA PORTO FRANCOUSINA DA ETHOSBRITA 0</v>
      </c>
      <c r="N785" s="135" t="s">
        <v>15</v>
      </c>
    </row>
    <row r="786" spans="2:14" x14ac:dyDescent="0.25">
      <c r="B786" s="134">
        <v>46154</v>
      </c>
      <c r="C786" s="138">
        <v>2</v>
      </c>
      <c r="D786" s="138" t="s">
        <v>289</v>
      </c>
      <c r="E786" s="135" t="s">
        <v>295</v>
      </c>
      <c r="F786" s="135" t="s">
        <v>276</v>
      </c>
      <c r="G786" s="135" t="s">
        <v>2865</v>
      </c>
      <c r="H786" s="135">
        <v>37</v>
      </c>
      <c r="I786" s="135" t="s">
        <v>165</v>
      </c>
      <c r="J786" s="135">
        <v>408</v>
      </c>
      <c r="K786" s="140">
        <v>558.54999999999995</v>
      </c>
      <c r="L786" s="135" t="s">
        <v>3661</v>
      </c>
      <c r="M786" s="135" t="str">
        <f t="shared" si="12"/>
        <v>MINERADORA PORTO FRANCOUSINA DA ETHOSPÓ DE BRITA</v>
      </c>
      <c r="N786" s="135" t="s">
        <v>15</v>
      </c>
    </row>
    <row r="787" spans="2:14" x14ac:dyDescent="0.25">
      <c r="B787" s="136">
        <v>46154</v>
      </c>
      <c r="C787" s="139">
        <v>2</v>
      </c>
      <c r="D787" s="139" t="s">
        <v>2873</v>
      </c>
      <c r="E787" s="137" t="s">
        <v>290</v>
      </c>
      <c r="F787" s="137" t="s">
        <v>291</v>
      </c>
      <c r="G787" s="137" t="s">
        <v>2087</v>
      </c>
      <c r="H787" s="137">
        <v>200</v>
      </c>
      <c r="I787" s="137" t="s">
        <v>207</v>
      </c>
      <c r="J787" s="137">
        <v>6554</v>
      </c>
      <c r="K787" s="141">
        <v>4849.96</v>
      </c>
      <c r="L787" s="137" t="s">
        <v>3662</v>
      </c>
      <c r="M787" s="135" t="str">
        <f t="shared" si="12"/>
        <v>MINERADORA PORTO FRANCO - MACIDELANDIARACHÃO</v>
      </c>
      <c r="N787" s="135" t="s">
        <v>15</v>
      </c>
    </row>
    <row r="788" spans="2:14" x14ac:dyDescent="0.25">
      <c r="B788" s="134">
        <v>46154</v>
      </c>
      <c r="C788" s="138">
        <v>2</v>
      </c>
      <c r="D788" s="138" t="s">
        <v>289</v>
      </c>
      <c r="E788" s="135" t="s">
        <v>295</v>
      </c>
      <c r="F788" s="135" t="s">
        <v>276</v>
      </c>
      <c r="G788" s="135" t="s">
        <v>2865</v>
      </c>
      <c r="H788" s="135">
        <v>37</v>
      </c>
      <c r="I788" s="135" t="s">
        <v>165</v>
      </c>
      <c r="J788" s="135">
        <v>4104</v>
      </c>
      <c r="K788" s="140">
        <v>561.84</v>
      </c>
      <c r="L788" s="135" t="s">
        <v>3663</v>
      </c>
      <c r="M788" s="135" t="str">
        <f t="shared" si="12"/>
        <v>MINERADORA PORTO FRANCOUSINA DA ETHOSPÓ DE BRITA</v>
      </c>
      <c r="N788" s="135" t="s">
        <v>15</v>
      </c>
    </row>
    <row r="789" spans="2:14" x14ac:dyDescent="0.25">
      <c r="B789" s="136">
        <v>46154</v>
      </c>
      <c r="C789" s="139">
        <v>2</v>
      </c>
      <c r="D789" s="139" t="s">
        <v>289</v>
      </c>
      <c r="E789" s="137" t="s">
        <v>295</v>
      </c>
      <c r="F789" s="137" t="s">
        <v>276</v>
      </c>
      <c r="G789" s="137" t="s">
        <v>2865</v>
      </c>
      <c r="H789" s="137">
        <v>37</v>
      </c>
      <c r="I789" s="137" t="s">
        <v>165</v>
      </c>
      <c r="J789" s="137">
        <v>3804</v>
      </c>
      <c r="K789" s="141">
        <v>520.77</v>
      </c>
      <c r="L789" s="137" t="s">
        <v>3664</v>
      </c>
      <c r="M789" s="135" t="str">
        <f t="shared" si="12"/>
        <v>MINERADORA PORTO FRANCOUSINA DA ETHOSPÓ DE BRITA</v>
      </c>
      <c r="N789" s="135" t="s">
        <v>15</v>
      </c>
    </row>
    <row r="790" spans="2:14" x14ac:dyDescent="0.25">
      <c r="B790" s="134">
        <v>46155</v>
      </c>
      <c r="C790" s="138">
        <v>2</v>
      </c>
      <c r="D790" s="138" t="s">
        <v>305</v>
      </c>
      <c r="E790" s="135" t="s">
        <v>306</v>
      </c>
      <c r="F790" s="135" t="s">
        <v>2757</v>
      </c>
      <c r="G790" s="135" t="s">
        <v>2867</v>
      </c>
      <c r="H790" s="135">
        <v>383</v>
      </c>
      <c r="I790" s="135" t="s">
        <v>279</v>
      </c>
      <c r="J790" s="135">
        <v>4812</v>
      </c>
      <c r="K790" s="140">
        <v>5897.59</v>
      </c>
      <c r="L790" s="135" t="s">
        <v>3665</v>
      </c>
      <c r="M790" s="135" t="str">
        <f t="shared" si="12"/>
        <v>MINERADORA PORTO FRANCO MAVALE KM324MATACO</v>
      </c>
      <c r="N790" s="135" t="s">
        <v>15</v>
      </c>
    </row>
    <row r="791" spans="2:14" x14ac:dyDescent="0.25">
      <c r="B791" s="136">
        <v>46155</v>
      </c>
      <c r="C791" s="139">
        <v>2</v>
      </c>
      <c r="D791" s="139" t="s">
        <v>2873</v>
      </c>
      <c r="E791" s="137" t="s">
        <v>290</v>
      </c>
      <c r="F791" s="137" t="s">
        <v>276</v>
      </c>
      <c r="G791" s="137" t="s">
        <v>307</v>
      </c>
      <c r="H791" s="137">
        <v>175</v>
      </c>
      <c r="I791" s="137" t="s">
        <v>195</v>
      </c>
      <c r="J791" s="137">
        <v>6854</v>
      </c>
      <c r="K791" s="141">
        <v>3838.24</v>
      </c>
      <c r="L791" s="137" t="s">
        <v>3666</v>
      </c>
      <c r="M791" s="135" t="str">
        <f t="shared" si="12"/>
        <v>MINERADORA PORTO FRANCOAUGUSTINOPOLIS TO (EDEC)BRITA 1</v>
      </c>
      <c r="N791" s="137" t="s">
        <v>307</v>
      </c>
    </row>
    <row r="792" spans="2:14" x14ac:dyDescent="0.25">
      <c r="B792" s="134">
        <v>46155</v>
      </c>
      <c r="C792" s="138">
        <v>2</v>
      </c>
      <c r="D792" s="138" t="s">
        <v>289</v>
      </c>
      <c r="E792" s="135" t="s">
        <v>295</v>
      </c>
      <c r="F792" s="135" t="s">
        <v>276</v>
      </c>
      <c r="G792" s="135" t="s">
        <v>2865</v>
      </c>
      <c r="H792" s="135">
        <v>37</v>
      </c>
      <c r="I792" s="135" t="s">
        <v>175</v>
      </c>
      <c r="J792" s="135">
        <v>3918</v>
      </c>
      <c r="K792" s="140">
        <v>536.37</v>
      </c>
      <c r="L792" s="135" t="s">
        <v>3667</v>
      </c>
      <c r="M792" s="135" t="str">
        <f t="shared" si="12"/>
        <v>MINERADORA PORTO FRANCOUSINA DA ETHOSBRITA 0</v>
      </c>
      <c r="N792" s="135" t="s">
        <v>15</v>
      </c>
    </row>
    <row r="793" spans="2:14" x14ac:dyDescent="0.25">
      <c r="B793" s="136">
        <v>46155</v>
      </c>
      <c r="C793" s="139">
        <v>2</v>
      </c>
      <c r="D793" s="139" t="s">
        <v>289</v>
      </c>
      <c r="E793" s="137" t="s">
        <v>295</v>
      </c>
      <c r="F793" s="137" t="s">
        <v>276</v>
      </c>
      <c r="G793" s="137" t="s">
        <v>2865</v>
      </c>
      <c r="H793" s="137">
        <v>37</v>
      </c>
      <c r="I793" s="137" t="s">
        <v>175</v>
      </c>
      <c r="J793" s="137">
        <v>3884</v>
      </c>
      <c r="K793" s="141">
        <v>531.72</v>
      </c>
      <c r="L793" s="137" t="s">
        <v>3668</v>
      </c>
      <c r="M793" s="135" t="str">
        <f t="shared" si="12"/>
        <v>MINERADORA PORTO FRANCOUSINA DA ETHOSBRITA 0</v>
      </c>
      <c r="N793" s="135" t="s">
        <v>15</v>
      </c>
    </row>
    <row r="794" spans="2:14" x14ac:dyDescent="0.25">
      <c r="B794" s="134">
        <v>46155</v>
      </c>
      <c r="C794" s="138">
        <v>2</v>
      </c>
      <c r="D794" s="138" t="s">
        <v>308</v>
      </c>
      <c r="E794" s="135" t="s">
        <v>309</v>
      </c>
      <c r="F794" s="135" t="s">
        <v>276</v>
      </c>
      <c r="G794" s="135" t="s">
        <v>307</v>
      </c>
      <c r="H794" s="135">
        <v>175</v>
      </c>
      <c r="I794" s="135" t="s">
        <v>221</v>
      </c>
      <c r="J794" s="135">
        <v>7078</v>
      </c>
      <c r="K794" s="140">
        <v>3963.68</v>
      </c>
      <c r="L794" s="135" t="s">
        <v>3669</v>
      </c>
      <c r="M794" s="135" t="str">
        <f t="shared" si="12"/>
        <v>MINERADORA PORTO FRANCOAUGUSTINOPOLIS TO (EDEC)BGS</v>
      </c>
      <c r="N794" s="135" t="s">
        <v>307</v>
      </c>
    </row>
    <row r="795" spans="2:14" x14ac:dyDescent="0.25">
      <c r="B795" s="136">
        <v>46155</v>
      </c>
      <c r="C795" s="139">
        <v>2</v>
      </c>
      <c r="D795" s="139" t="s">
        <v>298</v>
      </c>
      <c r="E795" s="137" t="s">
        <v>299</v>
      </c>
      <c r="F795" s="137" t="s">
        <v>276</v>
      </c>
      <c r="G795" s="137" t="s">
        <v>307</v>
      </c>
      <c r="H795" s="137">
        <v>175</v>
      </c>
      <c r="I795" s="137" t="s">
        <v>195</v>
      </c>
      <c r="J795" s="137">
        <v>6494</v>
      </c>
      <c r="K795" s="141">
        <v>3636.64</v>
      </c>
      <c r="L795" s="137" t="s">
        <v>3670</v>
      </c>
      <c r="M795" s="135" t="str">
        <f t="shared" si="12"/>
        <v>MINERADORA PORTO FRANCOAUGUSTINOPOLIS TO (EDEC)BRITA 1</v>
      </c>
      <c r="N795" s="137" t="s">
        <v>307</v>
      </c>
    </row>
    <row r="796" spans="2:14" x14ac:dyDescent="0.25">
      <c r="B796" s="134">
        <v>46155</v>
      </c>
      <c r="C796" s="138">
        <v>2</v>
      </c>
      <c r="D796" s="138" t="s">
        <v>289</v>
      </c>
      <c r="E796" s="135" t="s">
        <v>295</v>
      </c>
      <c r="F796" s="135" t="s">
        <v>276</v>
      </c>
      <c r="G796" s="135" t="s">
        <v>2865</v>
      </c>
      <c r="H796" s="135">
        <v>37</v>
      </c>
      <c r="I796" s="135" t="s">
        <v>175</v>
      </c>
      <c r="J796" s="135">
        <v>383</v>
      </c>
      <c r="K796" s="140">
        <v>524.33000000000004</v>
      </c>
      <c r="L796" s="135" t="s">
        <v>3671</v>
      </c>
      <c r="M796" s="135" t="str">
        <f t="shared" si="12"/>
        <v>MINERADORA PORTO FRANCOUSINA DA ETHOSBRITA 0</v>
      </c>
      <c r="N796" s="135" t="s">
        <v>15</v>
      </c>
    </row>
    <row r="797" spans="2:14" x14ac:dyDescent="0.25">
      <c r="B797" s="136">
        <v>46155</v>
      </c>
      <c r="C797" s="139">
        <v>2</v>
      </c>
      <c r="D797" s="139" t="s">
        <v>289</v>
      </c>
      <c r="E797" s="137" t="s">
        <v>295</v>
      </c>
      <c r="F797" s="137" t="s">
        <v>276</v>
      </c>
      <c r="G797" s="137" t="s">
        <v>2865</v>
      </c>
      <c r="H797" s="137">
        <v>37</v>
      </c>
      <c r="I797" s="137" t="s">
        <v>165</v>
      </c>
      <c r="J797" s="137">
        <v>3952</v>
      </c>
      <c r="K797" s="141">
        <v>541.03</v>
      </c>
      <c r="L797" s="137" t="s">
        <v>3672</v>
      </c>
      <c r="M797" s="135" t="str">
        <f t="shared" si="12"/>
        <v>MINERADORA PORTO FRANCOUSINA DA ETHOSPÓ DE BRITA</v>
      </c>
      <c r="N797" s="135" t="s">
        <v>15</v>
      </c>
    </row>
    <row r="798" spans="2:14" x14ac:dyDescent="0.25">
      <c r="B798" s="134">
        <v>46156</v>
      </c>
      <c r="C798" s="138">
        <v>2</v>
      </c>
      <c r="D798" s="138" t="s">
        <v>2873</v>
      </c>
      <c r="E798" s="135" t="s">
        <v>290</v>
      </c>
      <c r="F798" s="135" t="s">
        <v>276</v>
      </c>
      <c r="G798" s="135" t="s">
        <v>307</v>
      </c>
      <c r="H798" s="135">
        <v>175</v>
      </c>
      <c r="I798" s="135" t="s">
        <v>221</v>
      </c>
      <c r="J798" s="135">
        <v>6916</v>
      </c>
      <c r="K798" s="140">
        <v>3872.96</v>
      </c>
      <c r="L798" s="135" t="s">
        <v>3673</v>
      </c>
      <c r="M798" s="135" t="str">
        <f t="shared" si="12"/>
        <v>MINERADORA PORTO FRANCOAUGUSTINOPOLIS TO (EDEC)BGS</v>
      </c>
      <c r="N798" s="135" t="s">
        <v>307</v>
      </c>
    </row>
    <row r="799" spans="2:14" x14ac:dyDescent="0.25">
      <c r="B799" s="136">
        <v>46156</v>
      </c>
      <c r="C799" s="139">
        <v>2</v>
      </c>
      <c r="D799" s="139" t="s">
        <v>289</v>
      </c>
      <c r="E799" s="137" t="s">
        <v>295</v>
      </c>
      <c r="F799" s="137" t="s">
        <v>276</v>
      </c>
      <c r="G799" s="137" t="s">
        <v>2865</v>
      </c>
      <c r="H799" s="137">
        <v>37</v>
      </c>
      <c r="I799" s="137" t="s">
        <v>165</v>
      </c>
      <c r="J799" s="137">
        <v>3844</v>
      </c>
      <c r="K799" s="141">
        <v>526.24</v>
      </c>
      <c r="L799" s="137" t="s">
        <v>3674</v>
      </c>
      <c r="M799" s="135" t="str">
        <f t="shared" si="12"/>
        <v>MINERADORA PORTO FRANCOUSINA DA ETHOSPÓ DE BRITA</v>
      </c>
      <c r="N799" s="135" t="s">
        <v>15</v>
      </c>
    </row>
    <row r="800" spans="2:14" x14ac:dyDescent="0.25">
      <c r="B800" s="134">
        <v>46156</v>
      </c>
      <c r="C800" s="138">
        <v>2</v>
      </c>
      <c r="D800" s="138" t="s">
        <v>289</v>
      </c>
      <c r="E800" s="135" t="s">
        <v>295</v>
      </c>
      <c r="F800" s="135" t="s">
        <v>276</v>
      </c>
      <c r="G800" s="135" t="s">
        <v>2865</v>
      </c>
      <c r="H800" s="135">
        <v>37</v>
      </c>
      <c r="I800" s="135" t="s">
        <v>175</v>
      </c>
      <c r="J800" s="135">
        <v>381</v>
      </c>
      <c r="K800" s="140">
        <v>521.59</v>
      </c>
      <c r="L800" s="135" t="s">
        <v>3675</v>
      </c>
      <c r="M800" s="135" t="str">
        <f t="shared" si="12"/>
        <v>MINERADORA PORTO FRANCOUSINA DA ETHOSBRITA 0</v>
      </c>
      <c r="N800" s="135" t="s">
        <v>15</v>
      </c>
    </row>
    <row r="801" spans="2:14" x14ac:dyDescent="0.25">
      <c r="B801" s="136">
        <v>46156</v>
      </c>
      <c r="C801" s="139">
        <v>2</v>
      </c>
      <c r="D801" s="139" t="s">
        <v>289</v>
      </c>
      <c r="E801" s="137" t="s">
        <v>295</v>
      </c>
      <c r="F801" s="137" t="s">
        <v>276</v>
      </c>
      <c r="G801" s="137" t="s">
        <v>2865</v>
      </c>
      <c r="H801" s="137">
        <v>37</v>
      </c>
      <c r="I801" s="137" t="s">
        <v>175</v>
      </c>
      <c r="J801" s="137">
        <v>3792</v>
      </c>
      <c r="K801" s="141">
        <v>519.12</v>
      </c>
      <c r="L801" s="137" t="s">
        <v>3676</v>
      </c>
      <c r="M801" s="135" t="str">
        <f t="shared" si="12"/>
        <v>MINERADORA PORTO FRANCOUSINA DA ETHOSBRITA 0</v>
      </c>
      <c r="N801" s="135" t="s">
        <v>15</v>
      </c>
    </row>
    <row r="802" spans="2:14" x14ac:dyDescent="0.25">
      <c r="B802" s="134">
        <v>46156</v>
      </c>
      <c r="C802" s="138">
        <v>2</v>
      </c>
      <c r="D802" s="138" t="s">
        <v>289</v>
      </c>
      <c r="E802" s="135" t="s">
        <v>295</v>
      </c>
      <c r="F802" s="135" t="s">
        <v>276</v>
      </c>
      <c r="G802" s="135" t="s">
        <v>2865</v>
      </c>
      <c r="H802" s="135">
        <v>37</v>
      </c>
      <c r="I802" s="135" t="s">
        <v>165</v>
      </c>
      <c r="J802" s="135">
        <v>4056</v>
      </c>
      <c r="K802" s="140">
        <v>555.27</v>
      </c>
      <c r="L802" s="135" t="s">
        <v>3677</v>
      </c>
      <c r="M802" s="135" t="str">
        <f t="shared" si="12"/>
        <v>MINERADORA PORTO FRANCOUSINA DA ETHOSPÓ DE BRITA</v>
      </c>
      <c r="N802" s="135" t="s">
        <v>15</v>
      </c>
    </row>
    <row r="803" spans="2:14" x14ac:dyDescent="0.25">
      <c r="B803" s="136">
        <v>46157</v>
      </c>
      <c r="C803" s="139">
        <v>2</v>
      </c>
      <c r="D803" s="139" t="s">
        <v>298</v>
      </c>
      <c r="E803" s="137" t="s">
        <v>299</v>
      </c>
      <c r="F803" s="137" t="s">
        <v>2757</v>
      </c>
      <c r="G803" s="137" t="s">
        <v>2867</v>
      </c>
      <c r="H803" s="137">
        <v>383</v>
      </c>
      <c r="I803" s="137" t="s">
        <v>207</v>
      </c>
      <c r="J803" s="137">
        <v>532</v>
      </c>
      <c r="K803" s="141">
        <v>6520.19</v>
      </c>
      <c r="L803" s="137" t="s">
        <v>3678</v>
      </c>
      <c r="M803" s="135" t="str">
        <f t="shared" si="12"/>
        <v>MINERADORA PORTO FRANCO MAVALE KM324RACHÃO</v>
      </c>
      <c r="N803" s="135" t="s">
        <v>15</v>
      </c>
    </row>
    <row r="804" spans="2:14" x14ac:dyDescent="0.25">
      <c r="B804" s="134">
        <v>46157</v>
      </c>
      <c r="C804" s="138">
        <v>2</v>
      </c>
      <c r="D804" s="138" t="s">
        <v>2873</v>
      </c>
      <c r="E804" s="135" t="s">
        <v>290</v>
      </c>
      <c r="F804" s="135" t="s">
        <v>276</v>
      </c>
      <c r="G804" s="135" t="s">
        <v>2865</v>
      </c>
      <c r="H804" s="135">
        <v>37</v>
      </c>
      <c r="I804" s="135" t="s">
        <v>195</v>
      </c>
      <c r="J804" s="135">
        <v>702</v>
      </c>
      <c r="K804" s="140">
        <v>961.04</v>
      </c>
      <c r="L804" s="135" t="s">
        <v>3679</v>
      </c>
      <c r="M804" s="135" t="str">
        <f t="shared" si="12"/>
        <v>MINERADORA PORTO FRANCOUSINA DA ETHOSBRITA 1</v>
      </c>
      <c r="N804" s="135" t="s">
        <v>15</v>
      </c>
    </row>
    <row r="805" spans="2:14" x14ac:dyDescent="0.25">
      <c r="B805" s="136">
        <v>46157</v>
      </c>
      <c r="C805" s="139">
        <v>2</v>
      </c>
      <c r="D805" s="139" t="s">
        <v>308</v>
      </c>
      <c r="E805" s="137" t="s">
        <v>309</v>
      </c>
      <c r="F805" s="137" t="s">
        <v>291</v>
      </c>
      <c r="G805" s="137" t="s">
        <v>2864</v>
      </c>
      <c r="H805" s="137">
        <v>277</v>
      </c>
      <c r="I805" s="137" t="s">
        <v>207</v>
      </c>
      <c r="J805" s="137">
        <v>5636</v>
      </c>
      <c r="K805" s="141">
        <v>5776.34</v>
      </c>
      <c r="L805" s="137" t="s">
        <v>3680</v>
      </c>
      <c r="M805" s="135" t="str">
        <f t="shared" si="12"/>
        <v>MINERADORA PORTO FRANCO - MAVALE KM 438RACHÃO</v>
      </c>
      <c r="N805" s="135" t="s">
        <v>15</v>
      </c>
    </row>
    <row r="806" spans="2:14" x14ac:dyDescent="0.25">
      <c r="B806" s="134">
        <v>46160</v>
      </c>
      <c r="C806" s="138">
        <v>2</v>
      </c>
      <c r="D806" s="138" t="s">
        <v>2873</v>
      </c>
      <c r="E806" s="135" t="s">
        <v>290</v>
      </c>
      <c r="F806" s="135" t="s">
        <v>276</v>
      </c>
      <c r="G806" s="135" t="s">
        <v>2865</v>
      </c>
      <c r="H806" s="135">
        <v>37</v>
      </c>
      <c r="I806" s="135" t="s">
        <v>195</v>
      </c>
      <c r="J806" s="135">
        <v>6768</v>
      </c>
      <c r="K806" s="140">
        <v>926.54</v>
      </c>
      <c r="L806" s="135" t="s">
        <v>3681</v>
      </c>
      <c r="M806" s="135" t="str">
        <f t="shared" si="12"/>
        <v>MINERADORA PORTO FRANCOUSINA DA ETHOSBRITA 1</v>
      </c>
      <c r="N806" s="135" t="s">
        <v>15</v>
      </c>
    </row>
    <row r="807" spans="2:14" x14ac:dyDescent="0.25">
      <c r="B807" s="136">
        <v>46160</v>
      </c>
      <c r="C807" s="139">
        <v>2</v>
      </c>
      <c r="D807" s="139" t="s">
        <v>305</v>
      </c>
      <c r="E807" s="137" t="s">
        <v>306</v>
      </c>
      <c r="F807" s="137" t="s">
        <v>2757</v>
      </c>
      <c r="G807" s="137" t="s">
        <v>2867</v>
      </c>
      <c r="H807" s="137">
        <v>383</v>
      </c>
      <c r="I807" s="137" t="s">
        <v>207</v>
      </c>
      <c r="J807" s="137">
        <v>535</v>
      </c>
      <c r="K807" s="141">
        <v>6556.96</v>
      </c>
      <c r="L807" s="137" t="s">
        <v>3682</v>
      </c>
      <c r="M807" s="135" t="str">
        <f t="shared" si="12"/>
        <v>MINERADORA PORTO FRANCO MAVALE KM324RACHÃO</v>
      </c>
      <c r="N807" s="135" t="s">
        <v>15</v>
      </c>
    </row>
    <row r="808" spans="2:14" x14ac:dyDescent="0.25">
      <c r="B808" s="134">
        <v>46160</v>
      </c>
      <c r="C808" s="138">
        <v>2</v>
      </c>
      <c r="D808" s="138" t="s">
        <v>2873</v>
      </c>
      <c r="E808" s="135" t="s">
        <v>290</v>
      </c>
      <c r="F808" s="135" t="s">
        <v>276</v>
      </c>
      <c r="G808" s="135" t="s">
        <v>2865</v>
      </c>
      <c r="H808" s="135">
        <v>37</v>
      </c>
      <c r="I808" s="135" t="s">
        <v>195</v>
      </c>
      <c r="J808" s="135">
        <v>6918</v>
      </c>
      <c r="K808" s="140">
        <v>947.07</v>
      </c>
      <c r="L808" s="135" t="s">
        <v>3683</v>
      </c>
      <c r="M808" s="135" t="str">
        <f t="shared" si="12"/>
        <v>MINERADORA PORTO FRANCOUSINA DA ETHOSBRITA 1</v>
      </c>
      <c r="N808" s="135" t="s">
        <v>15</v>
      </c>
    </row>
    <row r="809" spans="2:14" x14ac:dyDescent="0.25">
      <c r="B809" s="136">
        <v>46160</v>
      </c>
      <c r="C809" s="139">
        <v>2</v>
      </c>
      <c r="D809" s="139" t="s">
        <v>302</v>
      </c>
      <c r="E809" s="137" t="s">
        <v>303</v>
      </c>
      <c r="F809" s="137" t="s">
        <v>2748</v>
      </c>
      <c r="G809" s="137" t="s">
        <v>2749</v>
      </c>
      <c r="H809" s="137">
        <v>168</v>
      </c>
      <c r="I809" s="137" t="s">
        <v>165</v>
      </c>
      <c r="J809" s="137">
        <v>5555</v>
      </c>
      <c r="K809" s="141">
        <v>2986.37</v>
      </c>
      <c r="L809" s="137" t="s">
        <v>3684</v>
      </c>
      <c r="M809" s="135" t="str">
        <f t="shared" si="12"/>
        <v>CBM MINERADORAPALMEIROPOLIS-TOPÓ DE BRITA</v>
      </c>
      <c r="N809" s="137" t="s">
        <v>2749</v>
      </c>
    </row>
    <row r="810" spans="2:14" x14ac:dyDescent="0.25">
      <c r="B810" s="134">
        <v>46161</v>
      </c>
      <c r="C810" s="138">
        <v>2</v>
      </c>
      <c r="D810" s="138" t="s">
        <v>2873</v>
      </c>
      <c r="E810" s="135" t="s">
        <v>290</v>
      </c>
      <c r="F810" s="135" t="s">
        <v>276</v>
      </c>
      <c r="G810" s="135" t="s">
        <v>2865</v>
      </c>
      <c r="H810" s="135">
        <v>37</v>
      </c>
      <c r="I810" s="135" t="s">
        <v>195</v>
      </c>
      <c r="J810" s="135">
        <v>7406</v>
      </c>
      <c r="K810" s="140">
        <v>1013.88</v>
      </c>
      <c r="L810" s="135" t="s">
        <v>3685</v>
      </c>
      <c r="M810" s="135" t="str">
        <f t="shared" si="12"/>
        <v>MINERADORA PORTO FRANCOUSINA DA ETHOSBRITA 1</v>
      </c>
      <c r="N810" s="135" t="s">
        <v>15</v>
      </c>
    </row>
    <row r="811" spans="2:14" x14ac:dyDescent="0.25">
      <c r="B811" s="136">
        <v>46161</v>
      </c>
      <c r="C811" s="139">
        <v>2</v>
      </c>
      <c r="D811" s="139" t="s">
        <v>2873</v>
      </c>
      <c r="E811" s="137" t="s">
        <v>290</v>
      </c>
      <c r="F811" s="137" t="s">
        <v>276</v>
      </c>
      <c r="G811" s="137" t="s">
        <v>2865</v>
      </c>
      <c r="H811" s="137">
        <v>37</v>
      </c>
      <c r="I811" s="137" t="s">
        <v>195</v>
      </c>
      <c r="J811" s="137">
        <v>7368</v>
      </c>
      <c r="K811" s="141">
        <v>1008.68</v>
      </c>
      <c r="L811" s="137" t="s">
        <v>3686</v>
      </c>
      <c r="M811" s="135" t="str">
        <f t="shared" si="12"/>
        <v>MINERADORA PORTO FRANCOUSINA DA ETHOSBRITA 1</v>
      </c>
      <c r="N811" s="135" t="s">
        <v>15</v>
      </c>
    </row>
    <row r="812" spans="2:14" x14ac:dyDescent="0.25">
      <c r="B812" s="134">
        <v>46161</v>
      </c>
      <c r="C812" s="138">
        <v>2</v>
      </c>
      <c r="D812" s="138" t="s">
        <v>305</v>
      </c>
      <c r="E812" s="135" t="s">
        <v>306</v>
      </c>
      <c r="F812" s="135" t="s">
        <v>2757</v>
      </c>
      <c r="G812" s="135" t="s">
        <v>2867</v>
      </c>
      <c r="H812" s="135">
        <v>383</v>
      </c>
      <c r="I812" s="135" t="s">
        <v>207</v>
      </c>
      <c r="J812" s="135">
        <v>5342</v>
      </c>
      <c r="K812" s="140">
        <v>6547.16</v>
      </c>
      <c r="L812" s="135" t="s">
        <v>3687</v>
      </c>
      <c r="M812" s="135" t="str">
        <f t="shared" si="12"/>
        <v>MINERADORA PORTO FRANCO MAVALE KM324RACHÃO</v>
      </c>
      <c r="N812" s="135" t="s">
        <v>15</v>
      </c>
    </row>
    <row r="813" spans="2:14" x14ac:dyDescent="0.25">
      <c r="B813" s="136">
        <v>46161</v>
      </c>
      <c r="C813" s="139">
        <v>2</v>
      </c>
      <c r="D813" s="139" t="s">
        <v>2873</v>
      </c>
      <c r="E813" s="137" t="s">
        <v>290</v>
      </c>
      <c r="F813" s="137" t="s">
        <v>276</v>
      </c>
      <c r="G813" s="137" t="s">
        <v>2865</v>
      </c>
      <c r="H813" s="137">
        <v>37</v>
      </c>
      <c r="I813" s="137" t="s">
        <v>195</v>
      </c>
      <c r="J813" s="137">
        <v>7288</v>
      </c>
      <c r="K813" s="141">
        <v>997.73</v>
      </c>
      <c r="L813" s="137" t="s">
        <v>3688</v>
      </c>
      <c r="M813" s="135" t="str">
        <f t="shared" si="12"/>
        <v>MINERADORA PORTO FRANCOUSINA DA ETHOSBRITA 1</v>
      </c>
      <c r="N813" s="135" t="s">
        <v>15</v>
      </c>
    </row>
    <row r="814" spans="2:14" x14ac:dyDescent="0.25">
      <c r="B814" s="134">
        <v>46161</v>
      </c>
      <c r="C814" s="138">
        <v>2</v>
      </c>
      <c r="D814" s="138" t="s">
        <v>2873</v>
      </c>
      <c r="E814" s="135" t="s">
        <v>290</v>
      </c>
      <c r="F814" s="135" t="s">
        <v>276</v>
      </c>
      <c r="G814" s="135" t="s">
        <v>2865</v>
      </c>
      <c r="H814" s="135">
        <v>37</v>
      </c>
      <c r="I814" s="135" t="s">
        <v>195</v>
      </c>
      <c r="J814" s="135">
        <v>72382</v>
      </c>
      <c r="K814" s="140">
        <v>990.91</v>
      </c>
      <c r="L814" s="135" t="s">
        <v>3689</v>
      </c>
      <c r="M814" s="135" t="str">
        <f t="shared" si="12"/>
        <v>MINERADORA PORTO FRANCOUSINA DA ETHOSBRITA 1</v>
      </c>
      <c r="N814" s="135" t="s">
        <v>15</v>
      </c>
    </row>
    <row r="815" spans="2:14" x14ac:dyDescent="0.25">
      <c r="B815" s="136">
        <v>46161</v>
      </c>
      <c r="C815" s="139">
        <v>2</v>
      </c>
      <c r="D815" s="139" t="s">
        <v>302</v>
      </c>
      <c r="E815" s="137" t="s">
        <v>303</v>
      </c>
      <c r="F815" s="137" t="s">
        <v>2748</v>
      </c>
      <c r="G815" s="137" t="s">
        <v>2749</v>
      </c>
      <c r="H815" s="137">
        <v>168</v>
      </c>
      <c r="I815" s="137" t="s">
        <v>165</v>
      </c>
      <c r="J815" s="137">
        <v>6967</v>
      </c>
      <c r="K815" s="141">
        <v>3745.46</v>
      </c>
      <c r="L815" s="137" t="s">
        <v>3690</v>
      </c>
      <c r="M815" s="135" t="str">
        <f t="shared" si="12"/>
        <v>CBM MINERADORAPALMEIROPOLIS-TOPÓ DE BRITA</v>
      </c>
      <c r="N815" s="137" t="s">
        <v>2749</v>
      </c>
    </row>
    <row r="816" spans="2:14" x14ac:dyDescent="0.25">
      <c r="B816" s="134">
        <v>46162</v>
      </c>
      <c r="C816" s="138">
        <v>2</v>
      </c>
      <c r="D816" s="138" t="s">
        <v>298</v>
      </c>
      <c r="E816" s="135" t="s">
        <v>299</v>
      </c>
      <c r="F816" s="135" t="s">
        <v>2757</v>
      </c>
      <c r="G816" s="135" t="s">
        <v>2867</v>
      </c>
      <c r="H816" s="135">
        <v>383</v>
      </c>
      <c r="I816" s="135" t="s">
        <v>207</v>
      </c>
      <c r="J816" s="135">
        <v>5518</v>
      </c>
      <c r="K816" s="140">
        <v>6762.86</v>
      </c>
      <c r="L816" s="135" t="s">
        <v>3691</v>
      </c>
      <c r="M816" s="135" t="str">
        <f t="shared" si="12"/>
        <v>MINERADORA PORTO FRANCO MAVALE KM324RACHÃO</v>
      </c>
      <c r="N816" s="135" t="s">
        <v>15</v>
      </c>
    </row>
    <row r="817" spans="2:14" x14ac:dyDescent="0.25">
      <c r="B817" s="136">
        <v>46162</v>
      </c>
      <c r="C817" s="139">
        <v>2</v>
      </c>
      <c r="D817" s="139" t="s">
        <v>302</v>
      </c>
      <c r="E817" s="137" t="s">
        <v>303</v>
      </c>
      <c r="F817" s="137" t="s">
        <v>2748</v>
      </c>
      <c r="G817" s="137" t="s">
        <v>2749</v>
      </c>
      <c r="H817" s="137">
        <v>168</v>
      </c>
      <c r="I817" s="137" t="s">
        <v>165</v>
      </c>
      <c r="J817" s="137">
        <v>5812</v>
      </c>
      <c r="K817" s="141">
        <v>3124.53</v>
      </c>
      <c r="L817" s="137" t="s">
        <v>3692</v>
      </c>
      <c r="M817" s="135" t="str">
        <f t="shared" si="12"/>
        <v>CBM MINERADORAPALMEIROPOLIS-TOPÓ DE BRITA</v>
      </c>
      <c r="N817" s="137" t="s">
        <v>2749</v>
      </c>
    </row>
    <row r="818" spans="2:14" x14ac:dyDescent="0.25">
      <c r="B818" s="134">
        <v>46163</v>
      </c>
      <c r="C818" s="138">
        <v>2</v>
      </c>
      <c r="D818" s="138" t="s">
        <v>298</v>
      </c>
      <c r="E818" s="135" t="s">
        <v>299</v>
      </c>
      <c r="F818" s="135" t="s">
        <v>276</v>
      </c>
      <c r="G818" s="135" t="s">
        <v>2870</v>
      </c>
      <c r="H818" s="135">
        <v>190</v>
      </c>
      <c r="I818" s="135" t="s">
        <v>207</v>
      </c>
      <c r="J818" s="135">
        <v>6374</v>
      </c>
      <c r="K818" s="140">
        <v>3875.39</v>
      </c>
      <c r="L818" s="135" t="s">
        <v>3693</v>
      </c>
      <c r="M818" s="135" t="str">
        <f t="shared" si="12"/>
        <v>MINERADORA PORTO FRANCOVALE ACAILANDIA KM522RACHÃO</v>
      </c>
      <c r="N818" s="135" t="s">
        <v>15</v>
      </c>
    </row>
    <row r="819" spans="2:14" x14ac:dyDescent="0.25">
      <c r="B819" s="136">
        <v>46163</v>
      </c>
      <c r="C819" s="139">
        <v>2</v>
      </c>
      <c r="D819" s="139" t="s">
        <v>2873</v>
      </c>
      <c r="E819" s="137" t="s">
        <v>290</v>
      </c>
      <c r="F819" s="137" t="s">
        <v>276</v>
      </c>
      <c r="G819" s="137" t="s">
        <v>2033</v>
      </c>
      <c r="H819" s="137">
        <v>323</v>
      </c>
      <c r="I819" s="137" t="s">
        <v>172</v>
      </c>
      <c r="J819" s="137">
        <v>6586</v>
      </c>
      <c r="K819" s="141">
        <v>6807.29</v>
      </c>
      <c r="L819" s="137" t="s">
        <v>3694</v>
      </c>
      <c r="M819" s="135" t="str">
        <f t="shared" si="12"/>
        <v>MINERADORA PORTO FRANCOVALE KM 386BICA CORRIDA</v>
      </c>
      <c r="N819" s="135" t="s">
        <v>15</v>
      </c>
    </row>
    <row r="820" spans="2:14" x14ac:dyDescent="0.25">
      <c r="B820" s="134">
        <v>46163</v>
      </c>
      <c r="C820" s="138">
        <v>2</v>
      </c>
      <c r="D820" s="138" t="s">
        <v>302</v>
      </c>
      <c r="E820" s="135" t="s">
        <v>303</v>
      </c>
      <c r="F820" s="135" t="s">
        <v>2748</v>
      </c>
      <c r="G820" s="135" t="s">
        <v>2749</v>
      </c>
      <c r="H820" s="135">
        <v>168</v>
      </c>
      <c r="I820" s="135" t="s">
        <v>165</v>
      </c>
      <c r="J820" s="135">
        <v>5974</v>
      </c>
      <c r="K820" s="140">
        <v>3211.62</v>
      </c>
      <c r="L820" s="135" t="s">
        <v>3695</v>
      </c>
      <c r="M820" s="135" t="str">
        <f t="shared" si="12"/>
        <v>CBM MINERADORAPALMEIROPOLIS-TOPÓ DE BRITA</v>
      </c>
      <c r="N820" s="135" t="s">
        <v>2749</v>
      </c>
    </row>
    <row r="821" spans="2:14" x14ac:dyDescent="0.25">
      <c r="B821" s="136">
        <v>46163</v>
      </c>
      <c r="C821" s="139">
        <v>2</v>
      </c>
      <c r="D821" s="139" t="s">
        <v>308</v>
      </c>
      <c r="E821" s="137" t="s">
        <v>309</v>
      </c>
      <c r="F821" s="137" t="s">
        <v>2757</v>
      </c>
      <c r="G821" s="137" t="s">
        <v>2867</v>
      </c>
      <c r="H821" s="137">
        <v>383</v>
      </c>
      <c r="I821" s="137" t="s">
        <v>207</v>
      </c>
      <c r="J821" s="137">
        <v>5422</v>
      </c>
      <c r="K821" s="141">
        <v>6645.2</v>
      </c>
      <c r="L821" s="137" t="s">
        <v>3696</v>
      </c>
      <c r="M821" s="135" t="str">
        <f t="shared" si="12"/>
        <v>MINERADORA PORTO FRANCO MAVALE KM324RACHÃO</v>
      </c>
      <c r="N821" s="135" t="s">
        <v>15</v>
      </c>
    </row>
    <row r="822" spans="2:14" x14ac:dyDescent="0.25">
      <c r="B822" s="134">
        <v>46163</v>
      </c>
      <c r="C822" s="138">
        <v>2</v>
      </c>
      <c r="D822" s="138" t="s">
        <v>289</v>
      </c>
      <c r="E822" s="135" t="s">
        <v>295</v>
      </c>
      <c r="F822" s="135" t="s">
        <v>276</v>
      </c>
      <c r="G822" s="135" t="s">
        <v>2865</v>
      </c>
      <c r="H822" s="135">
        <v>37</v>
      </c>
      <c r="I822" s="135" t="s">
        <v>175</v>
      </c>
      <c r="J822" s="135">
        <v>3892</v>
      </c>
      <c r="K822" s="140">
        <v>532.80999999999995</v>
      </c>
      <c r="L822" s="135" t="s">
        <v>3697</v>
      </c>
      <c r="M822" s="135" t="str">
        <f t="shared" si="12"/>
        <v>MINERADORA PORTO FRANCOUSINA DA ETHOSBRITA 0</v>
      </c>
      <c r="N822" s="135" t="s">
        <v>15</v>
      </c>
    </row>
    <row r="823" spans="2:14" x14ac:dyDescent="0.25">
      <c r="B823" s="136">
        <v>46163</v>
      </c>
      <c r="C823" s="139">
        <v>2</v>
      </c>
      <c r="D823" s="139" t="s">
        <v>289</v>
      </c>
      <c r="E823" s="137" t="s">
        <v>295</v>
      </c>
      <c r="F823" s="137" t="s">
        <v>276</v>
      </c>
      <c r="G823" s="137" t="s">
        <v>2865</v>
      </c>
      <c r="H823" s="137">
        <v>37</v>
      </c>
      <c r="I823" s="137" t="s">
        <v>175</v>
      </c>
      <c r="J823" s="137">
        <v>3872</v>
      </c>
      <c r="K823" s="141">
        <v>530.08000000000004</v>
      </c>
      <c r="L823" s="137" t="s">
        <v>3698</v>
      </c>
      <c r="M823" s="135" t="str">
        <f t="shared" si="12"/>
        <v>MINERADORA PORTO FRANCOUSINA DA ETHOSBRITA 0</v>
      </c>
      <c r="N823" s="135" t="s">
        <v>15</v>
      </c>
    </row>
    <row r="824" spans="2:14" x14ac:dyDescent="0.25">
      <c r="B824" s="134">
        <v>46163</v>
      </c>
      <c r="C824" s="138">
        <v>2</v>
      </c>
      <c r="D824" s="138" t="s">
        <v>289</v>
      </c>
      <c r="E824" s="135" t="s">
        <v>295</v>
      </c>
      <c r="F824" s="135" t="s">
        <v>276</v>
      </c>
      <c r="G824" s="135" t="s">
        <v>2865</v>
      </c>
      <c r="H824" s="135">
        <v>37</v>
      </c>
      <c r="I824" s="135" t="s">
        <v>175</v>
      </c>
      <c r="J824" s="135">
        <v>392</v>
      </c>
      <c r="K824" s="140">
        <v>536.65</v>
      </c>
      <c r="L824" s="135" t="s">
        <v>3699</v>
      </c>
      <c r="M824" s="135" t="str">
        <f t="shared" si="12"/>
        <v>MINERADORA PORTO FRANCOUSINA DA ETHOSBRITA 0</v>
      </c>
      <c r="N824" s="135" t="s">
        <v>15</v>
      </c>
    </row>
    <row r="825" spans="2:14" x14ac:dyDescent="0.25">
      <c r="B825" s="136">
        <v>46163</v>
      </c>
      <c r="C825" s="139">
        <v>2</v>
      </c>
      <c r="D825" s="139" t="s">
        <v>289</v>
      </c>
      <c r="E825" s="137" t="s">
        <v>295</v>
      </c>
      <c r="F825" s="137" t="s">
        <v>276</v>
      </c>
      <c r="G825" s="137" t="s">
        <v>2865</v>
      </c>
      <c r="H825" s="137">
        <v>37</v>
      </c>
      <c r="I825" s="137" t="s">
        <v>175</v>
      </c>
      <c r="J825" s="137">
        <v>3986</v>
      </c>
      <c r="K825" s="141">
        <v>545.67999999999995</v>
      </c>
      <c r="L825" s="137" t="s">
        <v>3700</v>
      </c>
      <c r="M825" s="135" t="str">
        <f t="shared" si="12"/>
        <v>MINERADORA PORTO FRANCOUSINA DA ETHOSBRITA 0</v>
      </c>
      <c r="N825" s="135" t="s">
        <v>15</v>
      </c>
    </row>
    <row r="826" spans="2:14" x14ac:dyDescent="0.25">
      <c r="B826" s="134">
        <v>46164</v>
      </c>
      <c r="C826" s="138">
        <v>2</v>
      </c>
      <c r="D826" s="138" t="s">
        <v>302</v>
      </c>
      <c r="E826" s="135" t="s">
        <v>303</v>
      </c>
      <c r="F826" s="135" t="s">
        <v>3701</v>
      </c>
      <c r="G826" s="135" t="s">
        <v>1066</v>
      </c>
      <c r="H826" s="135">
        <v>47</v>
      </c>
      <c r="I826" s="135" t="s">
        <v>195</v>
      </c>
      <c r="J826" s="135">
        <v>5615</v>
      </c>
      <c r="K826" s="140">
        <v>976.45</v>
      </c>
      <c r="L826" s="135" t="s">
        <v>3702</v>
      </c>
      <c r="M826" s="135" t="str">
        <f t="shared" si="12"/>
        <v>VILA QUIXABA-TODUERE-TOBRITA 1</v>
      </c>
      <c r="N826" s="135" t="s">
        <v>1066</v>
      </c>
    </row>
    <row r="827" spans="2:14" x14ac:dyDescent="0.25">
      <c r="B827" s="136">
        <v>46164</v>
      </c>
      <c r="C827" s="139">
        <v>2</v>
      </c>
      <c r="D827" s="139" t="s">
        <v>2873</v>
      </c>
      <c r="E827" s="137" t="s">
        <v>290</v>
      </c>
      <c r="F827" s="137" t="s">
        <v>276</v>
      </c>
      <c r="G827" s="137" t="s">
        <v>2865</v>
      </c>
      <c r="H827" s="137">
        <v>37</v>
      </c>
      <c r="I827" s="137" t="s">
        <v>175</v>
      </c>
      <c r="J827" s="137">
        <v>6108</v>
      </c>
      <c r="K827" s="141">
        <v>836.19</v>
      </c>
      <c r="L827" s="137" t="s">
        <v>3703</v>
      </c>
      <c r="M827" s="135" t="str">
        <f t="shared" si="12"/>
        <v>MINERADORA PORTO FRANCOUSINA DA ETHOSBRITA 0</v>
      </c>
      <c r="N827" s="135" t="s">
        <v>15</v>
      </c>
    </row>
    <row r="828" spans="2:14" x14ac:dyDescent="0.25">
      <c r="B828" s="134">
        <v>46167</v>
      </c>
      <c r="C828" s="138">
        <v>2</v>
      </c>
      <c r="D828" s="138" t="s">
        <v>308</v>
      </c>
      <c r="E828" s="135" t="s">
        <v>309</v>
      </c>
      <c r="F828" s="135" t="s">
        <v>2757</v>
      </c>
      <c r="G828" s="135" t="s">
        <v>2867</v>
      </c>
      <c r="H828" s="135">
        <v>383</v>
      </c>
      <c r="I828" s="135" t="s">
        <v>207</v>
      </c>
      <c r="J828" s="135">
        <v>572</v>
      </c>
      <c r="K828" s="140">
        <v>7010.43</v>
      </c>
      <c r="L828" s="135" t="s">
        <v>3704</v>
      </c>
      <c r="M828" s="135" t="str">
        <f t="shared" si="12"/>
        <v>MINERADORA PORTO FRANCO MAVALE KM324RACHÃO</v>
      </c>
      <c r="N828" s="135" t="s">
        <v>15</v>
      </c>
    </row>
    <row r="829" spans="2:14" x14ac:dyDescent="0.25">
      <c r="B829" s="136">
        <v>46167</v>
      </c>
      <c r="C829" s="139">
        <v>2</v>
      </c>
      <c r="D829" s="139" t="s">
        <v>305</v>
      </c>
      <c r="E829" s="137" t="s">
        <v>306</v>
      </c>
      <c r="F829" s="137" t="s">
        <v>2757</v>
      </c>
      <c r="G829" s="137" t="s">
        <v>2867</v>
      </c>
      <c r="H829" s="137">
        <v>383</v>
      </c>
      <c r="I829" s="137" t="s">
        <v>207</v>
      </c>
      <c r="J829" s="137">
        <v>5744</v>
      </c>
      <c r="K829" s="141">
        <v>7039.85</v>
      </c>
      <c r="L829" s="137" t="s">
        <v>3705</v>
      </c>
      <c r="M829" s="135" t="str">
        <f t="shared" si="12"/>
        <v>MINERADORA PORTO FRANCO MAVALE KM324RACHÃO</v>
      </c>
      <c r="N829" s="135" t="s">
        <v>15</v>
      </c>
    </row>
    <row r="830" spans="2:14" x14ac:dyDescent="0.25">
      <c r="B830" s="134">
        <v>46167</v>
      </c>
      <c r="C830" s="138">
        <v>2</v>
      </c>
      <c r="D830" s="138" t="s">
        <v>298</v>
      </c>
      <c r="E830" s="135" t="s">
        <v>299</v>
      </c>
      <c r="F830" s="135" t="s">
        <v>2757</v>
      </c>
      <c r="G830" s="135" t="s">
        <v>2867</v>
      </c>
      <c r="H830" s="135">
        <v>383</v>
      </c>
      <c r="I830" s="135" t="s">
        <v>172</v>
      </c>
      <c r="J830" s="135">
        <v>5556</v>
      </c>
      <c r="K830" s="140">
        <v>6809.43</v>
      </c>
      <c r="L830" s="135" t="s">
        <v>3706</v>
      </c>
      <c r="M830" s="135" t="str">
        <f t="shared" si="12"/>
        <v>MINERADORA PORTO FRANCO MAVALE KM324BICA CORRIDA</v>
      </c>
      <c r="N830" s="135" t="s">
        <v>15</v>
      </c>
    </row>
    <row r="831" spans="2:14" x14ac:dyDescent="0.25">
      <c r="B831" s="136">
        <v>46167</v>
      </c>
      <c r="C831" s="139">
        <v>2</v>
      </c>
      <c r="D831" s="139" t="s">
        <v>2873</v>
      </c>
      <c r="E831" s="137" t="s">
        <v>290</v>
      </c>
      <c r="F831" s="137" t="s">
        <v>276</v>
      </c>
      <c r="G831" s="137" t="s">
        <v>2865</v>
      </c>
      <c r="H831" s="137">
        <v>37</v>
      </c>
      <c r="I831" s="137" t="s">
        <v>175</v>
      </c>
      <c r="J831" s="137">
        <v>6856</v>
      </c>
      <c r="K831" s="141">
        <v>938.59</v>
      </c>
      <c r="L831" s="137" t="s">
        <v>3707</v>
      </c>
      <c r="M831" s="135" t="str">
        <f t="shared" si="12"/>
        <v>MINERADORA PORTO FRANCOUSINA DA ETHOSBRITA 0</v>
      </c>
      <c r="N831" s="135" t="s">
        <v>15</v>
      </c>
    </row>
    <row r="832" spans="2:14" x14ac:dyDescent="0.25">
      <c r="B832" s="134">
        <v>46167</v>
      </c>
      <c r="C832" s="138">
        <v>2</v>
      </c>
      <c r="D832" s="138" t="s">
        <v>2873</v>
      </c>
      <c r="E832" s="135" t="s">
        <v>290</v>
      </c>
      <c r="F832" s="135" t="s">
        <v>276</v>
      </c>
      <c r="G832" s="135" t="s">
        <v>2865</v>
      </c>
      <c r="H832" s="135">
        <v>37</v>
      </c>
      <c r="I832" s="135" t="s">
        <v>175</v>
      </c>
      <c r="J832" s="135">
        <v>696</v>
      </c>
      <c r="K832" s="140">
        <v>952.82</v>
      </c>
      <c r="L832" s="135" t="s">
        <v>3708</v>
      </c>
      <c r="M832" s="135" t="str">
        <f t="shared" si="12"/>
        <v>MINERADORA PORTO FRANCOUSINA DA ETHOSBRITA 0</v>
      </c>
      <c r="N832" s="135" t="s">
        <v>15</v>
      </c>
    </row>
    <row r="833" spans="2:14" x14ac:dyDescent="0.25">
      <c r="B833" s="136">
        <v>46167</v>
      </c>
      <c r="C833" s="139">
        <v>2</v>
      </c>
      <c r="D833" s="139" t="s">
        <v>2873</v>
      </c>
      <c r="E833" s="137" t="s">
        <v>290</v>
      </c>
      <c r="F833" s="137" t="s">
        <v>276</v>
      </c>
      <c r="G833" s="137" t="s">
        <v>2865</v>
      </c>
      <c r="H833" s="137">
        <v>37</v>
      </c>
      <c r="I833" s="137" t="s">
        <v>175</v>
      </c>
      <c r="J833" s="137">
        <v>6736</v>
      </c>
      <c r="K833" s="141">
        <v>922.16</v>
      </c>
      <c r="L833" s="137" t="s">
        <v>3709</v>
      </c>
      <c r="M833" s="135" t="str">
        <f t="shared" si="12"/>
        <v>MINERADORA PORTO FRANCOUSINA DA ETHOSBRITA 0</v>
      </c>
      <c r="N833" s="135" t="s">
        <v>15</v>
      </c>
    </row>
    <row r="834" spans="2:14" x14ac:dyDescent="0.25">
      <c r="B834" s="134">
        <v>46168</v>
      </c>
      <c r="C834" s="138">
        <v>2</v>
      </c>
      <c r="D834" s="138" t="s">
        <v>308</v>
      </c>
      <c r="E834" s="135" t="s">
        <v>309</v>
      </c>
      <c r="F834" s="135" t="s">
        <v>276</v>
      </c>
      <c r="G834" s="135" t="s">
        <v>2865</v>
      </c>
      <c r="H834" s="135">
        <v>37</v>
      </c>
      <c r="I834" s="135" t="s">
        <v>165</v>
      </c>
      <c r="J834" s="135">
        <v>7264</v>
      </c>
      <c r="K834" s="140">
        <v>994.44</v>
      </c>
      <c r="L834" s="135" t="s">
        <v>3710</v>
      </c>
      <c r="M834" s="135" t="str">
        <f t="shared" si="12"/>
        <v>MINERADORA PORTO FRANCOUSINA DA ETHOSPÓ DE BRITA</v>
      </c>
      <c r="N834" s="135" t="s">
        <v>15</v>
      </c>
    </row>
    <row r="835" spans="2:14" x14ac:dyDescent="0.25">
      <c r="B835" s="136">
        <v>46168</v>
      </c>
      <c r="C835" s="139">
        <v>2</v>
      </c>
      <c r="D835" s="139" t="s">
        <v>308</v>
      </c>
      <c r="E835" s="137" t="s">
        <v>309</v>
      </c>
      <c r="F835" s="137" t="s">
        <v>276</v>
      </c>
      <c r="G835" s="137" t="s">
        <v>2865</v>
      </c>
      <c r="H835" s="137">
        <v>37</v>
      </c>
      <c r="I835" s="137" t="s">
        <v>165</v>
      </c>
      <c r="J835" s="137">
        <v>6748</v>
      </c>
      <c r="K835" s="141">
        <v>923.8</v>
      </c>
      <c r="L835" s="137" t="s">
        <v>3711</v>
      </c>
      <c r="M835" s="135" t="str">
        <f t="shared" si="12"/>
        <v>MINERADORA PORTO FRANCOUSINA DA ETHOSPÓ DE BRITA</v>
      </c>
      <c r="N835" s="135" t="s">
        <v>15</v>
      </c>
    </row>
    <row r="836" spans="2:14" x14ac:dyDescent="0.25">
      <c r="B836" s="134">
        <v>46168</v>
      </c>
      <c r="C836" s="138">
        <v>2</v>
      </c>
      <c r="D836" s="138" t="s">
        <v>305</v>
      </c>
      <c r="E836" s="135" t="s">
        <v>306</v>
      </c>
      <c r="F836" s="135" t="s">
        <v>276</v>
      </c>
      <c r="G836" s="135" t="s">
        <v>3506</v>
      </c>
      <c r="H836" s="135">
        <v>118</v>
      </c>
      <c r="I836" s="135" t="s">
        <v>207</v>
      </c>
      <c r="J836" s="135">
        <v>6344</v>
      </c>
      <c r="K836" s="140">
        <v>2395.4899999999998</v>
      </c>
      <c r="L836" s="135" t="s">
        <v>3712</v>
      </c>
      <c r="M836" s="135" t="str">
        <f t="shared" si="12"/>
        <v>MINERADORA PORTO FRANCOPRAXIS OBRA JKRACHÃO</v>
      </c>
      <c r="N836" s="135" t="s">
        <v>15</v>
      </c>
    </row>
    <row r="837" spans="2:14" x14ac:dyDescent="0.25">
      <c r="B837" s="136">
        <v>46168</v>
      </c>
      <c r="C837" s="139">
        <v>2</v>
      </c>
      <c r="D837" s="139" t="s">
        <v>302</v>
      </c>
      <c r="E837" s="137" t="s">
        <v>303</v>
      </c>
      <c r="F837" s="137" t="s">
        <v>2748</v>
      </c>
      <c r="G837" s="137" t="s">
        <v>2749</v>
      </c>
      <c r="H837" s="137">
        <v>168</v>
      </c>
      <c r="I837" s="137" t="s">
        <v>165</v>
      </c>
      <c r="J837" s="137">
        <v>545</v>
      </c>
      <c r="K837" s="141">
        <v>2929.92</v>
      </c>
      <c r="L837" s="137" t="s">
        <v>3713</v>
      </c>
      <c r="M837" s="135" t="str">
        <f t="shared" ref="M837:M851" si="13">CONCATENATE(F837&amp;G837&amp;I837)</f>
        <v>CBM MINERADORAPALMEIROPOLIS-TOPÓ DE BRITA</v>
      </c>
      <c r="N837" s="137" t="s">
        <v>2749</v>
      </c>
    </row>
    <row r="838" spans="2:14" x14ac:dyDescent="0.25">
      <c r="B838" s="134">
        <v>46169</v>
      </c>
      <c r="C838" s="138">
        <v>2</v>
      </c>
      <c r="D838" s="138" t="s">
        <v>305</v>
      </c>
      <c r="E838" s="135" t="s">
        <v>306</v>
      </c>
      <c r="F838" s="135" t="s">
        <v>276</v>
      </c>
      <c r="G838" s="135" t="s">
        <v>3506</v>
      </c>
      <c r="H838" s="135">
        <v>118</v>
      </c>
      <c r="I838" s="135" t="s">
        <v>207</v>
      </c>
      <c r="J838" s="135">
        <v>3552</v>
      </c>
      <c r="K838" s="140">
        <v>1341.24</v>
      </c>
      <c r="L838" s="135" t="s">
        <v>3714</v>
      </c>
      <c r="M838" s="135" t="str">
        <f t="shared" si="13"/>
        <v>MINERADORA PORTO FRANCOPRAXIS OBRA JKRACHÃO</v>
      </c>
      <c r="N838" s="135" t="s">
        <v>15</v>
      </c>
    </row>
    <row r="839" spans="2:14" x14ac:dyDescent="0.25">
      <c r="B839" s="136">
        <v>46169</v>
      </c>
      <c r="C839" s="139">
        <v>2</v>
      </c>
      <c r="D839" s="139" t="s">
        <v>298</v>
      </c>
      <c r="E839" s="137" t="s">
        <v>299</v>
      </c>
      <c r="F839" s="137" t="s">
        <v>276</v>
      </c>
      <c r="G839" s="137" t="s">
        <v>3506</v>
      </c>
      <c r="H839" s="137">
        <v>118</v>
      </c>
      <c r="I839" s="137" t="s">
        <v>207</v>
      </c>
      <c r="J839" s="137">
        <v>3622</v>
      </c>
      <c r="K839" s="141">
        <v>1367.67</v>
      </c>
      <c r="L839" s="137" t="s">
        <v>3715</v>
      </c>
      <c r="M839" s="135" t="str">
        <f t="shared" si="13"/>
        <v>MINERADORA PORTO FRANCOPRAXIS OBRA JKRACHÃO</v>
      </c>
      <c r="N839" s="135" t="s">
        <v>15</v>
      </c>
    </row>
    <row r="840" spans="2:14" x14ac:dyDescent="0.25">
      <c r="B840" s="134">
        <v>46169</v>
      </c>
      <c r="C840" s="138">
        <v>2</v>
      </c>
      <c r="D840" s="138" t="s">
        <v>305</v>
      </c>
      <c r="E840" s="135" t="s">
        <v>306</v>
      </c>
      <c r="F840" s="135" t="s">
        <v>276</v>
      </c>
      <c r="G840" s="135" t="s">
        <v>2865</v>
      </c>
      <c r="H840" s="135">
        <v>37</v>
      </c>
      <c r="I840" s="135" t="s">
        <v>175</v>
      </c>
      <c r="J840" s="135">
        <v>344</v>
      </c>
      <c r="K840" s="140">
        <v>470.94</v>
      </c>
      <c r="L840" s="135" t="s">
        <v>3716</v>
      </c>
      <c r="M840" s="135" t="str">
        <f t="shared" si="13"/>
        <v>MINERADORA PORTO FRANCOUSINA DA ETHOSBRITA 0</v>
      </c>
      <c r="N840" s="135" t="s">
        <v>15</v>
      </c>
    </row>
    <row r="841" spans="2:14" x14ac:dyDescent="0.25">
      <c r="B841" s="136">
        <v>46169</v>
      </c>
      <c r="C841" s="139">
        <v>2</v>
      </c>
      <c r="D841" s="139" t="s">
        <v>298</v>
      </c>
      <c r="E841" s="137" t="s">
        <v>299</v>
      </c>
      <c r="F841" s="137" t="s">
        <v>276</v>
      </c>
      <c r="G841" s="137" t="s">
        <v>2865</v>
      </c>
      <c r="H841" s="137">
        <v>37</v>
      </c>
      <c r="I841" s="137" t="s">
        <v>175</v>
      </c>
      <c r="J841" s="137">
        <v>6378</v>
      </c>
      <c r="K841" s="141">
        <v>873.15</v>
      </c>
      <c r="L841" s="137" t="s">
        <v>3717</v>
      </c>
      <c r="M841" s="135" t="str">
        <f t="shared" si="13"/>
        <v>MINERADORA PORTO FRANCOUSINA DA ETHOSBRITA 0</v>
      </c>
      <c r="N841" s="135" t="s">
        <v>15</v>
      </c>
    </row>
    <row r="842" spans="2:14" x14ac:dyDescent="0.25">
      <c r="B842" s="134">
        <v>46169</v>
      </c>
      <c r="C842" s="138">
        <v>2</v>
      </c>
      <c r="D842" s="138" t="s">
        <v>302</v>
      </c>
      <c r="E842" s="135" t="s">
        <v>303</v>
      </c>
      <c r="F842" s="135" t="s">
        <v>2748</v>
      </c>
      <c r="G842" s="135" t="s">
        <v>2749</v>
      </c>
      <c r="H842" s="135">
        <v>168</v>
      </c>
      <c r="I842" s="135" t="s">
        <v>165</v>
      </c>
      <c r="J842" s="135">
        <v>607</v>
      </c>
      <c r="K842" s="140">
        <v>3263.23</v>
      </c>
      <c r="L842" s="135" t="s">
        <v>3718</v>
      </c>
      <c r="M842" s="135" t="str">
        <f t="shared" si="13"/>
        <v>CBM MINERADORAPALMEIROPOLIS-TOPÓ DE BRITA</v>
      </c>
      <c r="N842" s="135" t="s">
        <v>2749</v>
      </c>
    </row>
    <row r="843" spans="2:14" x14ac:dyDescent="0.25">
      <c r="B843" s="136">
        <v>46170</v>
      </c>
      <c r="C843" s="139">
        <v>2</v>
      </c>
      <c r="D843" s="139" t="s">
        <v>305</v>
      </c>
      <c r="E843" s="137" t="s">
        <v>306</v>
      </c>
      <c r="F843" s="137" t="s">
        <v>276</v>
      </c>
      <c r="G843" s="137" t="s">
        <v>3506</v>
      </c>
      <c r="H843" s="137">
        <v>118</v>
      </c>
      <c r="I843" s="137" t="s">
        <v>207</v>
      </c>
      <c r="J843" s="137">
        <v>384</v>
      </c>
      <c r="K843" s="141">
        <v>1449.98</v>
      </c>
      <c r="L843" s="137" t="s">
        <v>3719</v>
      </c>
      <c r="M843" s="135" t="str">
        <f t="shared" si="13"/>
        <v>MINERADORA PORTO FRANCOPRAXIS OBRA JKRACHÃO</v>
      </c>
      <c r="N843" s="135" t="s">
        <v>15</v>
      </c>
    </row>
    <row r="844" spans="2:14" x14ac:dyDescent="0.25">
      <c r="B844" s="134">
        <v>46170</v>
      </c>
      <c r="C844" s="138">
        <v>2</v>
      </c>
      <c r="D844" s="138" t="s">
        <v>302</v>
      </c>
      <c r="E844" s="135" t="s">
        <v>303</v>
      </c>
      <c r="F844" s="135" t="s">
        <v>2748</v>
      </c>
      <c r="G844" s="135" t="s">
        <v>2749</v>
      </c>
      <c r="H844" s="135">
        <v>168</v>
      </c>
      <c r="I844" s="135" t="s">
        <v>165</v>
      </c>
      <c r="J844" s="135">
        <v>6185</v>
      </c>
      <c r="K844" s="140">
        <v>3325.06</v>
      </c>
      <c r="L844" s="135" t="s">
        <v>3720</v>
      </c>
      <c r="M844" s="135" t="str">
        <f t="shared" si="13"/>
        <v>CBM MINERADORAPALMEIROPOLIS-TOPÓ DE BRITA</v>
      </c>
      <c r="N844" s="135" t="s">
        <v>2749</v>
      </c>
    </row>
    <row r="845" spans="2:14" x14ac:dyDescent="0.25">
      <c r="B845" s="136">
        <v>46170</v>
      </c>
      <c r="C845" s="139">
        <v>2</v>
      </c>
      <c r="D845" s="139" t="s">
        <v>305</v>
      </c>
      <c r="E845" s="137" t="s">
        <v>306</v>
      </c>
      <c r="F845" s="137" t="s">
        <v>276</v>
      </c>
      <c r="G845" s="137" t="s">
        <v>3506</v>
      </c>
      <c r="H845" s="137">
        <v>118</v>
      </c>
      <c r="I845" s="137" t="s">
        <v>207</v>
      </c>
      <c r="J845" s="137">
        <v>3666</v>
      </c>
      <c r="K845" s="141">
        <v>1384.28</v>
      </c>
      <c r="L845" s="137" t="s">
        <v>3721</v>
      </c>
      <c r="M845" s="135" t="str">
        <f t="shared" si="13"/>
        <v>MINERADORA PORTO FRANCOPRAXIS OBRA JKRACHÃO</v>
      </c>
      <c r="N845" s="135" t="s">
        <v>15</v>
      </c>
    </row>
    <row r="846" spans="2:14" x14ac:dyDescent="0.25">
      <c r="B846" s="134">
        <v>46170</v>
      </c>
      <c r="C846" s="138">
        <v>2</v>
      </c>
      <c r="D846" s="138" t="s">
        <v>2873</v>
      </c>
      <c r="E846" s="135" t="s">
        <v>290</v>
      </c>
      <c r="F846" s="135" t="s">
        <v>2757</v>
      </c>
      <c r="G846" s="135" t="s">
        <v>2867</v>
      </c>
      <c r="H846" s="135">
        <v>383</v>
      </c>
      <c r="I846" s="135" t="s">
        <v>172</v>
      </c>
      <c r="J846" s="135">
        <v>5374</v>
      </c>
      <c r="K846" s="140">
        <v>6586.37</v>
      </c>
      <c r="L846" s="135" t="s">
        <v>3722</v>
      </c>
      <c r="M846" s="135" t="str">
        <f t="shared" si="13"/>
        <v>MINERADORA PORTO FRANCO MAVALE KM324BICA CORRIDA</v>
      </c>
      <c r="N846" s="135" t="s">
        <v>15</v>
      </c>
    </row>
    <row r="847" spans="2:14" x14ac:dyDescent="0.25">
      <c r="B847" s="136">
        <v>46171</v>
      </c>
      <c r="C847" s="139">
        <v>2</v>
      </c>
      <c r="D847" s="139" t="s">
        <v>305</v>
      </c>
      <c r="E847" s="137" t="s">
        <v>306</v>
      </c>
      <c r="F847" s="137" t="s">
        <v>276</v>
      </c>
      <c r="G847" s="137" t="s">
        <v>3506</v>
      </c>
      <c r="H847" s="137">
        <v>118</v>
      </c>
      <c r="I847" s="137" t="s">
        <v>207</v>
      </c>
      <c r="J847" s="137">
        <v>3708</v>
      </c>
      <c r="K847" s="141">
        <v>1400.14</v>
      </c>
      <c r="L847" s="137" t="s">
        <v>3723</v>
      </c>
      <c r="M847" s="135" t="str">
        <f t="shared" si="13"/>
        <v>MINERADORA PORTO FRANCOPRAXIS OBRA JKRACHÃO</v>
      </c>
      <c r="N847" s="135" t="s">
        <v>15</v>
      </c>
    </row>
    <row r="848" spans="2:14" x14ac:dyDescent="0.25">
      <c r="B848" s="134">
        <v>46171</v>
      </c>
      <c r="C848" s="138">
        <v>2</v>
      </c>
      <c r="D848" s="138" t="s">
        <v>302</v>
      </c>
      <c r="E848" s="135" t="s">
        <v>303</v>
      </c>
      <c r="F848" s="135" t="s">
        <v>2748</v>
      </c>
      <c r="G848" s="135" t="s">
        <v>2749</v>
      </c>
      <c r="H848" s="135">
        <v>168</v>
      </c>
      <c r="I848" s="135" t="s">
        <v>165</v>
      </c>
      <c r="J848" s="135">
        <v>5841</v>
      </c>
      <c r="K848" s="140">
        <v>3140.12</v>
      </c>
      <c r="L848" s="135" t="s">
        <v>3724</v>
      </c>
      <c r="M848" s="135" t="str">
        <f t="shared" si="13"/>
        <v>CBM MINERADORAPALMEIROPOLIS-TOPÓ DE BRITA</v>
      </c>
      <c r="N848" s="135" t="s">
        <v>2749</v>
      </c>
    </row>
    <row r="849" spans="2:14" x14ac:dyDescent="0.25">
      <c r="B849" s="136">
        <v>46171</v>
      </c>
      <c r="C849" s="139">
        <v>2</v>
      </c>
      <c r="D849" s="139" t="s">
        <v>302</v>
      </c>
      <c r="E849" s="137" t="s">
        <v>303</v>
      </c>
      <c r="F849" s="137" t="s">
        <v>2748</v>
      </c>
      <c r="G849" s="137" t="s">
        <v>2749</v>
      </c>
      <c r="H849" s="137">
        <v>168</v>
      </c>
      <c r="I849" s="137" t="s">
        <v>165</v>
      </c>
      <c r="J849" s="137">
        <v>5764</v>
      </c>
      <c r="K849" s="141">
        <v>3098.73</v>
      </c>
      <c r="L849" s="137" t="s">
        <v>3725</v>
      </c>
      <c r="M849" s="135" t="str">
        <f t="shared" si="13"/>
        <v>CBM MINERADORAPALMEIROPOLIS-TOPÓ DE BRITA</v>
      </c>
      <c r="N849" s="137" t="s">
        <v>2749</v>
      </c>
    </row>
    <row r="850" spans="2:14" x14ac:dyDescent="0.25">
      <c r="B850" s="134">
        <v>46172</v>
      </c>
      <c r="C850" s="138">
        <v>2</v>
      </c>
      <c r="D850" s="138" t="s">
        <v>310</v>
      </c>
      <c r="E850" s="135" t="s">
        <v>311</v>
      </c>
      <c r="F850" s="135" t="s">
        <v>276</v>
      </c>
      <c r="G850" s="135" t="s">
        <v>3506</v>
      </c>
      <c r="H850" s="135">
        <v>118</v>
      </c>
      <c r="I850" s="135" t="s">
        <v>207</v>
      </c>
      <c r="J850" s="135">
        <v>3868</v>
      </c>
      <c r="K850" s="140">
        <v>1460.56</v>
      </c>
      <c r="L850" s="135" t="s">
        <v>3726</v>
      </c>
      <c r="M850" s="135" t="str">
        <f t="shared" si="13"/>
        <v>MINERADORA PORTO FRANCOPRAXIS OBRA JKRACHÃO</v>
      </c>
      <c r="N850" s="135" t="s">
        <v>15</v>
      </c>
    </row>
    <row r="851" spans="2:14" x14ac:dyDescent="0.25">
      <c r="B851" s="136">
        <v>46173</v>
      </c>
      <c r="C851" s="139">
        <v>2</v>
      </c>
      <c r="D851" s="139" t="s">
        <v>310</v>
      </c>
      <c r="E851" s="137" t="s">
        <v>311</v>
      </c>
      <c r="F851" s="137" t="s">
        <v>276</v>
      </c>
      <c r="G851" s="137" t="s">
        <v>277</v>
      </c>
      <c r="H851" s="137">
        <v>118</v>
      </c>
      <c r="I851" s="137" t="s">
        <v>165</v>
      </c>
      <c r="J851" s="137">
        <v>4032</v>
      </c>
      <c r="K851" s="141">
        <v>1522.48</v>
      </c>
      <c r="L851" s="137" t="s">
        <v>3727</v>
      </c>
      <c r="M851" s="135" t="str">
        <f t="shared" si="13"/>
        <v>MINERADORA PORTO FRANCOCONCRENORTEPÓ DE BRITA</v>
      </c>
      <c r="N851" s="135" t="s">
        <v>15</v>
      </c>
    </row>
    <row r="852" spans="2:14" x14ac:dyDescent="0.25">
      <c r="K852" s="142">
        <f>SUM(K4:K851)</f>
        <v>1378218.1300000018</v>
      </c>
    </row>
  </sheetData>
  <autoFilter ref="B3:N852" xr:uid="{2C970800-0ADC-4B47-8C5D-EE0948BEE001}"/>
  <mergeCells count="1">
    <mergeCell ref="B2:N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0529-4754-486E-8170-01C2C0B583DB}">
  <dimension ref="B1:R26"/>
  <sheetViews>
    <sheetView showGridLines="0" workbookViewId="0">
      <selection activeCell="F7" sqref="F7"/>
    </sheetView>
  </sheetViews>
  <sheetFormatPr defaultRowHeight="15" x14ac:dyDescent="0.25"/>
  <cols>
    <col min="1" max="1" width="3.42578125" customWidth="1"/>
    <col min="2" max="2" width="1.5703125" style="127" customWidth="1"/>
    <col min="3" max="3" width="6.7109375" customWidth="1"/>
    <col min="4" max="4" width="11.28515625" customWidth="1"/>
    <col min="5" max="5" width="28.5703125" customWidth="1"/>
    <col min="6" max="6" width="23.7109375" customWidth="1"/>
    <col min="7" max="7" width="1.28515625" customWidth="1"/>
    <col min="15" max="15" width="6.28515625" customWidth="1"/>
    <col min="16" max="16" width="2.28515625" customWidth="1"/>
    <col min="18" max="18" width="26.140625" customWidth="1"/>
  </cols>
  <sheetData>
    <row r="1" spans="2:18" ht="8.25" customHeight="1" x14ac:dyDescent="0.25"/>
    <row r="2" spans="2:18" ht="8.25" customHeight="1" x14ac:dyDescent="0.25"/>
    <row r="3" spans="2:18" ht="25.5" customHeight="1" x14ac:dyDescent="0.25">
      <c r="B3" s="186" t="s">
        <v>2872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8"/>
    </row>
    <row r="4" spans="2:18" ht="4.5" customHeight="1" thickBot="1" x14ac:dyDescent="0.3"/>
    <row r="5" spans="2:18" x14ac:dyDescent="0.25">
      <c r="B5" s="12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2:18" x14ac:dyDescent="0.25">
      <c r="B6" s="129"/>
      <c r="C6" s="113"/>
      <c r="D6" s="114" t="s">
        <v>2862</v>
      </c>
      <c r="E6" s="119" t="s">
        <v>13</v>
      </c>
      <c r="F6" s="105" t="s">
        <v>16</v>
      </c>
      <c r="P6" s="11"/>
      <c r="R6" s="63"/>
    </row>
    <row r="7" spans="2:18" x14ac:dyDescent="0.25">
      <c r="B7" s="129"/>
      <c r="C7" s="115" t="b">
        <v>1</v>
      </c>
      <c r="D7" s="121"/>
      <c r="E7" s="120" t="s">
        <v>157</v>
      </c>
      <c r="F7" s="123">
        <v>147298.31</v>
      </c>
      <c r="P7" s="11"/>
      <c r="R7" s="63"/>
    </row>
    <row r="8" spans="2:18" x14ac:dyDescent="0.25">
      <c r="B8" s="129"/>
      <c r="C8" s="115" t="b">
        <v>1</v>
      </c>
      <c r="D8" s="121">
        <v>4500</v>
      </c>
      <c r="E8" s="120" t="s">
        <v>2875</v>
      </c>
      <c r="F8" s="123">
        <v>59379.040000000001</v>
      </c>
      <c r="P8" s="11"/>
      <c r="R8" s="63"/>
    </row>
    <row r="9" spans="2:18" x14ac:dyDescent="0.25">
      <c r="B9" s="129"/>
      <c r="C9" s="115" t="b">
        <v>1</v>
      </c>
      <c r="D9" s="121">
        <v>5780</v>
      </c>
      <c r="E9" s="120" t="s">
        <v>111</v>
      </c>
      <c r="F9" s="123">
        <v>133931.92000000001</v>
      </c>
      <c r="P9" s="11"/>
      <c r="R9" s="63"/>
    </row>
    <row r="10" spans="2:18" x14ac:dyDescent="0.25">
      <c r="B10" s="129"/>
      <c r="C10" s="115" t="b">
        <v>1</v>
      </c>
      <c r="D10" s="121"/>
      <c r="E10" s="120" t="s">
        <v>1066</v>
      </c>
      <c r="F10" s="123">
        <v>976.45</v>
      </c>
      <c r="P10" s="11"/>
      <c r="R10" s="63"/>
    </row>
    <row r="11" spans="2:18" x14ac:dyDescent="0.25">
      <c r="B11" s="129"/>
      <c r="C11" s="115" t="b">
        <v>1</v>
      </c>
      <c r="D11" s="121">
        <v>5130</v>
      </c>
      <c r="E11" s="120" t="s">
        <v>11</v>
      </c>
      <c r="F11" s="123">
        <v>3114</v>
      </c>
      <c r="P11" s="11"/>
      <c r="R11" s="63"/>
    </row>
    <row r="12" spans="2:18" x14ac:dyDescent="0.25">
      <c r="B12" s="129"/>
      <c r="C12" s="115" t="b">
        <v>1</v>
      </c>
      <c r="D12" s="121">
        <v>3080</v>
      </c>
      <c r="E12" s="120" t="s">
        <v>15</v>
      </c>
      <c r="F12" s="123">
        <v>481174.96</v>
      </c>
      <c r="P12" s="11"/>
      <c r="R12" s="63"/>
    </row>
    <row r="13" spans="2:18" x14ac:dyDescent="0.25">
      <c r="B13" s="129"/>
      <c r="C13" s="116" t="b">
        <v>1</v>
      </c>
      <c r="D13" s="121"/>
      <c r="E13" s="120" t="s">
        <v>2749</v>
      </c>
      <c r="F13" s="123">
        <v>28825.040000000001</v>
      </c>
      <c r="P13" s="11"/>
      <c r="R13" s="63"/>
    </row>
    <row r="14" spans="2:18" x14ac:dyDescent="0.25">
      <c r="B14" s="129"/>
      <c r="C14" s="117" t="b">
        <v>1</v>
      </c>
      <c r="D14" s="121">
        <v>4300</v>
      </c>
      <c r="E14" s="120" t="s">
        <v>224</v>
      </c>
      <c r="F14" s="123">
        <v>292605.15000000002</v>
      </c>
      <c r="P14" s="11"/>
      <c r="R14" s="63"/>
    </row>
    <row r="15" spans="2:18" x14ac:dyDescent="0.25">
      <c r="B15" s="129"/>
      <c r="C15" s="118" t="b">
        <v>1</v>
      </c>
      <c r="D15" s="121">
        <v>4410</v>
      </c>
      <c r="E15" s="120" t="s">
        <v>2874</v>
      </c>
      <c r="F15" s="123">
        <v>49717.48</v>
      </c>
      <c r="P15" s="11"/>
      <c r="R15" s="63"/>
    </row>
    <row r="16" spans="2:18" x14ac:dyDescent="0.25">
      <c r="B16" s="129"/>
      <c r="C16" s="118" t="b">
        <v>1</v>
      </c>
      <c r="D16" s="125">
        <v>4310</v>
      </c>
      <c r="E16" s="120" t="s">
        <v>223</v>
      </c>
      <c r="F16" s="123">
        <v>168052.16</v>
      </c>
      <c r="P16" s="11"/>
      <c r="R16" s="63"/>
    </row>
    <row r="17" spans="2:18" x14ac:dyDescent="0.25">
      <c r="B17" s="129"/>
      <c r="C17" s="118" t="b">
        <v>1</v>
      </c>
      <c r="D17" s="125"/>
      <c r="E17" s="120" t="s">
        <v>3731</v>
      </c>
      <c r="F17" s="123">
        <v>13143.62</v>
      </c>
      <c r="P17" s="11"/>
      <c r="R17" s="63"/>
    </row>
    <row r="18" spans="2:18" ht="18.75" x14ac:dyDescent="0.25">
      <c r="B18" s="129"/>
      <c r="C18" s="131"/>
      <c r="D18" s="132"/>
      <c r="E18" s="133" t="s">
        <v>17</v>
      </c>
      <c r="F18" s="126">
        <v>1378218.13</v>
      </c>
      <c r="G18" s="124"/>
      <c r="P18" s="11"/>
    </row>
    <row r="19" spans="2:18" ht="18.75" customHeight="1" x14ac:dyDescent="0.25">
      <c r="B19" s="129"/>
      <c r="P19" s="11"/>
    </row>
    <row r="20" spans="2:18" ht="9" customHeight="1" thickBot="1" x14ac:dyDescent="0.3">
      <c r="B20" s="13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</row>
    <row r="22" spans="2:18" x14ac:dyDescent="0.25">
      <c r="E22" s="122"/>
    </row>
    <row r="26" spans="2:18" x14ac:dyDescent="0.25">
      <c r="D26" s="143"/>
    </row>
  </sheetData>
  <mergeCells count="1">
    <mergeCell ref="B3:P3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F373-4097-443F-8990-2A5EC6CD1E59}">
  <dimension ref="A1:M810"/>
  <sheetViews>
    <sheetView workbookViewId="0">
      <selection activeCell="E11" sqref="E11"/>
    </sheetView>
  </sheetViews>
  <sheetFormatPr defaultRowHeight="15" x14ac:dyDescent="0.25"/>
  <cols>
    <col min="3" max="3" width="9" bestFit="1" customWidth="1"/>
    <col min="4" max="4" width="40.85546875" bestFit="1" customWidth="1"/>
    <col min="5" max="5" width="32.140625" bestFit="1" customWidth="1"/>
    <col min="6" max="6" width="37.28515625" bestFit="1" customWidth="1"/>
    <col min="7" max="7" width="11.28515625" bestFit="1" customWidth="1"/>
    <col min="10" max="10" width="14.5703125" bestFit="1" customWidth="1"/>
    <col min="11" max="11" width="21.42578125" bestFit="1" customWidth="1"/>
    <col min="12" max="12" width="68.7109375" bestFit="1" customWidth="1"/>
    <col min="13" max="13" width="26.140625" bestFit="1" customWidth="1"/>
  </cols>
  <sheetData>
    <row r="1" spans="1:13" ht="21" x14ac:dyDescent="0.35">
      <c r="A1" s="170" t="s">
        <v>3732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2"/>
    </row>
    <row r="2" spans="1:13" x14ac:dyDescent="0.25">
      <c r="A2" s="151" t="s">
        <v>0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5</v>
      </c>
      <c r="G2" s="151" t="s">
        <v>3733</v>
      </c>
      <c r="H2" s="153" t="s">
        <v>7</v>
      </c>
      <c r="I2" s="151" t="s">
        <v>8</v>
      </c>
      <c r="J2" s="154" t="s">
        <v>9</v>
      </c>
      <c r="K2" s="151" t="s">
        <v>10</v>
      </c>
      <c r="L2" s="151" t="s">
        <v>12</v>
      </c>
      <c r="M2" s="151" t="s">
        <v>13</v>
      </c>
    </row>
    <row r="3" spans="1:13" x14ac:dyDescent="0.25">
      <c r="A3" s="168">
        <v>46174</v>
      </c>
      <c r="B3" s="32">
        <v>1</v>
      </c>
      <c r="C3" s="32" t="s">
        <v>196</v>
      </c>
      <c r="D3" s="169" t="s">
        <v>197</v>
      </c>
      <c r="E3" s="169" t="s">
        <v>276</v>
      </c>
      <c r="F3" s="32" t="s">
        <v>2033</v>
      </c>
      <c r="G3" s="32">
        <v>323</v>
      </c>
      <c r="H3" s="32" t="s">
        <v>172</v>
      </c>
      <c r="I3" s="32">
        <v>6842</v>
      </c>
      <c r="J3" s="36">
        <v>7071.89</v>
      </c>
      <c r="K3" s="32" t="s">
        <v>3734</v>
      </c>
      <c r="L3" s="169" t="s">
        <v>3735</v>
      </c>
      <c r="M3" s="32" t="s">
        <v>15</v>
      </c>
    </row>
    <row r="4" spans="1:13" x14ac:dyDescent="0.25">
      <c r="A4" s="168">
        <v>46174</v>
      </c>
      <c r="B4" s="32">
        <v>1</v>
      </c>
      <c r="C4" s="32" t="s">
        <v>342</v>
      </c>
      <c r="D4" s="169" t="s">
        <v>171</v>
      </c>
      <c r="E4" s="169" t="s">
        <v>163</v>
      </c>
      <c r="F4" s="32" t="s">
        <v>164</v>
      </c>
      <c r="G4" s="32">
        <v>52</v>
      </c>
      <c r="H4" s="32" t="s">
        <v>185</v>
      </c>
      <c r="I4" s="32">
        <v>4518</v>
      </c>
      <c r="J4" s="36">
        <v>869.26</v>
      </c>
      <c r="K4" s="32" t="s">
        <v>3736</v>
      </c>
      <c r="L4" s="169" t="s">
        <v>20</v>
      </c>
      <c r="M4" s="32" t="s">
        <v>224</v>
      </c>
    </row>
    <row r="5" spans="1:13" x14ac:dyDescent="0.25">
      <c r="A5" s="168">
        <v>46174</v>
      </c>
      <c r="B5" s="32">
        <v>1</v>
      </c>
      <c r="C5" s="32" t="s">
        <v>199</v>
      </c>
      <c r="D5" s="169" t="s">
        <v>180</v>
      </c>
      <c r="E5" s="169" t="s">
        <v>163</v>
      </c>
      <c r="F5" s="32" t="s">
        <v>111</v>
      </c>
      <c r="G5" s="32">
        <v>75</v>
      </c>
      <c r="H5" s="32" t="s">
        <v>185</v>
      </c>
      <c r="I5" s="32">
        <v>2758</v>
      </c>
      <c r="J5" s="36">
        <v>765.35</v>
      </c>
      <c r="K5" s="32" t="s">
        <v>3737</v>
      </c>
      <c r="L5" s="169" t="s">
        <v>3738</v>
      </c>
      <c r="M5" s="32" t="s">
        <v>111</v>
      </c>
    </row>
    <row r="6" spans="1:13" x14ac:dyDescent="0.25">
      <c r="A6" s="168">
        <v>46174</v>
      </c>
      <c r="B6" s="32">
        <v>1</v>
      </c>
      <c r="C6" s="32" t="s">
        <v>188</v>
      </c>
      <c r="D6" s="169" t="s">
        <v>189</v>
      </c>
      <c r="E6" s="169" t="s">
        <v>276</v>
      </c>
      <c r="F6" s="32" t="s">
        <v>2033</v>
      </c>
      <c r="G6" s="32">
        <v>323</v>
      </c>
      <c r="H6" s="32" t="s">
        <v>172</v>
      </c>
      <c r="I6" s="32">
        <v>7208</v>
      </c>
      <c r="J6" s="36">
        <v>7450.19</v>
      </c>
      <c r="K6" s="32" t="s">
        <v>3739</v>
      </c>
      <c r="L6" s="169" t="s">
        <v>3735</v>
      </c>
      <c r="M6" s="32" t="s">
        <v>15</v>
      </c>
    </row>
    <row r="7" spans="1:13" x14ac:dyDescent="0.25">
      <c r="A7" s="168">
        <v>46174</v>
      </c>
      <c r="B7" s="32">
        <v>1</v>
      </c>
      <c r="C7" s="32" t="s">
        <v>342</v>
      </c>
      <c r="D7" s="169" t="s">
        <v>171</v>
      </c>
      <c r="E7" s="169" t="s">
        <v>163</v>
      </c>
      <c r="F7" s="32" t="s">
        <v>164</v>
      </c>
      <c r="G7" s="32">
        <v>52</v>
      </c>
      <c r="H7" s="32" t="s">
        <v>185</v>
      </c>
      <c r="I7" s="32">
        <v>4618</v>
      </c>
      <c r="J7" s="36">
        <v>888.5</v>
      </c>
      <c r="K7" s="32" t="s">
        <v>3740</v>
      </c>
      <c r="L7" s="169" t="s">
        <v>20</v>
      </c>
      <c r="M7" s="32" t="s">
        <v>224</v>
      </c>
    </row>
    <row r="8" spans="1:13" x14ac:dyDescent="0.25">
      <c r="A8" s="168">
        <v>46174</v>
      </c>
      <c r="B8" s="32">
        <v>1</v>
      </c>
      <c r="C8" s="32" t="s">
        <v>283</v>
      </c>
      <c r="D8" s="169" t="s">
        <v>282</v>
      </c>
      <c r="E8" s="169" t="s">
        <v>163</v>
      </c>
      <c r="F8" s="32" t="s">
        <v>111</v>
      </c>
      <c r="G8" s="32">
        <v>75</v>
      </c>
      <c r="H8" s="32" t="s">
        <v>169</v>
      </c>
      <c r="I8" s="32">
        <v>2612</v>
      </c>
      <c r="J8" s="36">
        <v>724.83</v>
      </c>
      <c r="K8" s="32" t="s">
        <v>3741</v>
      </c>
      <c r="L8" s="169" t="s">
        <v>3742</v>
      </c>
      <c r="M8" s="32" t="s">
        <v>111</v>
      </c>
    </row>
    <row r="9" spans="1:13" x14ac:dyDescent="0.25">
      <c r="A9" s="168">
        <v>46174</v>
      </c>
      <c r="B9" s="32">
        <v>1</v>
      </c>
      <c r="C9" s="32" t="s">
        <v>283</v>
      </c>
      <c r="D9" s="169" t="s">
        <v>282</v>
      </c>
      <c r="E9" s="169" t="s">
        <v>166</v>
      </c>
      <c r="F9" s="32" t="s">
        <v>1178</v>
      </c>
      <c r="G9" s="32">
        <v>51</v>
      </c>
      <c r="H9" s="32" t="s">
        <v>169</v>
      </c>
      <c r="I9" s="32">
        <v>264</v>
      </c>
      <c r="J9" s="36">
        <v>498.17</v>
      </c>
      <c r="K9" s="32" t="s">
        <v>3743</v>
      </c>
      <c r="L9" s="169" t="s">
        <v>3744</v>
      </c>
      <c r="M9" s="32" t="s">
        <v>1178</v>
      </c>
    </row>
    <row r="10" spans="1:13" x14ac:dyDescent="0.25">
      <c r="A10" s="168">
        <v>46174</v>
      </c>
      <c r="B10" s="32">
        <v>1</v>
      </c>
      <c r="C10" s="32" t="s">
        <v>199</v>
      </c>
      <c r="D10" s="169" t="s">
        <v>180</v>
      </c>
      <c r="E10" s="169" t="s">
        <v>163</v>
      </c>
      <c r="F10" s="32" t="s">
        <v>111</v>
      </c>
      <c r="G10" s="32">
        <v>75</v>
      </c>
      <c r="H10" s="32" t="s">
        <v>185</v>
      </c>
      <c r="I10" s="32">
        <v>271</v>
      </c>
      <c r="J10" s="36">
        <v>752.03</v>
      </c>
      <c r="K10" s="32" t="s">
        <v>3745</v>
      </c>
      <c r="L10" s="169" t="s">
        <v>3738</v>
      </c>
      <c r="M10" s="32" t="s">
        <v>111</v>
      </c>
    </row>
    <row r="11" spans="1:13" x14ac:dyDescent="0.25">
      <c r="A11" s="168">
        <v>46174</v>
      </c>
      <c r="B11" s="32">
        <v>1</v>
      </c>
      <c r="C11" s="32" t="s">
        <v>1129</v>
      </c>
      <c r="D11" s="169" t="s">
        <v>2396</v>
      </c>
      <c r="E11" s="169" t="s">
        <v>163</v>
      </c>
      <c r="F11" s="32" t="s">
        <v>111</v>
      </c>
      <c r="G11" s="32">
        <v>75</v>
      </c>
      <c r="H11" s="32" t="s">
        <v>185</v>
      </c>
      <c r="I11" s="32">
        <v>2694</v>
      </c>
      <c r="J11" s="36">
        <v>747.59</v>
      </c>
      <c r="K11" s="32" t="s">
        <v>3746</v>
      </c>
      <c r="L11" s="169" t="s">
        <v>3738</v>
      </c>
      <c r="M11" s="32" t="s">
        <v>111</v>
      </c>
    </row>
    <row r="12" spans="1:13" x14ac:dyDescent="0.25">
      <c r="A12" s="168">
        <v>46174</v>
      </c>
      <c r="B12" s="32">
        <v>1</v>
      </c>
      <c r="C12" s="32" t="s">
        <v>1129</v>
      </c>
      <c r="D12" s="169" t="s">
        <v>2396</v>
      </c>
      <c r="E12" s="169" t="s">
        <v>163</v>
      </c>
      <c r="F12" s="32" t="s">
        <v>111</v>
      </c>
      <c r="G12" s="32">
        <v>75</v>
      </c>
      <c r="H12" s="32" t="s">
        <v>185</v>
      </c>
      <c r="I12" s="32">
        <v>2534</v>
      </c>
      <c r="J12" s="36">
        <v>703.19</v>
      </c>
      <c r="K12" s="32" t="s">
        <v>3747</v>
      </c>
      <c r="L12" s="169" t="s">
        <v>3738</v>
      </c>
      <c r="M12" s="32" t="s">
        <v>111</v>
      </c>
    </row>
    <row r="13" spans="1:13" x14ac:dyDescent="0.25">
      <c r="A13" s="168">
        <v>46174</v>
      </c>
      <c r="B13" s="32">
        <v>1</v>
      </c>
      <c r="C13" s="32" t="s">
        <v>286</v>
      </c>
      <c r="D13" s="169" t="s">
        <v>506</v>
      </c>
      <c r="E13" s="169" t="s">
        <v>190</v>
      </c>
      <c r="F13" s="32" t="s">
        <v>198</v>
      </c>
      <c r="G13" s="32">
        <v>70</v>
      </c>
      <c r="H13" s="32" t="s">
        <v>165</v>
      </c>
      <c r="I13" s="32">
        <v>4634</v>
      </c>
      <c r="J13" s="36">
        <v>1200.21</v>
      </c>
      <c r="K13" s="32" t="s">
        <v>3748</v>
      </c>
      <c r="L13" s="169" t="s">
        <v>30</v>
      </c>
      <c r="M13" s="32" t="s">
        <v>224</v>
      </c>
    </row>
    <row r="14" spans="1:13" x14ac:dyDescent="0.25">
      <c r="A14" s="168">
        <v>46174</v>
      </c>
      <c r="B14" s="32">
        <v>1</v>
      </c>
      <c r="C14" s="32" t="s">
        <v>286</v>
      </c>
      <c r="D14" s="169" t="s">
        <v>506</v>
      </c>
      <c r="E14" s="169" t="s">
        <v>163</v>
      </c>
      <c r="F14" s="32" t="s">
        <v>164</v>
      </c>
      <c r="G14" s="32">
        <v>52</v>
      </c>
      <c r="H14" s="32" t="s">
        <v>165</v>
      </c>
      <c r="I14" s="32">
        <v>4474</v>
      </c>
      <c r="J14" s="36">
        <v>860.8</v>
      </c>
      <c r="K14" s="32" t="s">
        <v>3749</v>
      </c>
      <c r="L14" s="169" t="s">
        <v>31</v>
      </c>
      <c r="M14" s="32" t="s">
        <v>224</v>
      </c>
    </row>
    <row r="15" spans="1:13" x14ac:dyDescent="0.25">
      <c r="A15" s="168">
        <v>46174</v>
      </c>
      <c r="B15" s="32">
        <v>1</v>
      </c>
      <c r="C15" s="32" t="s">
        <v>208</v>
      </c>
      <c r="D15" s="169" t="s">
        <v>209</v>
      </c>
      <c r="E15" s="169" t="s">
        <v>166</v>
      </c>
      <c r="F15" s="32" t="s">
        <v>223</v>
      </c>
      <c r="G15" s="32">
        <v>370</v>
      </c>
      <c r="H15" s="32" t="s">
        <v>165</v>
      </c>
      <c r="I15" s="32">
        <v>520</v>
      </c>
      <c r="J15" s="36">
        <v>7118.8</v>
      </c>
      <c r="K15" s="32" t="s">
        <v>3750</v>
      </c>
      <c r="L15" s="169" t="s">
        <v>29</v>
      </c>
      <c r="M15" s="32" t="s">
        <v>223</v>
      </c>
    </row>
    <row r="16" spans="1:13" x14ac:dyDescent="0.25">
      <c r="A16" s="168">
        <v>46174</v>
      </c>
      <c r="B16" s="32">
        <v>1</v>
      </c>
      <c r="C16" s="32" t="s">
        <v>205</v>
      </c>
      <c r="D16" s="169" t="s">
        <v>206</v>
      </c>
      <c r="E16" s="169" t="s">
        <v>2757</v>
      </c>
      <c r="F16" s="32" t="s">
        <v>2867</v>
      </c>
      <c r="G16" s="32">
        <v>383</v>
      </c>
      <c r="H16" s="32" t="s">
        <v>221</v>
      </c>
      <c r="I16" s="32">
        <v>548</v>
      </c>
      <c r="J16" s="36">
        <v>6716.29</v>
      </c>
      <c r="K16" s="32" t="s">
        <v>3751</v>
      </c>
      <c r="L16" s="169" t="s">
        <v>3752</v>
      </c>
      <c r="M16" s="32" t="s">
        <v>15</v>
      </c>
    </row>
    <row r="17" spans="1:13" x14ac:dyDescent="0.25">
      <c r="A17" s="168">
        <v>46174</v>
      </c>
      <c r="B17" s="32">
        <v>1</v>
      </c>
      <c r="C17" s="32" t="s">
        <v>183</v>
      </c>
      <c r="D17" s="169" t="s">
        <v>184</v>
      </c>
      <c r="E17" s="169" t="s">
        <v>163</v>
      </c>
      <c r="F17" s="32" t="s">
        <v>111</v>
      </c>
      <c r="G17" s="32">
        <v>75</v>
      </c>
      <c r="H17" s="32" t="s">
        <v>169</v>
      </c>
      <c r="I17" s="32">
        <v>2774</v>
      </c>
      <c r="J17" s="36">
        <v>769.79</v>
      </c>
      <c r="K17" s="32" t="s">
        <v>3753</v>
      </c>
      <c r="L17" s="169" t="s">
        <v>3742</v>
      </c>
      <c r="M17" s="32" t="s">
        <v>111</v>
      </c>
    </row>
    <row r="18" spans="1:13" x14ac:dyDescent="0.25">
      <c r="A18" s="168">
        <v>46174</v>
      </c>
      <c r="B18" s="32">
        <v>1</v>
      </c>
      <c r="C18" s="32" t="s">
        <v>183</v>
      </c>
      <c r="D18" s="169" t="s">
        <v>184</v>
      </c>
      <c r="E18" s="169" t="s">
        <v>163</v>
      </c>
      <c r="F18" s="32" t="s">
        <v>111</v>
      </c>
      <c r="G18" s="32">
        <v>75</v>
      </c>
      <c r="H18" s="32" t="s">
        <v>169</v>
      </c>
      <c r="I18" s="32">
        <v>2656</v>
      </c>
      <c r="J18" s="36">
        <v>737.04</v>
      </c>
      <c r="K18" s="32" t="s">
        <v>3754</v>
      </c>
      <c r="L18" s="169" t="s">
        <v>3742</v>
      </c>
      <c r="M18" s="32" t="s">
        <v>111</v>
      </c>
    </row>
    <row r="19" spans="1:13" x14ac:dyDescent="0.25">
      <c r="A19" s="168">
        <v>46174</v>
      </c>
      <c r="B19" s="32">
        <v>1</v>
      </c>
      <c r="C19" s="32" t="s">
        <v>188</v>
      </c>
      <c r="D19" s="169" t="s">
        <v>189</v>
      </c>
      <c r="E19" s="169" t="s">
        <v>276</v>
      </c>
      <c r="F19" s="32" t="s">
        <v>307</v>
      </c>
      <c r="G19" s="32">
        <v>175</v>
      </c>
      <c r="H19" s="32" t="s">
        <v>221</v>
      </c>
      <c r="I19" s="32">
        <v>7636</v>
      </c>
      <c r="J19" s="36">
        <v>4276.16</v>
      </c>
      <c r="K19" s="32" t="s">
        <v>3755</v>
      </c>
      <c r="L19" s="169" t="s">
        <v>3756</v>
      </c>
      <c r="M19" s="32" t="s">
        <v>307</v>
      </c>
    </row>
    <row r="20" spans="1:13" x14ac:dyDescent="0.25">
      <c r="A20" s="168">
        <v>46174</v>
      </c>
      <c r="B20" s="32">
        <v>1</v>
      </c>
      <c r="C20" s="32" t="s">
        <v>202</v>
      </c>
      <c r="D20" s="169" t="s">
        <v>214</v>
      </c>
      <c r="E20" s="169" t="s">
        <v>166</v>
      </c>
      <c r="F20" s="32" t="s">
        <v>223</v>
      </c>
      <c r="G20" s="32">
        <v>370</v>
      </c>
      <c r="H20" s="32" t="s">
        <v>165</v>
      </c>
      <c r="I20" s="32">
        <v>6362</v>
      </c>
      <c r="J20" s="36">
        <v>8709.58</v>
      </c>
      <c r="K20" s="32" t="s">
        <v>3757</v>
      </c>
      <c r="L20" s="169" t="s">
        <v>29</v>
      </c>
      <c r="M20" s="32" t="s">
        <v>223</v>
      </c>
    </row>
    <row r="21" spans="1:13" x14ac:dyDescent="0.25">
      <c r="A21" s="168">
        <v>46174</v>
      </c>
      <c r="B21" s="32">
        <v>1</v>
      </c>
      <c r="C21" s="32" t="s">
        <v>219</v>
      </c>
      <c r="D21" s="169" t="s">
        <v>220</v>
      </c>
      <c r="E21" s="169" t="s">
        <v>166</v>
      </c>
      <c r="F21" s="32" t="s">
        <v>164</v>
      </c>
      <c r="G21" s="32">
        <v>58</v>
      </c>
      <c r="H21" s="32" t="s">
        <v>175</v>
      </c>
      <c r="I21" s="32">
        <v>407</v>
      </c>
      <c r="J21" s="36">
        <v>873.42</v>
      </c>
      <c r="K21" s="32" t="s">
        <v>3758</v>
      </c>
      <c r="L21" s="169" t="s">
        <v>86</v>
      </c>
      <c r="M21" s="32" t="s">
        <v>224</v>
      </c>
    </row>
    <row r="22" spans="1:13" x14ac:dyDescent="0.25">
      <c r="A22" s="168">
        <v>46174</v>
      </c>
      <c r="B22" s="32">
        <v>1</v>
      </c>
      <c r="C22" s="32" t="s">
        <v>219</v>
      </c>
      <c r="D22" s="169" t="s">
        <v>220</v>
      </c>
      <c r="E22" s="169" t="s">
        <v>163</v>
      </c>
      <c r="F22" s="32" t="s">
        <v>164</v>
      </c>
      <c r="G22" s="32">
        <v>52</v>
      </c>
      <c r="H22" s="32" t="s">
        <v>175</v>
      </c>
      <c r="I22" s="32">
        <v>581</v>
      </c>
      <c r="J22" s="36">
        <v>1117.8399999999999</v>
      </c>
      <c r="K22" s="32" t="s">
        <v>3759</v>
      </c>
      <c r="L22" s="169" t="s">
        <v>21</v>
      </c>
      <c r="M22" s="32" t="s">
        <v>224</v>
      </c>
    </row>
    <row r="23" spans="1:13" x14ac:dyDescent="0.25">
      <c r="A23" s="168">
        <v>46174</v>
      </c>
      <c r="B23" s="32">
        <v>1</v>
      </c>
      <c r="C23" s="32" t="s">
        <v>275</v>
      </c>
      <c r="D23" s="169" t="s">
        <v>178</v>
      </c>
      <c r="E23" s="169" t="s">
        <v>166</v>
      </c>
      <c r="F23" s="32" t="s">
        <v>164</v>
      </c>
      <c r="G23" s="32">
        <v>58</v>
      </c>
      <c r="H23" s="32" t="s">
        <v>175</v>
      </c>
      <c r="I23" s="32">
        <v>5024</v>
      </c>
      <c r="J23" s="36">
        <v>1078.1500000000001</v>
      </c>
      <c r="K23" s="32" t="s">
        <v>3760</v>
      </c>
      <c r="L23" s="169" t="s">
        <v>86</v>
      </c>
      <c r="M23" s="32" t="s">
        <v>224</v>
      </c>
    </row>
    <row r="24" spans="1:13" x14ac:dyDescent="0.25">
      <c r="A24" s="168">
        <v>46174</v>
      </c>
      <c r="B24" s="32">
        <v>1</v>
      </c>
      <c r="C24" s="32" t="s">
        <v>275</v>
      </c>
      <c r="D24" s="169" t="s">
        <v>178</v>
      </c>
      <c r="E24" s="169" t="s">
        <v>166</v>
      </c>
      <c r="F24" s="32" t="s">
        <v>164</v>
      </c>
      <c r="G24" s="32">
        <v>58</v>
      </c>
      <c r="H24" s="32" t="s">
        <v>165</v>
      </c>
      <c r="I24" s="32">
        <v>4532</v>
      </c>
      <c r="J24" s="36">
        <v>972.57</v>
      </c>
      <c r="K24" s="32" t="s">
        <v>3761</v>
      </c>
      <c r="L24" s="169" t="s">
        <v>27</v>
      </c>
      <c r="M24" s="32" t="s">
        <v>224</v>
      </c>
    </row>
    <row r="25" spans="1:13" x14ac:dyDescent="0.25">
      <c r="A25" s="168">
        <v>46174</v>
      </c>
      <c r="B25" s="32">
        <v>1</v>
      </c>
      <c r="C25" s="32" t="s">
        <v>193</v>
      </c>
      <c r="D25" s="169" t="s">
        <v>285</v>
      </c>
      <c r="E25" s="169" t="s">
        <v>163</v>
      </c>
      <c r="F25" s="32" t="s">
        <v>111</v>
      </c>
      <c r="G25" s="32">
        <v>75</v>
      </c>
      <c r="H25" s="32" t="s">
        <v>185</v>
      </c>
      <c r="I25" s="32">
        <v>2752</v>
      </c>
      <c r="J25" s="36">
        <v>763.68</v>
      </c>
      <c r="K25" s="32" t="s">
        <v>3762</v>
      </c>
      <c r="L25" s="169" t="s">
        <v>3738</v>
      </c>
      <c r="M25" s="32" t="s">
        <v>111</v>
      </c>
    </row>
    <row r="26" spans="1:13" x14ac:dyDescent="0.25">
      <c r="A26" s="168">
        <v>46174</v>
      </c>
      <c r="B26" s="32">
        <v>1</v>
      </c>
      <c r="C26" s="32" t="s">
        <v>193</v>
      </c>
      <c r="D26" s="169" t="s">
        <v>285</v>
      </c>
      <c r="E26" s="169" t="s">
        <v>163</v>
      </c>
      <c r="F26" s="32" t="s">
        <v>111</v>
      </c>
      <c r="G26" s="32">
        <v>75</v>
      </c>
      <c r="H26" s="32" t="s">
        <v>185</v>
      </c>
      <c r="I26" s="32">
        <v>254</v>
      </c>
      <c r="J26" s="36">
        <v>704.85</v>
      </c>
      <c r="K26" s="32" t="s">
        <v>3763</v>
      </c>
      <c r="L26" s="169" t="s">
        <v>3738</v>
      </c>
      <c r="M26" s="32" t="s">
        <v>111</v>
      </c>
    </row>
    <row r="27" spans="1:13" x14ac:dyDescent="0.25">
      <c r="A27" s="168">
        <v>46174</v>
      </c>
      <c r="B27" s="32">
        <v>1</v>
      </c>
      <c r="C27" s="32" t="s">
        <v>270</v>
      </c>
      <c r="D27" s="169" t="s">
        <v>288</v>
      </c>
      <c r="E27" s="169" t="s">
        <v>166</v>
      </c>
      <c r="F27" s="32" t="s">
        <v>223</v>
      </c>
      <c r="G27" s="32">
        <v>370</v>
      </c>
      <c r="H27" s="32" t="s">
        <v>165</v>
      </c>
      <c r="I27" s="32">
        <v>5148</v>
      </c>
      <c r="J27" s="36">
        <v>6095.23</v>
      </c>
      <c r="K27" s="32" t="s">
        <v>3764</v>
      </c>
      <c r="L27" s="169" t="s">
        <v>29</v>
      </c>
      <c r="M27" s="32" t="s">
        <v>223</v>
      </c>
    </row>
    <row r="28" spans="1:13" x14ac:dyDescent="0.25">
      <c r="A28" s="168">
        <v>46174</v>
      </c>
      <c r="B28" s="32">
        <v>1</v>
      </c>
      <c r="C28" s="32" t="s">
        <v>186</v>
      </c>
      <c r="D28" s="169" t="s">
        <v>187</v>
      </c>
      <c r="E28" s="169" t="s">
        <v>276</v>
      </c>
      <c r="F28" s="32" t="s">
        <v>2033</v>
      </c>
      <c r="G28" s="32">
        <v>323</v>
      </c>
      <c r="H28" s="32" t="s">
        <v>207</v>
      </c>
      <c r="I28" s="32">
        <v>5448</v>
      </c>
      <c r="J28" s="36">
        <v>5631.05</v>
      </c>
      <c r="K28" s="32" t="s">
        <v>3765</v>
      </c>
      <c r="L28" s="169" t="s">
        <v>3766</v>
      </c>
      <c r="M28" s="32" t="s">
        <v>15</v>
      </c>
    </row>
    <row r="29" spans="1:13" x14ac:dyDescent="0.25">
      <c r="A29" s="168">
        <v>46174</v>
      </c>
      <c r="B29" s="32">
        <v>1</v>
      </c>
      <c r="C29" s="32" t="s">
        <v>179</v>
      </c>
      <c r="D29" s="169" t="s">
        <v>2863</v>
      </c>
      <c r="E29" s="169" t="s">
        <v>166</v>
      </c>
      <c r="F29" s="32" t="s">
        <v>111</v>
      </c>
      <c r="G29" s="32">
        <v>79</v>
      </c>
      <c r="H29" s="32" t="s">
        <v>169</v>
      </c>
      <c r="I29" s="32">
        <v>260</v>
      </c>
      <c r="J29" s="36">
        <v>759.98</v>
      </c>
      <c r="K29" s="32" t="s">
        <v>3767</v>
      </c>
      <c r="L29" s="169" t="s">
        <v>116</v>
      </c>
      <c r="M29" s="32" t="s">
        <v>111</v>
      </c>
    </row>
    <row r="30" spans="1:13" x14ac:dyDescent="0.25">
      <c r="A30" s="168">
        <v>46174</v>
      </c>
      <c r="B30" s="32">
        <v>1</v>
      </c>
      <c r="C30" s="32" t="s">
        <v>179</v>
      </c>
      <c r="D30" s="169" t="s">
        <v>2863</v>
      </c>
      <c r="E30" s="169" t="s">
        <v>166</v>
      </c>
      <c r="F30" s="32" t="s">
        <v>111</v>
      </c>
      <c r="G30" s="32">
        <v>79</v>
      </c>
      <c r="H30" s="32" t="s">
        <v>169</v>
      </c>
      <c r="I30" s="32">
        <v>2564</v>
      </c>
      <c r="J30" s="36">
        <v>749.46</v>
      </c>
      <c r="K30" s="32" t="s">
        <v>3768</v>
      </c>
      <c r="L30" s="169" t="s">
        <v>116</v>
      </c>
      <c r="M30" s="32" t="s">
        <v>111</v>
      </c>
    </row>
    <row r="31" spans="1:13" x14ac:dyDescent="0.25">
      <c r="A31" s="168">
        <v>46174</v>
      </c>
      <c r="B31" s="32">
        <v>1</v>
      </c>
      <c r="C31" s="32" t="s">
        <v>173</v>
      </c>
      <c r="D31" s="169" t="s">
        <v>174</v>
      </c>
      <c r="E31" s="169" t="s">
        <v>163</v>
      </c>
      <c r="F31" s="32" t="s">
        <v>164</v>
      </c>
      <c r="G31" s="32">
        <v>52</v>
      </c>
      <c r="H31" s="32" t="s">
        <v>175</v>
      </c>
      <c r="I31" s="32">
        <v>2656</v>
      </c>
      <c r="J31" s="36">
        <v>511.01</v>
      </c>
      <c r="K31" s="32" t="s">
        <v>3769</v>
      </c>
      <c r="L31" s="169" t="s">
        <v>21</v>
      </c>
      <c r="M31" s="32" t="s">
        <v>224</v>
      </c>
    </row>
    <row r="32" spans="1:13" x14ac:dyDescent="0.25">
      <c r="A32" s="168">
        <v>46175</v>
      </c>
      <c r="B32" s="32">
        <v>1</v>
      </c>
      <c r="C32" s="32" t="s">
        <v>196</v>
      </c>
      <c r="D32" s="169" t="s">
        <v>197</v>
      </c>
      <c r="E32" s="169" t="s">
        <v>276</v>
      </c>
      <c r="F32" s="32" t="s">
        <v>307</v>
      </c>
      <c r="G32" s="32">
        <v>175</v>
      </c>
      <c r="H32" s="32" t="s">
        <v>165</v>
      </c>
      <c r="I32" s="32">
        <v>794</v>
      </c>
      <c r="J32" s="36">
        <v>4446.3999999999996</v>
      </c>
      <c r="K32" s="32" t="s">
        <v>3770</v>
      </c>
      <c r="L32" s="169" t="s">
        <v>3771</v>
      </c>
      <c r="M32" s="32" t="s">
        <v>307</v>
      </c>
    </row>
    <row r="33" spans="1:13" x14ac:dyDescent="0.25">
      <c r="A33" s="168">
        <v>46175</v>
      </c>
      <c r="B33" s="32">
        <v>1</v>
      </c>
      <c r="C33" s="32" t="s">
        <v>342</v>
      </c>
      <c r="D33" s="169" t="s">
        <v>171</v>
      </c>
      <c r="E33" s="169" t="s">
        <v>163</v>
      </c>
      <c r="F33" s="32" t="s">
        <v>164</v>
      </c>
      <c r="G33" s="32">
        <v>52</v>
      </c>
      <c r="H33" s="32" t="s">
        <v>185</v>
      </c>
      <c r="I33" s="32">
        <v>4504</v>
      </c>
      <c r="J33" s="36">
        <v>866.57</v>
      </c>
      <c r="K33" s="32" t="s">
        <v>3772</v>
      </c>
      <c r="L33" s="169" t="s">
        <v>20</v>
      </c>
      <c r="M33" s="32" t="s">
        <v>224</v>
      </c>
    </row>
    <row r="34" spans="1:13" x14ac:dyDescent="0.25">
      <c r="A34" s="168">
        <v>46175</v>
      </c>
      <c r="B34" s="32">
        <v>1</v>
      </c>
      <c r="C34" s="32" t="s">
        <v>2866</v>
      </c>
      <c r="D34" s="169" t="s">
        <v>281</v>
      </c>
      <c r="E34" s="169" t="s">
        <v>166</v>
      </c>
      <c r="F34" s="32" t="s">
        <v>164</v>
      </c>
      <c r="G34" s="32">
        <v>58</v>
      </c>
      <c r="H34" s="32" t="s">
        <v>165</v>
      </c>
      <c r="I34" s="32">
        <v>4042</v>
      </c>
      <c r="J34" s="36">
        <v>867.41</v>
      </c>
      <c r="K34" s="32" t="s">
        <v>3773</v>
      </c>
      <c r="L34" s="169" t="s">
        <v>27</v>
      </c>
      <c r="M34" s="32" t="s">
        <v>224</v>
      </c>
    </row>
    <row r="35" spans="1:13" x14ac:dyDescent="0.25">
      <c r="A35" s="168">
        <v>46175</v>
      </c>
      <c r="B35" s="32">
        <v>1</v>
      </c>
      <c r="C35" s="32" t="s">
        <v>199</v>
      </c>
      <c r="D35" s="169" t="s">
        <v>180</v>
      </c>
      <c r="E35" s="169" t="s">
        <v>163</v>
      </c>
      <c r="F35" s="32" t="s">
        <v>111</v>
      </c>
      <c r="G35" s="32">
        <v>75</v>
      </c>
      <c r="H35" s="32" t="s">
        <v>185</v>
      </c>
      <c r="I35" s="32">
        <v>2708</v>
      </c>
      <c r="J35" s="36">
        <v>751.47</v>
      </c>
      <c r="K35" s="32" t="s">
        <v>3774</v>
      </c>
      <c r="L35" s="169" t="s">
        <v>3738</v>
      </c>
      <c r="M35" s="32" t="s">
        <v>111</v>
      </c>
    </row>
    <row r="36" spans="1:13" x14ac:dyDescent="0.25">
      <c r="A36" s="168">
        <v>46175</v>
      </c>
      <c r="B36" s="32">
        <v>1</v>
      </c>
      <c r="C36" s="32" t="s">
        <v>342</v>
      </c>
      <c r="D36" s="169" t="s">
        <v>171</v>
      </c>
      <c r="E36" s="169" t="s">
        <v>163</v>
      </c>
      <c r="F36" s="32" t="s">
        <v>164</v>
      </c>
      <c r="G36" s="32">
        <v>52</v>
      </c>
      <c r="H36" s="32" t="s">
        <v>185</v>
      </c>
      <c r="I36" s="32">
        <v>4518</v>
      </c>
      <c r="J36" s="36">
        <v>869.26</v>
      </c>
      <c r="K36" s="32" t="s">
        <v>3775</v>
      </c>
      <c r="L36" s="169" t="s">
        <v>20</v>
      </c>
      <c r="M36" s="32" t="s">
        <v>224</v>
      </c>
    </row>
    <row r="37" spans="1:13" x14ac:dyDescent="0.25">
      <c r="A37" s="168">
        <v>46175</v>
      </c>
      <c r="B37" s="32">
        <v>1</v>
      </c>
      <c r="C37" s="32" t="s">
        <v>192</v>
      </c>
      <c r="D37" s="169" t="s">
        <v>287</v>
      </c>
      <c r="E37" s="169" t="s">
        <v>2868</v>
      </c>
      <c r="F37" s="32" t="s">
        <v>2871</v>
      </c>
      <c r="G37" s="32">
        <v>70</v>
      </c>
      <c r="H37" s="32" t="s">
        <v>2869</v>
      </c>
      <c r="I37" s="32">
        <v>570</v>
      </c>
      <c r="J37" s="36">
        <v>1476.3</v>
      </c>
      <c r="K37" s="32" t="s">
        <v>3776</v>
      </c>
      <c r="L37" s="169" t="s">
        <v>3777</v>
      </c>
      <c r="M37" s="32" t="s">
        <v>157</v>
      </c>
    </row>
    <row r="38" spans="1:13" x14ac:dyDescent="0.25">
      <c r="A38" s="168">
        <v>46175</v>
      </c>
      <c r="B38" s="32">
        <v>1</v>
      </c>
      <c r="C38" s="32" t="s">
        <v>188</v>
      </c>
      <c r="D38" s="169" t="s">
        <v>189</v>
      </c>
      <c r="E38" s="169" t="s">
        <v>276</v>
      </c>
      <c r="F38" s="32" t="s">
        <v>307</v>
      </c>
      <c r="G38" s="32">
        <v>175</v>
      </c>
      <c r="H38" s="32" t="s">
        <v>221</v>
      </c>
      <c r="I38" s="32">
        <v>7184</v>
      </c>
      <c r="J38" s="36">
        <v>4023.04</v>
      </c>
      <c r="K38" s="32" t="s">
        <v>3778</v>
      </c>
      <c r="L38" s="169" t="s">
        <v>3756</v>
      </c>
      <c r="M38" s="32" t="s">
        <v>307</v>
      </c>
    </row>
    <row r="39" spans="1:13" x14ac:dyDescent="0.25">
      <c r="A39" s="168">
        <v>46175</v>
      </c>
      <c r="B39" s="32">
        <v>1</v>
      </c>
      <c r="C39" s="32" t="s">
        <v>202</v>
      </c>
      <c r="D39" s="169" t="s">
        <v>214</v>
      </c>
      <c r="E39" s="169" t="s">
        <v>166</v>
      </c>
      <c r="F39" s="32" t="s">
        <v>191</v>
      </c>
      <c r="G39" s="32">
        <v>243</v>
      </c>
      <c r="H39" s="32" t="s">
        <v>165</v>
      </c>
      <c r="I39" s="32">
        <v>6052</v>
      </c>
      <c r="J39" s="36">
        <v>5441.35</v>
      </c>
      <c r="K39" s="32" t="s">
        <v>3779</v>
      </c>
      <c r="L39" s="169" t="s">
        <v>36</v>
      </c>
      <c r="M39" s="32" t="s">
        <v>3780</v>
      </c>
    </row>
    <row r="40" spans="1:13" x14ac:dyDescent="0.25">
      <c r="A40" s="168">
        <v>46175</v>
      </c>
      <c r="B40" s="32">
        <v>1</v>
      </c>
      <c r="C40" s="32" t="s">
        <v>199</v>
      </c>
      <c r="D40" s="169" t="s">
        <v>180</v>
      </c>
      <c r="E40" s="169" t="s">
        <v>163</v>
      </c>
      <c r="F40" s="32" t="s">
        <v>111</v>
      </c>
      <c r="G40" s="32">
        <v>75</v>
      </c>
      <c r="H40" s="32" t="s">
        <v>185</v>
      </c>
      <c r="I40" s="32">
        <v>2808</v>
      </c>
      <c r="J40" s="36">
        <v>779.22</v>
      </c>
      <c r="K40" s="32" t="s">
        <v>3781</v>
      </c>
      <c r="L40" s="169" t="s">
        <v>3738</v>
      </c>
      <c r="M40" s="32" t="s">
        <v>111</v>
      </c>
    </row>
    <row r="41" spans="1:13" x14ac:dyDescent="0.25">
      <c r="A41" s="168">
        <v>46175</v>
      </c>
      <c r="B41" s="32">
        <v>1</v>
      </c>
      <c r="C41" s="32" t="s">
        <v>275</v>
      </c>
      <c r="D41" s="169" t="s">
        <v>178</v>
      </c>
      <c r="E41" s="169" t="s">
        <v>166</v>
      </c>
      <c r="F41" s="32" t="s">
        <v>164</v>
      </c>
      <c r="G41" s="32">
        <v>58</v>
      </c>
      <c r="H41" s="32" t="s">
        <v>165</v>
      </c>
      <c r="I41" s="32">
        <v>4664</v>
      </c>
      <c r="J41" s="36">
        <v>1000.89</v>
      </c>
      <c r="K41" s="32" t="s">
        <v>3782</v>
      </c>
      <c r="L41" s="169" t="s">
        <v>27</v>
      </c>
      <c r="M41" s="32" t="s">
        <v>224</v>
      </c>
    </row>
    <row r="42" spans="1:13" x14ac:dyDescent="0.25">
      <c r="A42" s="168">
        <v>46175</v>
      </c>
      <c r="B42" s="32">
        <v>1</v>
      </c>
      <c r="C42" s="32" t="s">
        <v>275</v>
      </c>
      <c r="D42" s="169" t="s">
        <v>178</v>
      </c>
      <c r="E42" s="169" t="s">
        <v>166</v>
      </c>
      <c r="F42" s="32" t="s">
        <v>164</v>
      </c>
      <c r="G42" s="32">
        <v>58</v>
      </c>
      <c r="H42" s="32" t="s">
        <v>165</v>
      </c>
      <c r="I42" s="32">
        <v>4648</v>
      </c>
      <c r="J42" s="36">
        <v>997.46</v>
      </c>
      <c r="K42" s="32" t="s">
        <v>3783</v>
      </c>
      <c r="L42" s="169" t="s">
        <v>27</v>
      </c>
      <c r="M42" s="32" t="s">
        <v>224</v>
      </c>
    </row>
    <row r="43" spans="1:13" x14ac:dyDescent="0.25">
      <c r="A43" s="168">
        <v>46175</v>
      </c>
      <c r="B43" s="32">
        <v>1</v>
      </c>
      <c r="C43" s="32" t="s">
        <v>203</v>
      </c>
      <c r="D43" s="169" t="s">
        <v>204</v>
      </c>
      <c r="E43" s="169" t="s">
        <v>3562</v>
      </c>
      <c r="F43" s="32" t="s">
        <v>2868</v>
      </c>
      <c r="G43" s="32">
        <v>56</v>
      </c>
      <c r="H43" s="32" t="s">
        <v>2869</v>
      </c>
      <c r="I43" s="32">
        <v>5158</v>
      </c>
      <c r="J43" s="36">
        <v>1068.74</v>
      </c>
      <c r="K43" s="32" t="s">
        <v>3784</v>
      </c>
      <c r="L43" s="169" t="s">
        <v>3785</v>
      </c>
      <c r="M43" s="32" t="s">
        <v>157</v>
      </c>
    </row>
    <row r="44" spans="1:13" x14ac:dyDescent="0.25">
      <c r="A44" s="168">
        <v>46175</v>
      </c>
      <c r="B44" s="32">
        <v>1</v>
      </c>
      <c r="C44" s="32" t="s">
        <v>208</v>
      </c>
      <c r="D44" s="169" t="s">
        <v>209</v>
      </c>
      <c r="E44" s="169" t="s">
        <v>166</v>
      </c>
      <c r="F44" s="32" t="s">
        <v>191</v>
      </c>
      <c r="G44" s="32">
        <v>243</v>
      </c>
      <c r="H44" s="32" t="s">
        <v>165</v>
      </c>
      <c r="I44" s="32">
        <v>500</v>
      </c>
      <c r="J44" s="36">
        <v>4495.5</v>
      </c>
      <c r="K44" s="32" t="s">
        <v>3786</v>
      </c>
      <c r="L44" s="169" t="s">
        <v>36</v>
      </c>
      <c r="M44" s="32" t="s">
        <v>3780</v>
      </c>
    </row>
    <row r="45" spans="1:13" x14ac:dyDescent="0.25">
      <c r="A45" s="168">
        <v>46175</v>
      </c>
      <c r="B45" s="32">
        <v>1</v>
      </c>
      <c r="C45" s="32" t="s">
        <v>183</v>
      </c>
      <c r="D45" s="169" t="s">
        <v>184</v>
      </c>
      <c r="E45" s="169" t="s">
        <v>163</v>
      </c>
      <c r="F45" s="32" t="s">
        <v>111</v>
      </c>
      <c r="G45" s="32">
        <v>75</v>
      </c>
      <c r="H45" s="32" t="s">
        <v>169</v>
      </c>
      <c r="I45" s="32">
        <v>2702</v>
      </c>
      <c r="J45" s="36">
        <v>749.81</v>
      </c>
      <c r="K45" s="32" t="s">
        <v>3787</v>
      </c>
      <c r="L45" s="169" t="s">
        <v>3742</v>
      </c>
      <c r="M45" s="32" t="s">
        <v>111</v>
      </c>
    </row>
    <row r="46" spans="1:13" x14ac:dyDescent="0.25">
      <c r="A46" s="168">
        <v>46175</v>
      </c>
      <c r="B46" s="32">
        <v>1</v>
      </c>
      <c r="C46" s="32" t="s">
        <v>183</v>
      </c>
      <c r="D46" s="169" t="s">
        <v>184</v>
      </c>
      <c r="E46" s="169" t="s">
        <v>163</v>
      </c>
      <c r="F46" s="32" t="s">
        <v>111</v>
      </c>
      <c r="G46" s="32">
        <v>75</v>
      </c>
      <c r="H46" s="32" t="s">
        <v>169</v>
      </c>
      <c r="I46" s="32">
        <v>2956</v>
      </c>
      <c r="J46" s="36">
        <v>820.29</v>
      </c>
      <c r="K46" s="32" t="s">
        <v>3788</v>
      </c>
      <c r="L46" s="169" t="s">
        <v>3742</v>
      </c>
      <c r="M46" s="32" t="s">
        <v>111</v>
      </c>
    </row>
    <row r="47" spans="1:13" x14ac:dyDescent="0.25">
      <c r="A47" s="168">
        <v>46175</v>
      </c>
      <c r="B47" s="32">
        <v>1</v>
      </c>
      <c r="C47" s="32" t="s">
        <v>183</v>
      </c>
      <c r="D47" s="169" t="s">
        <v>184</v>
      </c>
      <c r="E47" s="169" t="s">
        <v>163</v>
      </c>
      <c r="F47" s="32" t="s">
        <v>111</v>
      </c>
      <c r="G47" s="32">
        <v>75</v>
      </c>
      <c r="H47" s="32" t="s">
        <v>169</v>
      </c>
      <c r="I47" s="32">
        <v>2782</v>
      </c>
      <c r="J47" s="36">
        <v>772.01</v>
      </c>
      <c r="K47" s="32" t="s">
        <v>3789</v>
      </c>
      <c r="L47" s="169" t="s">
        <v>3742</v>
      </c>
      <c r="M47" s="32" t="s">
        <v>111</v>
      </c>
    </row>
    <row r="48" spans="1:13" x14ac:dyDescent="0.25">
      <c r="A48" s="168">
        <v>46175</v>
      </c>
      <c r="B48" s="32">
        <v>1</v>
      </c>
      <c r="C48" s="32" t="s">
        <v>179</v>
      </c>
      <c r="D48" s="169" t="s">
        <v>2863</v>
      </c>
      <c r="E48" s="169" t="s">
        <v>166</v>
      </c>
      <c r="F48" s="32" t="s">
        <v>111</v>
      </c>
      <c r="G48" s="32">
        <v>79</v>
      </c>
      <c r="H48" s="32" t="s">
        <v>169</v>
      </c>
      <c r="I48" s="32">
        <v>254</v>
      </c>
      <c r="J48" s="36">
        <v>742.44</v>
      </c>
      <c r="K48" s="32" t="s">
        <v>3790</v>
      </c>
      <c r="L48" s="169" t="s">
        <v>116</v>
      </c>
      <c r="M48" s="32" t="s">
        <v>111</v>
      </c>
    </row>
    <row r="49" spans="1:13" x14ac:dyDescent="0.25">
      <c r="A49" s="168">
        <v>46175</v>
      </c>
      <c r="B49" s="32">
        <v>1</v>
      </c>
      <c r="C49" s="32" t="s">
        <v>179</v>
      </c>
      <c r="D49" s="169" t="s">
        <v>2863</v>
      </c>
      <c r="E49" s="169" t="s">
        <v>166</v>
      </c>
      <c r="F49" s="32" t="s">
        <v>111</v>
      </c>
      <c r="G49" s="32">
        <v>79</v>
      </c>
      <c r="H49" s="32" t="s">
        <v>169</v>
      </c>
      <c r="I49" s="32">
        <v>2704</v>
      </c>
      <c r="J49" s="36">
        <v>790.38</v>
      </c>
      <c r="K49" s="32" t="s">
        <v>3791</v>
      </c>
      <c r="L49" s="169" t="s">
        <v>116</v>
      </c>
      <c r="M49" s="32" t="s">
        <v>111</v>
      </c>
    </row>
    <row r="50" spans="1:13" x14ac:dyDescent="0.25">
      <c r="A50" s="168">
        <v>46175</v>
      </c>
      <c r="B50" s="32">
        <v>1</v>
      </c>
      <c r="C50" s="32" t="s">
        <v>219</v>
      </c>
      <c r="D50" s="169" t="s">
        <v>220</v>
      </c>
      <c r="E50" s="169" t="s">
        <v>163</v>
      </c>
      <c r="F50" s="32" t="s">
        <v>164</v>
      </c>
      <c r="G50" s="32">
        <v>52</v>
      </c>
      <c r="H50" s="32" t="s">
        <v>165</v>
      </c>
      <c r="I50" s="32">
        <v>625</v>
      </c>
      <c r="J50" s="36">
        <v>1202.5</v>
      </c>
      <c r="K50" s="32" t="s">
        <v>3792</v>
      </c>
      <c r="L50" s="169" t="s">
        <v>31</v>
      </c>
      <c r="M50" s="32" t="s">
        <v>224</v>
      </c>
    </row>
    <row r="51" spans="1:13" x14ac:dyDescent="0.25">
      <c r="A51" s="168">
        <v>46175</v>
      </c>
      <c r="B51" s="32">
        <v>1</v>
      </c>
      <c r="C51" s="32" t="s">
        <v>219</v>
      </c>
      <c r="D51" s="169" t="s">
        <v>220</v>
      </c>
      <c r="E51" s="169" t="s">
        <v>163</v>
      </c>
      <c r="F51" s="32" t="s">
        <v>164</v>
      </c>
      <c r="G51" s="32">
        <v>52</v>
      </c>
      <c r="H51" s="32" t="s">
        <v>165</v>
      </c>
      <c r="I51" s="32">
        <v>599</v>
      </c>
      <c r="J51" s="36">
        <v>1152.48</v>
      </c>
      <c r="K51" s="32" t="s">
        <v>3793</v>
      </c>
      <c r="L51" s="169" t="s">
        <v>31</v>
      </c>
      <c r="M51" s="32" t="s">
        <v>224</v>
      </c>
    </row>
    <row r="52" spans="1:13" x14ac:dyDescent="0.25">
      <c r="A52" s="168">
        <v>46175</v>
      </c>
      <c r="B52" s="32">
        <v>1</v>
      </c>
      <c r="C52" s="32" t="s">
        <v>219</v>
      </c>
      <c r="D52" s="169" t="s">
        <v>220</v>
      </c>
      <c r="E52" s="169" t="s">
        <v>163</v>
      </c>
      <c r="F52" s="32" t="s">
        <v>164</v>
      </c>
      <c r="G52" s="32">
        <v>52</v>
      </c>
      <c r="H52" s="32" t="s">
        <v>175</v>
      </c>
      <c r="I52" s="32">
        <v>423</v>
      </c>
      <c r="J52" s="36">
        <v>813.85</v>
      </c>
      <c r="K52" s="32" t="s">
        <v>3794</v>
      </c>
      <c r="L52" s="169" t="s">
        <v>21</v>
      </c>
      <c r="M52" s="32" t="s">
        <v>224</v>
      </c>
    </row>
    <row r="53" spans="1:13" x14ac:dyDescent="0.25">
      <c r="A53" s="168">
        <v>46175</v>
      </c>
      <c r="B53" s="32">
        <v>1</v>
      </c>
      <c r="C53" s="32" t="s">
        <v>219</v>
      </c>
      <c r="D53" s="169" t="s">
        <v>220</v>
      </c>
      <c r="E53" s="169" t="s">
        <v>163</v>
      </c>
      <c r="F53" s="32" t="s">
        <v>164</v>
      </c>
      <c r="G53" s="32">
        <v>52</v>
      </c>
      <c r="H53" s="32" t="s">
        <v>175</v>
      </c>
      <c r="I53" s="32">
        <v>419</v>
      </c>
      <c r="J53" s="36">
        <v>806.16</v>
      </c>
      <c r="K53" s="32" t="s">
        <v>3795</v>
      </c>
      <c r="L53" s="169" t="s">
        <v>21</v>
      </c>
      <c r="M53" s="32" t="s">
        <v>224</v>
      </c>
    </row>
    <row r="54" spans="1:13" x14ac:dyDescent="0.25">
      <c r="A54" s="168">
        <v>46175</v>
      </c>
      <c r="B54" s="32">
        <v>1</v>
      </c>
      <c r="C54" s="32" t="s">
        <v>193</v>
      </c>
      <c r="D54" s="169" t="s">
        <v>285</v>
      </c>
      <c r="E54" s="169" t="s">
        <v>163</v>
      </c>
      <c r="F54" s="32" t="s">
        <v>111</v>
      </c>
      <c r="G54" s="32">
        <v>75</v>
      </c>
      <c r="H54" s="32" t="s">
        <v>185</v>
      </c>
      <c r="I54" s="32">
        <v>2632</v>
      </c>
      <c r="J54" s="36">
        <v>730.38</v>
      </c>
      <c r="K54" s="32" t="s">
        <v>3796</v>
      </c>
      <c r="L54" s="169" t="s">
        <v>3738</v>
      </c>
      <c r="M54" s="32" t="s">
        <v>111</v>
      </c>
    </row>
    <row r="55" spans="1:13" x14ac:dyDescent="0.25">
      <c r="A55" s="168">
        <v>46175</v>
      </c>
      <c r="B55" s="32">
        <v>1</v>
      </c>
      <c r="C55" s="32" t="s">
        <v>193</v>
      </c>
      <c r="D55" s="169" t="s">
        <v>285</v>
      </c>
      <c r="E55" s="169" t="s">
        <v>163</v>
      </c>
      <c r="F55" s="32" t="s">
        <v>111</v>
      </c>
      <c r="G55" s="32">
        <v>75</v>
      </c>
      <c r="H55" s="32" t="s">
        <v>185</v>
      </c>
      <c r="I55" s="32">
        <v>2656</v>
      </c>
      <c r="J55" s="36">
        <v>737.04</v>
      </c>
      <c r="K55" s="32" t="s">
        <v>3797</v>
      </c>
      <c r="L55" s="169" t="s">
        <v>3738</v>
      </c>
      <c r="M55" s="32" t="s">
        <v>111</v>
      </c>
    </row>
    <row r="56" spans="1:13" x14ac:dyDescent="0.25">
      <c r="A56" s="168">
        <v>46175</v>
      </c>
      <c r="B56" s="32">
        <v>1</v>
      </c>
      <c r="C56" s="32" t="s">
        <v>1129</v>
      </c>
      <c r="D56" s="169" t="s">
        <v>2396</v>
      </c>
      <c r="E56" s="169" t="s">
        <v>163</v>
      </c>
      <c r="F56" s="32" t="s">
        <v>111</v>
      </c>
      <c r="G56" s="32">
        <v>75</v>
      </c>
      <c r="H56" s="32" t="s">
        <v>185</v>
      </c>
      <c r="I56" s="32">
        <v>260</v>
      </c>
      <c r="J56" s="36">
        <v>721.5</v>
      </c>
      <c r="K56" s="32" t="s">
        <v>3798</v>
      </c>
      <c r="L56" s="169" t="s">
        <v>3738</v>
      </c>
      <c r="M56" s="32" t="s">
        <v>111</v>
      </c>
    </row>
    <row r="57" spans="1:13" x14ac:dyDescent="0.25">
      <c r="A57" s="168">
        <v>46175</v>
      </c>
      <c r="B57" s="32">
        <v>1</v>
      </c>
      <c r="C57" s="32" t="s">
        <v>1129</v>
      </c>
      <c r="D57" s="169" t="s">
        <v>2396</v>
      </c>
      <c r="E57" s="169" t="s">
        <v>163</v>
      </c>
      <c r="F57" s="32" t="s">
        <v>111</v>
      </c>
      <c r="G57" s="32">
        <v>75</v>
      </c>
      <c r="H57" s="32" t="s">
        <v>185</v>
      </c>
      <c r="I57" s="32">
        <v>282</v>
      </c>
      <c r="J57" s="36">
        <v>782.55</v>
      </c>
      <c r="K57" s="32" t="s">
        <v>3799</v>
      </c>
      <c r="L57" s="169" t="s">
        <v>3738</v>
      </c>
      <c r="M57" s="32" t="s">
        <v>111</v>
      </c>
    </row>
    <row r="58" spans="1:13" x14ac:dyDescent="0.25">
      <c r="A58" s="168">
        <v>46175</v>
      </c>
      <c r="B58" s="32">
        <v>1</v>
      </c>
      <c r="C58" s="32" t="s">
        <v>270</v>
      </c>
      <c r="D58" s="169" t="s">
        <v>288</v>
      </c>
      <c r="E58" s="169" t="s">
        <v>166</v>
      </c>
      <c r="F58" s="32" t="s">
        <v>191</v>
      </c>
      <c r="G58" s="32">
        <v>243</v>
      </c>
      <c r="H58" s="32" t="s">
        <v>165</v>
      </c>
      <c r="I58" s="32">
        <v>4812</v>
      </c>
      <c r="J58" s="36">
        <v>3741.81</v>
      </c>
      <c r="K58" s="32" t="s">
        <v>3800</v>
      </c>
      <c r="L58" s="169" t="s">
        <v>36</v>
      </c>
      <c r="M58" s="32" t="s">
        <v>3780</v>
      </c>
    </row>
    <row r="59" spans="1:13" x14ac:dyDescent="0.25">
      <c r="A59" s="168">
        <v>46175</v>
      </c>
      <c r="B59" s="32">
        <v>1</v>
      </c>
      <c r="C59" s="32" t="s">
        <v>286</v>
      </c>
      <c r="D59" s="169" t="s">
        <v>506</v>
      </c>
      <c r="E59" s="169" t="s">
        <v>163</v>
      </c>
      <c r="F59" s="32" t="s">
        <v>164</v>
      </c>
      <c r="G59" s="32">
        <v>52</v>
      </c>
      <c r="H59" s="32" t="s">
        <v>175</v>
      </c>
      <c r="I59" s="32">
        <v>4582</v>
      </c>
      <c r="J59" s="36">
        <v>881.58</v>
      </c>
      <c r="K59" s="32" t="s">
        <v>3801</v>
      </c>
      <c r="L59" s="169" t="s">
        <v>21</v>
      </c>
      <c r="M59" s="32" t="s">
        <v>224</v>
      </c>
    </row>
    <row r="60" spans="1:13" x14ac:dyDescent="0.25">
      <c r="A60" s="168">
        <v>46175</v>
      </c>
      <c r="B60" s="32">
        <v>1</v>
      </c>
      <c r="C60" s="32" t="s">
        <v>286</v>
      </c>
      <c r="D60" s="169" t="s">
        <v>506</v>
      </c>
      <c r="E60" s="169" t="s">
        <v>163</v>
      </c>
      <c r="F60" s="32" t="s">
        <v>164</v>
      </c>
      <c r="G60" s="32">
        <v>52</v>
      </c>
      <c r="H60" s="32" t="s">
        <v>175</v>
      </c>
      <c r="I60" s="32">
        <v>4604</v>
      </c>
      <c r="J60" s="36">
        <v>885.81</v>
      </c>
      <c r="K60" s="32" t="s">
        <v>3802</v>
      </c>
      <c r="L60" s="169" t="s">
        <v>21</v>
      </c>
      <c r="M60" s="32" t="s">
        <v>224</v>
      </c>
    </row>
    <row r="61" spans="1:13" x14ac:dyDescent="0.25">
      <c r="A61" s="168">
        <v>46175</v>
      </c>
      <c r="B61" s="32">
        <v>1</v>
      </c>
      <c r="C61" s="32" t="s">
        <v>173</v>
      </c>
      <c r="D61" s="169" t="s">
        <v>174</v>
      </c>
      <c r="E61" s="169" t="s">
        <v>166</v>
      </c>
      <c r="F61" s="32" t="s">
        <v>111</v>
      </c>
      <c r="G61" s="32">
        <v>79</v>
      </c>
      <c r="H61" s="32" t="s">
        <v>172</v>
      </c>
      <c r="I61" s="32">
        <v>2508</v>
      </c>
      <c r="J61" s="36">
        <v>733.09</v>
      </c>
      <c r="K61" s="32" t="s">
        <v>3803</v>
      </c>
      <c r="L61" s="169" t="s">
        <v>117</v>
      </c>
      <c r="M61" s="32" t="s">
        <v>111</v>
      </c>
    </row>
    <row r="62" spans="1:13" x14ac:dyDescent="0.25">
      <c r="A62" s="168">
        <v>46175</v>
      </c>
      <c r="B62" s="32">
        <v>1</v>
      </c>
      <c r="C62" s="32" t="s">
        <v>173</v>
      </c>
      <c r="D62" s="169" t="s">
        <v>174</v>
      </c>
      <c r="E62" s="169" t="s">
        <v>166</v>
      </c>
      <c r="F62" s="32" t="s">
        <v>111</v>
      </c>
      <c r="G62" s="32">
        <v>79</v>
      </c>
      <c r="H62" s="32" t="s">
        <v>172</v>
      </c>
      <c r="I62" s="32">
        <v>2422</v>
      </c>
      <c r="J62" s="36">
        <v>707.95</v>
      </c>
      <c r="K62" s="32" t="s">
        <v>3804</v>
      </c>
      <c r="L62" s="169" t="s">
        <v>117</v>
      </c>
      <c r="M62" s="32" t="s">
        <v>111</v>
      </c>
    </row>
    <row r="63" spans="1:13" x14ac:dyDescent="0.25">
      <c r="A63" s="168">
        <v>46176</v>
      </c>
      <c r="B63" s="32">
        <v>1</v>
      </c>
      <c r="C63" s="32" t="s">
        <v>219</v>
      </c>
      <c r="D63" s="169" t="s">
        <v>220</v>
      </c>
      <c r="E63" s="169" t="s">
        <v>166</v>
      </c>
      <c r="F63" s="32" t="s">
        <v>164</v>
      </c>
      <c r="G63" s="32">
        <v>58</v>
      </c>
      <c r="H63" s="32" t="s">
        <v>165</v>
      </c>
      <c r="I63" s="32">
        <v>365</v>
      </c>
      <c r="J63" s="36">
        <v>783.29</v>
      </c>
      <c r="K63" s="32" t="s">
        <v>3805</v>
      </c>
      <c r="L63" s="169" t="s">
        <v>27</v>
      </c>
      <c r="M63" s="32" t="s">
        <v>224</v>
      </c>
    </row>
    <row r="64" spans="1:13" x14ac:dyDescent="0.25">
      <c r="A64" s="168">
        <v>46176</v>
      </c>
      <c r="B64" s="32">
        <v>1</v>
      </c>
      <c r="C64" s="32" t="s">
        <v>219</v>
      </c>
      <c r="D64" s="169" t="s">
        <v>220</v>
      </c>
      <c r="E64" s="169" t="s">
        <v>166</v>
      </c>
      <c r="F64" s="32" t="s">
        <v>164</v>
      </c>
      <c r="G64" s="32">
        <v>58</v>
      </c>
      <c r="H64" s="32" t="s">
        <v>175</v>
      </c>
      <c r="I64" s="32">
        <v>368</v>
      </c>
      <c r="J64" s="36">
        <v>789.73</v>
      </c>
      <c r="K64" s="32" t="s">
        <v>3806</v>
      </c>
      <c r="L64" s="169" t="s">
        <v>86</v>
      </c>
      <c r="M64" s="32" t="s">
        <v>224</v>
      </c>
    </row>
    <row r="65" spans="1:13" x14ac:dyDescent="0.25">
      <c r="A65" s="168">
        <v>46176</v>
      </c>
      <c r="B65" s="32">
        <v>1</v>
      </c>
      <c r="C65" s="32" t="s">
        <v>2866</v>
      </c>
      <c r="D65" s="169" t="s">
        <v>281</v>
      </c>
      <c r="E65" s="169" t="s">
        <v>166</v>
      </c>
      <c r="F65" s="32" t="s">
        <v>164</v>
      </c>
      <c r="G65" s="32">
        <v>58</v>
      </c>
      <c r="H65" s="32" t="s">
        <v>165</v>
      </c>
      <c r="I65" s="32">
        <v>4638</v>
      </c>
      <c r="J65" s="36">
        <v>995.31</v>
      </c>
      <c r="K65" s="32" t="s">
        <v>3807</v>
      </c>
      <c r="L65" s="169" t="s">
        <v>27</v>
      </c>
      <c r="M65" s="32" t="s">
        <v>224</v>
      </c>
    </row>
    <row r="66" spans="1:13" x14ac:dyDescent="0.25">
      <c r="A66" s="168">
        <v>46176</v>
      </c>
      <c r="B66" s="32">
        <v>1</v>
      </c>
      <c r="C66" s="32" t="s">
        <v>1129</v>
      </c>
      <c r="D66" s="169" t="s">
        <v>2396</v>
      </c>
      <c r="E66" s="169" t="s">
        <v>163</v>
      </c>
      <c r="F66" s="32" t="s">
        <v>164</v>
      </c>
      <c r="G66" s="32">
        <v>52</v>
      </c>
      <c r="H66" s="32" t="s">
        <v>175</v>
      </c>
      <c r="I66" s="32">
        <v>2906</v>
      </c>
      <c r="J66" s="36">
        <v>559.11</v>
      </c>
      <c r="K66" s="32" t="s">
        <v>3808</v>
      </c>
      <c r="L66" s="169" t="s">
        <v>21</v>
      </c>
      <c r="M66" s="32" t="s">
        <v>224</v>
      </c>
    </row>
    <row r="67" spans="1:13" x14ac:dyDescent="0.25">
      <c r="A67" s="168">
        <v>46176</v>
      </c>
      <c r="B67" s="32">
        <v>1</v>
      </c>
      <c r="C67" s="32" t="s">
        <v>342</v>
      </c>
      <c r="D67" s="169" t="s">
        <v>171</v>
      </c>
      <c r="E67" s="169" t="s">
        <v>163</v>
      </c>
      <c r="F67" s="32" t="s">
        <v>164</v>
      </c>
      <c r="G67" s="32">
        <v>52</v>
      </c>
      <c r="H67" s="32" t="s">
        <v>185</v>
      </c>
      <c r="I67" s="32">
        <v>4536</v>
      </c>
      <c r="J67" s="36">
        <v>872.73</v>
      </c>
      <c r="K67" s="32" t="s">
        <v>3809</v>
      </c>
      <c r="L67" s="169" t="s">
        <v>20</v>
      </c>
      <c r="M67" s="32" t="s">
        <v>224</v>
      </c>
    </row>
    <row r="68" spans="1:13" x14ac:dyDescent="0.25">
      <c r="A68" s="168">
        <v>46176</v>
      </c>
      <c r="B68" s="32">
        <v>1</v>
      </c>
      <c r="C68" s="32" t="s">
        <v>199</v>
      </c>
      <c r="D68" s="169" t="s">
        <v>180</v>
      </c>
      <c r="E68" s="169" t="s">
        <v>163</v>
      </c>
      <c r="F68" s="32" t="s">
        <v>111</v>
      </c>
      <c r="G68" s="32">
        <v>75</v>
      </c>
      <c r="H68" s="32" t="s">
        <v>185</v>
      </c>
      <c r="I68" s="32">
        <v>284</v>
      </c>
      <c r="J68" s="36">
        <v>788.1</v>
      </c>
      <c r="K68" s="32" t="s">
        <v>3810</v>
      </c>
      <c r="L68" s="169" t="s">
        <v>3738</v>
      </c>
      <c r="M68" s="32" t="s">
        <v>111</v>
      </c>
    </row>
    <row r="69" spans="1:13" x14ac:dyDescent="0.25">
      <c r="A69" s="168">
        <v>46176</v>
      </c>
      <c r="B69" s="32">
        <v>1</v>
      </c>
      <c r="C69" s="32" t="s">
        <v>2866</v>
      </c>
      <c r="D69" s="169" t="s">
        <v>281</v>
      </c>
      <c r="E69" s="169" t="s">
        <v>166</v>
      </c>
      <c r="F69" s="32" t="s">
        <v>164</v>
      </c>
      <c r="G69" s="32">
        <v>58</v>
      </c>
      <c r="H69" s="32" t="s">
        <v>195</v>
      </c>
      <c r="I69" s="32">
        <v>271</v>
      </c>
      <c r="J69" s="36">
        <v>581.57000000000005</v>
      </c>
      <c r="K69" s="32" t="s">
        <v>3811</v>
      </c>
      <c r="L69" s="169" t="s">
        <v>91</v>
      </c>
      <c r="M69" s="32" t="s">
        <v>224</v>
      </c>
    </row>
    <row r="70" spans="1:13" x14ac:dyDescent="0.25">
      <c r="A70" s="168">
        <v>46176</v>
      </c>
      <c r="B70" s="32">
        <v>1</v>
      </c>
      <c r="C70" s="32" t="s">
        <v>270</v>
      </c>
      <c r="D70" s="169" t="s">
        <v>288</v>
      </c>
      <c r="E70" s="169" t="s">
        <v>163</v>
      </c>
      <c r="F70" s="32" t="s">
        <v>164</v>
      </c>
      <c r="G70" s="32">
        <v>52</v>
      </c>
      <c r="H70" s="32" t="s">
        <v>165</v>
      </c>
      <c r="I70" s="32">
        <v>4724</v>
      </c>
      <c r="J70" s="36">
        <v>908.9</v>
      </c>
      <c r="K70" s="32" t="s">
        <v>3812</v>
      </c>
      <c r="L70" s="169" t="s">
        <v>31</v>
      </c>
      <c r="M70" s="32" t="s">
        <v>224</v>
      </c>
    </row>
    <row r="71" spans="1:13" x14ac:dyDescent="0.25">
      <c r="A71" s="168">
        <v>46176</v>
      </c>
      <c r="B71" s="32">
        <v>1</v>
      </c>
      <c r="C71" s="32" t="s">
        <v>196</v>
      </c>
      <c r="D71" s="169" t="s">
        <v>197</v>
      </c>
      <c r="E71" s="169" t="s">
        <v>276</v>
      </c>
      <c r="F71" s="32" t="s">
        <v>307</v>
      </c>
      <c r="G71" s="32">
        <v>175</v>
      </c>
      <c r="H71" s="32" t="s">
        <v>165</v>
      </c>
      <c r="I71" s="32">
        <v>7364</v>
      </c>
      <c r="J71" s="36">
        <v>4123.84</v>
      </c>
      <c r="K71" s="32" t="s">
        <v>3813</v>
      </c>
      <c r="L71" s="169" t="s">
        <v>3771</v>
      </c>
      <c r="M71" s="32" t="s">
        <v>307</v>
      </c>
    </row>
    <row r="72" spans="1:13" x14ac:dyDescent="0.25">
      <c r="A72" s="168">
        <v>46176</v>
      </c>
      <c r="B72" s="32">
        <v>1</v>
      </c>
      <c r="C72" s="32" t="s">
        <v>208</v>
      </c>
      <c r="D72" s="169" t="s">
        <v>209</v>
      </c>
      <c r="E72" s="169" t="s">
        <v>163</v>
      </c>
      <c r="F72" s="32" t="s">
        <v>164</v>
      </c>
      <c r="G72" s="32">
        <v>52</v>
      </c>
      <c r="H72" s="32" t="s">
        <v>175</v>
      </c>
      <c r="I72" s="32">
        <v>520</v>
      </c>
      <c r="J72" s="36">
        <v>1000.48</v>
      </c>
      <c r="K72" s="32" t="s">
        <v>3814</v>
      </c>
      <c r="L72" s="169" t="s">
        <v>21</v>
      </c>
      <c r="M72" s="32" t="s">
        <v>224</v>
      </c>
    </row>
    <row r="73" spans="1:13" x14ac:dyDescent="0.25">
      <c r="A73" s="168">
        <v>46176</v>
      </c>
      <c r="B73" s="32">
        <v>1</v>
      </c>
      <c r="C73" s="32" t="s">
        <v>188</v>
      </c>
      <c r="D73" s="169" t="s">
        <v>189</v>
      </c>
      <c r="E73" s="169" t="s">
        <v>276</v>
      </c>
      <c r="F73" s="32" t="s">
        <v>2033</v>
      </c>
      <c r="G73" s="32">
        <v>323</v>
      </c>
      <c r="H73" s="32" t="s">
        <v>172</v>
      </c>
      <c r="I73" s="32">
        <v>7402</v>
      </c>
      <c r="J73" s="36">
        <v>7650.71</v>
      </c>
      <c r="K73" s="32" t="s">
        <v>3815</v>
      </c>
      <c r="L73" s="169" t="s">
        <v>3735</v>
      </c>
      <c r="M73" s="32" t="s">
        <v>15</v>
      </c>
    </row>
    <row r="74" spans="1:13" x14ac:dyDescent="0.25">
      <c r="A74" s="168">
        <v>46176</v>
      </c>
      <c r="B74" s="32">
        <v>1</v>
      </c>
      <c r="C74" s="32" t="s">
        <v>205</v>
      </c>
      <c r="D74" s="169" t="s">
        <v>206</v>
      </c>
      <c r="E74" s="169" t="s">
        <v>276</v>
      </c>
      <c r="F74" s="32" t="s">
        <v>2033</v>
      </c>
      <c r="G74" s="32">
        <v>323</v>
      </c>
      <c r="H74" s="32" t="s">
        <v>185</v>
      </c>
      <c r="I74" s="32">
        <v>657</v>
      </c>
      <c r="J74" s="36">
        <v>6790.75</v>
      </c>
      <c r="K74" s="32" t="s">
        <v>3816</v>
      </c>
      <c r="L74" s="169" t="s">
        <v>3817</v>
      </c>
      <c r="M74" s="32" t="s">
        <v>15</v>
      </c>
    </row>
    <row r="75" spans="1:13" x14ac:dyDescent="0.25">
      <c r="A75" s="168">
        <v>46176</v>
      </c>
      <c r="B75" s="32">
        <v>1</v>
      </c>
      <c r="C75" s="32" t="s">
        <v>173</v>
      </c>
      <c r="D75" s="169" t="s">
        <v>174</v>
      </c>
      <c r="E75" s="169" t="s">
        <v>166</v>
      </c>
      <c r="F75" s="32" t="s">
        <v>111</v>
      </c>
      <c r="G75" s="32">
        <v>79</v>
      </c>
      <c r="H75" s="32" t="s">
        <v>172</v>
      </c>
      <c r="I75" s="32">
        <v>2546</v>
      </c>
      <c r="J75" s="36">
        <v>744.2</v>
      </c>
      <c r="K75" s="32" t="s">
        <v>3818</v>
      </c>
      <c r="L75" s="169" t="s">
        <v>117</v>
      </c>
      <c r="M75" s="32" t="s">
        <v>111</v>
      </c>
    </row>
    <row r="76" spans="1:13" x14ac:dyDescent="0.25">
      <c r="A76" s="168">
        <v>46176</v>
      </c>
      <c r="B76" s="32">
        <v>1</v>
      </c>
      <c r="C76" s="32" t="s">
        <v>173</v>
      </c>
      <c r="D76" s="169" t="s">
        <v>174</v>
      </c>
      <c r="E76" s="169" t="s">
        <v>166</v>
      </c>
      <c r="F76" s="32" t="s">
        <v>111</v>
      </c>
      <c r="G76" s="32">
        <v>79</v>
      </c>
      <c r="H76" s="32" t="s">
        <v>169</v>
      </c>
      <c r="I76" s="32">
        <v>2616</v>
      </c>
      <c r="J76" s="36">
        <v>764.66</v>
      </c>
      <c r="K76" s="32" t="s">
        <v>3819</v>
      </c>
      <c r="L76" s="169" t="s">
        <v>116</v>
      </c>
      <c r="M76" s="32" t="s">
        <v>111</v>
      </c>
    </row>
    <row r="77" spans="1:13" x14ac:dyDescent="0.25">
      <c r="A77" s="168">
        <v>46176</v>
      </c>
      <c r="B77" s="32">
        <v>1</v>
      </c>
      <c r="C77" s="32" t="s">
        <v>283</v>
      </c>
      <c r="D77" s="169" t="s">
        <v>282</v>
      </c>
      <c r="E77" s="169" t="s">
        <v>163</v>
      </c>
      <c r="F77" s="32" t="s">
        <v>111</v>
      </c>
      <c r="G77" s="32">
        <v>75</v>
      </c>
      <c r="H77" s="32" t="s">
        <v>292</v>
      </c>
      <c r="I77" s="32">
        <v>2752</v>
      </c>
      <c r="J77" s="36">
        <v>763.68</v>
      </c>
      <c r="K77" s="32" t="s">
        <v>3820</v>
      </c>
      <c r="L77" s="169" t="s">
        <v>3821</v>
      </c>
      <c r="M77" s="32" t="s">
        <v>111</v>
      </c>
    </row>
    <row r="78" spans="1:13" x14ac:dyDescent="0.25">
      <c r="A78" s="168">
        <v>46176</v>
      </c>
      <c r="B78" s="32">
        <v>1</v>
      </c>
      <c r="C78" s="32" t="s">
        <v>296</v>
      </c>
      <c r="D78" s="169" t="s">
        <v>1536</v>
      </c>
      <c r="E78" s="169" t="s">
        <v>276</v>
      </c>
      <c r="F78" s="32" t="s">
        <v>277</v>
      </c>
      <c r="G78" s="32">
        <v>118</v>
      </c>
      <c r="H78" s="32" t="s">
        <v>165</v>
      </c>
      <c r="I78" s="32">
        <v>4138</v>
      </c>
      <c r="J78" s="36">
        <v>1562.51</v>
      </c>
      <c r="K78" s="32" t="s">
        <v>3822</v>
      </c>
      <c r="L78" s="169" t="s">
        <v>24</v>
      </c>
      <c r="M78" s="32" t="s">
        <v>15</v>
      </c>
    </row>
    <row r="79" spans="1:13" x14ac:dyDescent="0.25">
      <c r="A79" s="168">
        <v>46176</v>
      </c>
      <c r="B79" s="32">
        <v>1</v>
      </c>
      <c r="C79" s="32" t="s">
        <v>219</v>
      </c>
      <c r="D79" s="169" t="s">
        <v>220</v>
      </c>
      <c r="E79" s="169" t="s">
        <v>163</v>
      </c>
      <c r="F79" s="32" t="s">
        <v>164</v>
      </c>
      <c r="G79" s="32">
        <v>52</v>
      </c>
      <c r="H79" s="32" t="s">
        <v>175</v>
      </c>
      <c r="I79" s="32">
        <v>610</v>
      </c>
      <c r="J79" s="36">
        <v>1173.6400000000001</v>
      </c>
      <c r="K79" s="32" t="s">
        <v>3823</v>
      </c>
      <c r="L79" s="169" t="s">
        <v>21</v>
      </c>
      <c r="M79" s="32" t="s">
        <v>224</v>
      </c>
    </row>
    <row r="80" spans="1:13" x14ac:dyDescent="0.25">
      <c r="A80" s="168">
        <v>46176</v>
      </c>
      <c r="B80" s="32">
        <v>1</v>
      </c>
      <c r="C80" s="32" t="s">
        <v>1948</v>
      </c>
      <c r="D80" s="169" t="s">
        <v>1949</v>
      </c>
      <c r="E80" s="169" t="s">
        <v>2868</v>
      </c>
      <c r="F80" s="32" t="s">
        <v>2881</v>
      </c>
      <c r="G80" s="32">
        <v>62</v>
      </c>
      <c r="H80" s="32" t="s">
        <v>2869</v>
      </c>
      <c r="I80" s="32">
        <v>521</v>
      </c>
      <c r="J80" s="36">
        <v>1195.17</v>
      </c>
      <c r="K80" s="32" t="s">
        <v>3824</v>
      </c>
      <c r="L80" s="169" t="s">
        <v>3825</v>
      </c>
      <c r="M80" s="32" t="s">
        <v>157</v>
      </c>
    </row>
    <row r="81" spans="1:13" x14ac:dyDescent="0.25">
      <c r="A81" s="168">
        <v>46176</v>
      </c>
      <c r="B81" s="32">
        <v>1</v>
      </c>
      <c r="C81" s="32" t="s">
        <v>286</v>
      </c>
      <c r="D81" s="169" t="s">
        <v>506</v>
      </c>
      <c r="E81" s="169" t="s">
        <v>163</v>
      </c>
      <c r="F81" s="32" t="s">
        <v>164</v>
      </c>
      <c r="G81" s="32">
        <v>52</v>
      </c>
      <c r="H81" s="32" t="s">
        <v>175</v>
      </c>
      <c r="I81" s="32">
        <v>460</v>
      </c>
      <c r="J81" s="36">
        <v>885.04</v>
      </c>
      <c r="K81" s="32" t="s">
        <v>3826</v>
      </c>
      <c r="L81" s="169" t="s">
        <v>21</v>
      </c>
      <c r="M81" s="32" t="s">
        <v>224</v>
      </c>
    </row>
    <row r="82" spans="1:13" x14ac:dyDescent="0.25">
      <c r="A82" s="168">
        <v>46176</v>
      </c>
      <c r="B82" s="32">
        <v>1</v>
      </c>
      <c r="C82" s="32" t="s">
        <v>183</v>
      </c>
      <c r="D82" s="169" t="s">
        <v>184</v>
      </c>
      <c r="E82" s="169" t="s">
        <v>163</v>
      </c>
      <c r="F82" s="32" t="s">
        <v>111</v>
      </c>
      <c r="G82" s="32">
        <v>75</v>
      </c>
      <c r="H82" s="32" t="s">
        <v>185</v>
      </c>
      <c r="I82" s="32">
        <v>2774</v>
      </c>
      <c r="J82" s="36">
        <v>769.79</v>
      </c>
      <c r="K82" s="32" t="s">
        <v>3827</v>
      </c>
      <c r="L82" s="169" t="s">
        <v>3738</v>
      </c>
      <c r="M82" s="32" t="s">
        <v>111</v>
      </c>
    </row>
    <row r="83" spans="1:13" x14ac:dyDescent="0.25">
      <c r="A83" s="168">
        <v>46176</v>
      </c>
      <c r="B83" s="32">
        <v>1</v>
      </c>
      <c r="C83" s="32" t="s">
        <v>193</v>
      </c>
      <c r="D83" s="169" t="s">
        <v>285</v>
      </c>
      <c r="E83" s="169" t="s">
        <v>163</v>
      </c>
      <c r="F83" s="32" t="s">
        <v>111</v>
      </c>
      <c r="G83" s="32">
        <v>75</v>
      </c>
      <c r="H83" s="32" t="s">
        <v>185</v>
      </c>
      <c r="I83" s="32">
        <v>26168</v>
      </c>
      <c r="J83" s="36">
        <v>726.16</v>
      </c>
      <c r="K83" s="32" t="s">
        <v>3828</v>
      </c>
      <c r="L83" s="169" t="s">
        <v>3738</v>
      </c>
      <c r="M83" s="32" t="s">
        <v>111</v>
      </c>
    </row>
    <row r="84" spans="1:13" x14ac:dyDescent="0.25">
      <c r="A84" s="168">
        <v>46176</v>
      </c>
      <c r="B84" s="32">
        <v>1</v>
      </c>
      <c r="C84" s="32" t="s">
        <v>275</v>
      </c>
      <c r="D84" s="169" t="s">
        <v>178</v>
      </c>
      <c r="E84" s="169" t="s">
        <v>166</v>
      </c>
      <c r="F84" s="32" t="s">
        <v>164</v>
      </c>
      <c r="G84" s="32">
        <v>58</v>
      </c>
      <c r="H84" s="32" t="s">
        <v>165</v>
      </c>
      <c r="I84" s="32">
        <v>4606</v>
      </c>
      <c r="J84" s="36">
        <v>988.45</v>
      </c>
      <c r="K84" s="32" t="s">
        <v>3829</v>
      </c>
      <c r="L84" s="169" t="s">
        <v>27</v>
      </c>
      <c r="M84" s="32" t="s">
        <v>224</v>
      </c>
    </row>
    <row r="85" spans="1:13" x14ac:dyDescent="0.25">
      <c r="A85" s="168">
        <v>46176</v>
      </c>
      <c r="B85" s="32">
        <v>1</v>
      </c>
      <c r="C85" s="32" t="s">
        <v>176</v>
      </c>
      <c r="D85" s="169" t="s">
        <v>177</v>
      </c>
      <c r="E85" s="169" t="s">
        <v>2868</v>
      </c>
      <c r="F85" s="32" t="s">
        <v>2871</v>
      </c>
      <c r="G85" s="32">
        <v>70</v>
      </c>
      <c r="H85" s="32" t="s">
        <v>2869</v>
      </c>
      <c r="I85" s="32">
        <v>3732</v>
      </c>
      <c r="J85" s="36">
        <v>966.59</v>
      </c>
      <c r="K85" s="32" t="s">
        <v>3830</v>
      </c>
      <c r="L85" s="169" t="s">
        <v>3777</v>
      </c>
      <c r="M85" s="32" t="s">
        <v>157</v>
      </c>
    </row>
    <row r="86" spans="1:13" x14ac:dyDescent="0.25">
      <c r="A86" s="168">
        <v>46176</v>
      </c>
      <c r="B86" s="32">
        <v>1</v>
      </c>
      <c r="C86" s="32" t="s">
        <v>179</v>
      </c>
      <c r="D86" s="169" t="s">
        <v>2863</v>
      </c>
      <c r="E86" s="169" t="s">
        <v>166</v>
      </c>
      <c r="F86" s="32" t="s">
        <v>111</v>
      </c>
      <c r="G86" s="32">
        <v>79</v>
      </c>
      <c r="H86" s="32" t="s">
        <v>169</v>
      </c>
      <c r="I86" s="32">
        <v>2586</v>
      </c>
      <c r="J86" s="36">
        <v>755.89</v>
      </c>
      <c r="K86" s="32" t="s">
        <v>3831</v>
      </c>
      <c r="L86" s="169" t="s">
        <v>116</v>
      </c>
      <c r="M86" s="32" t="s">
        <v>111</v>
      </c>
    </row>
    <row r="87" spans="1:13" x14ac:dyDescent="0.25">
      <c r="A87" s="168">
        <v>46177</v>
      </c>
      <c r="B87" s="32">
        <v>1</v>
      </c>
      <c r="C87" s="32" t="s">
        <v>183</v>
      </c>
      <c r="D87" s="169" t="s">
        <v>184</v>
      </c>
      <c r="E87" s="169" t="s">
        <v>163</v>
      </c>
      <c r="F87" s="32" t="s">
        <v>111</v>
      </c>
      <c r="G87" s="32">
        <v>75</v>
      </c>
      <c r="H87" s="32" t="s">
        <v>169</v>
      </c>
      <c r="I87" s="32">
        <v>3148</v>
      </c>
      <c r="J87" s="36">
        <v>873.57</v>
      </c>
      <c r="K87" s="32" t="s">
        <v>3832</v>
      </c>
      <c r="L87" s="169" t="s">
        <v>3742</v>
      </c>
      <c r="M87" s="32" t="s">
        <v>111</v>
      </c>
    </row>
    <row r="88" spans="1:13" x14ac:dyDescent="0.25">
      <c r="A88" s="168">
        <v>46178</v>
      </c>
      <c r="B88" s="32">
        <v>1</v>
      </c>
      <c r="C88" s="32" t="s">
        <v>173</v>
      </c>
      <c r="D88" s="169" t="s">
        <v>174</v>
      </c>
      <c r="E88" s="169" t="s">
        <v>163</v>
      </c>
      <c r="F88" s="32" t="s">
        <v>164</v>
      </c>
      <c r="G88" s="32">
        <v>52</v>
      </c>
      <c r="H88" s="32" t="s">
        <v>172</v>
      </c>
      <c r="I88" s="32">
        <v>27248</v>
      </c>
      <c r="J88" s="36">
        <v>524.25</v>
      </c>
      <c r="K88" s="32" t="s">
        <v>3622</v>
      </c>
      <c r="L88" s="169" t="s">
        <v>140</v>
      </c>
      <c r="M88" s="32" t="s">
        <v>224</v>
      </c>
    </row>
    <row r="89" spans="1:13" x14ac:dyDescent="0.25">
      <c r="A89" s="168">
        <v>46178</v>
      </c>
      <c r="B89" s="32">
        <v>1</v>
      </c>
      <c r="C89" s="32" t="s">
        <v>342</v>
      </c>
      <c r="D89" s="169" t="s">
        <v>171</v>
      </c>
      <c r="E89" s="169" t="s">
        <v>163</v>
      </c>
      <c r="F89" s="32" t="s">
        <v>164</v>
      </c>
      <c r="G89" s="32">
        <v>52</v>
      </c>
      <c r="H89" s="32" t="s">
        <v>185</v>
      </c>
      <c r="I89" s="32">
        <v>441</v>
      </c>
      <c r="J89" s="36">
        <v>848.48</v>
      </c>
      <c r="K89" s="32" t="s">
        <v>3833</v>
      </c>
      <c r="L89" s="169" t="s">
        <v>20</v>
      </c>
      <c r="M89" s="32" t="s">
        <v>224</v>
      </c>
    </row>
    <row r="90" spans="1:13" x14ac:dyDescent="0.25">
      <c r="A90" s="168">
        <v>46178</v>
      </c>
      <c r="B90" s="32">
        <v>1</v>
      </c>
      <c r="C90" s="32" t="s">
        <v>2866</v>
      </c>
      <c r="D90" s="169" t="s">
        <v>281</v>
      </c>
      <c r="E90" s="169" t="s">
        <v>166</v>
      </c>
      <c r="F90" s="32" t="s">
        <v>164</v>
      </c>
      <c r="G90" s="32">
        <v>58</v>
      </c>
      <c r="H90" s="32" t="s">
        <v>165</v>
      </c>
      <c r="I90" s="32">
        <v>4136</v>
      </c>
      <c r="J90" s="36">
        <v>887.59</v>
      </c>
      <c r="K90" s="32" t="s">
        <v>3834</v>
      </c>
      <c r="L90" s="169" t="s">
        <v>27</v>
      </c>
      <c r="M90" s="32" t="s">
        <v>224</v>
      </c>
    </row>
    <row r="91" spans="1:13" x14ac:dyDescent="0.25">
      <c r="A91" s="168">
        <v>46178</v>
      </c>
      <c r="B91" s="32">
        <v>1</v>
      </c>
      <c r="C91" s="32" t="s">
        <v>199</v>
      </c>
      <c r="D91" s="169" t="s">
        <v>180</v>
      </c>
      <c r="E91" s="169" t="s">
        <v>163</v>
      </c>
      <c r="F91" s="32" t="s">
        <v>111</v>
      </c>
      <c r="G91" s="32">
        <v>75</v>
      </c>
      <c r="H91" s="32" t="s">
        <v>185</v>
      </c>
      <c r="I91" s="32">
        <v>2772</v>
      </c>
      <c r="J91" s="36">
        <v>769.23</v>
      </c>
      <c r="K91" s="32" t="s">
        <v>3835</v>
      </c>
      <c r="L91" s="169" t="s">
        <v>3738</v>
      </c>
      <c r="M91" s="32" t="s">
        <v>111</v>
      </c>
    </row>
    <row r="92" spans="1:13" x14ac:dyDescent="0.25">
      <c r="A92" s="168">
        <v>46178</v>
      </c>
      <c r="B92" s="32">
        <v>1</v>
      </c>
      <c r="C92" s="32" t="s">
        <v>342</v>
      </c>
      <c r="D92" s="169" t="s">
        <v>171</v>
      </c>
      <c r="E92" s="169" t="s">
        <v>163</v>
      </c>
      <c r="F92" s="32" t="s">
        <v>164</v>
      </c>
      <c r="G92" s="32">
        <v>52</v>
      </c>
      <c r="H92" s="32" t="s">
        <v>185</v>
      </c>
      <c r="I92" s="32">
        <v>4452</v>
      </c>
      <c r="J92" s="36">
        <v>856.56</v>
      </c>
      <c r="K92" s="32" t="s">
        <v>3836</v>
      </c>
      <c r="L92" s="169" t="s">
        <v>20</v>
      </c>
      <c r="M92" s="32" t="s">
        <v>224</v>
      </c>
    </row>
    <row r="93" spans="1:13" x14ac:dyDescent="0.25">
      <c r="A93" s="168">
        <v>46178</v>
      </c>
      <c r="B93" s="32">
        <v>1</v>
      </c>
      <c r="C93" s="32" t="s">
        <v>192</v>
      </c>
      <c r="D93" s="169" t="s">
        <v>287</v>
      </c>
      <c r="E93" s="169" t="s">
        <v>190</v>
      </c>
      <c r="F93" s="32" t="s">
        <v>191</v>
      </c>
      <c r="G93" s="32">
        <v>217</v>
      </c>
      <c r="H93" s="32" t="s">
        <v>165</v>
      </c>
      <c r="I93" s="32">
        <v>546</v>
      </c>
      <c r="J93" s="36">
        <v>4383.83</v>
      </c>
      <c r="K93" s="32" t="s">
        <v>3837</v>
      </c>
      <c r="L93" s="169" t="s">
        <v>19</v>
      </c>
      <c r="M93" s="32" t="s">
        <v>3780</v>
      </c>
    </row>
    <row r="94" spans="1:13" x14ac:dyDescent="0.25">
      <c r="A94" s="168">
        <v>46178</v>
      </c>
      <c r="B94" s="32">
        <v>1</v>
      </c>
      <c r="C94" s="32" t="s">
        <v>296</v>
      </c>
      <c r="D94" s="169" t="s">
        <v>1536</v>
      </c>
      <c r="E94" s="169" t="s">
        <v>276</v>
      </c>
      <c r="F94" s="32" t="s">
        <v>277</v>
      </c>
      <c r="G94" s="32">
        <v>118</v>
      </c>
      <c r="H94" s="32" t="s">
        <v>165</v>
      </c>
      <c r="I94" s="32">
        <v>4196</v>
      </c>
      <c r="J94" s="36">
        <v>1584.41</v>
      </c>
      <c r="K94" s="32" t="s">
        <v>3838</v>
      </c>
      <c r="L94" s="169" t="s">
        <v>24</v>
      </c>
      <c r="M94" s="32" t="s">
        <v>15</v>
      </c>
    </row>
    <row r="95" spans="1:13" x14ac:dyDescent="0.25">
      <c r="A95" s="168">
        <v>46178</v>
      </c>
      <c r="B95" s="32">
        <v>1</v>
      </c>
      <c r="C95" s="32" t="s">
        <v>199</v>
      </c>
      <c r="D95" s="169" t="s">
        <v>180</v>
      </c>
      <c r="E95" s="169" t="s">
        <v>163</v>
      </c>
      <c r="F95" s="32" t="s">
        <v>111</v>
      </c>
      <c r="G95" s="32">
        <v>75</v>
      </c>
      <c r="H95" s="32" t="s">
        <v>185</v>
      </c>
      <c r="I95" s="32">
        <v>2782</v>
      </c>
      <c r="J95" s="36">
        <v>772.01</v>
      </c>
      <c r="K95" s="32" t="s">
        <v>3839</v>
      </c>
      <c r="L95" s="169" t="s">
        <v>3738</v>
      </c>
      <c r="M95" s="32" t="s">
        <v>111</v>
      </c>
    </row>
    <row r="96" spans="1:13" x14ac:dyDescent="0.25">
      <c r="A96" s="168">
        <v>46178</v>
      </c>
      <c r="B96" s="32">
        <v>1</v>
      </c>
      <c r="C96" s="32" t="s">
        <v>208</v>
      </c>
      <c r="D96" s="169" t="s">
        <v>209</v>
      </c>
      <c r="E96" s="169" t="s">
        <v>190</v>
      </c>
      <c r="F96" s="32" t="s">
        <v>191</v>
      </c>
      <c r="G96" s="32">
        <v>217</v>
      </c>
      <c r="H96" s="32" t="s">
        <v>165</v>
      </c>
      <c r="I96" s="32">
        <v>530</v>
      </c>
      <c r="J96" s="36">
        <v>4255.37</v>
      </c>
      <c r="K96" s="32" t="s">
        <v>3840</v>
      </c>
      <c r="L96" s="169" t="s">
        <v>19</v>
      </c>
      <c r="M96" s="32" t="s">
        <v>3780</v>
      </c>
    </row>
    <row r="97" spans="1:13" x14ac:dyDescent="0.25">
      <c r="A97" s="168">
        <v>46178</v>
      </c>
      <c r="B97" s="32">
        <v>1</v>
      </c>
      <c r="C97" s="32" t="s">
        <v>167</v>
      </c>
      <c r="D97" s="169" t="s">
        <v>168</v>
      </c>
      <c r="E97" s="169" t="s">
        <v>163</v>
      </c>
      <c r="F97" s="32" t="s">
        <v>164</v>
      </c>
      <c r="G97" s="32">
        <v>52</v>
      </c>
      <c r="H97" s="32" t="s">
        <v>175</v>
      </c>
      <c r="I97" s="32">
        <v>2768</v>
      </c>
      <c r="J97" s="36">
        <v>532.55999999999995</v>
      </c>
      <c r="K97" s="32" t="s">
        <v>3841</v>
      </c>
      <c r="L97" s="169" t="s">
        <v>21</v>
      </c>
      <c r="M97" s="32" t="s">
        <v>224</v>
      </c>
    </row>
    <row r="98" spans="1:13" x14ac:dyDescent="0.25">
      <c r="A98" s="168">
        <v>46178</v>
      </c>
      <c r="B98" s="32">
        <v>1</v>
      </c>
      <c r="C98" s="32" t="s">
        <v>167</v>
      </c>
      <c r="D98" s="169" t="s">
        <v>168</v>
      </c>
      <c r="E98" s="169" t="s">
        <v>163</v>
      </c>
      <c r="F98" s="32" t="s">
        <v>164</v>
      </c>
      <c r="G98" s="32">
        <v>52</v>
      </c>
      <c r="H98" s="32" t="s">
        <v>175</v>
      </c>
      <c r="I98" s="32">
        <v>267</v>
      </c>
      <c r="J98" s="36">
        <v>513.71</v>
      </c>
      <c r="K98" s="32" t="s">
        <v>3842</v>
      </c>
      <c r="L98" s="169" t="s">
        <v>21</v>
      </c>
      <c r="M98" s="32" t="s">
        <v>224</v>
      </c>
    </row>
    <row r="99" spans="1:13" x14ac:dyDescent="0.25">
      <c r="A99" s="168">
        <v>46178</v>
      </c>
      <c r="B99" s="32">
        <v>1</v>
      </c>
      <c r="C99" s="32" t="s">
        <v>286</v>
      </c>
      <c r="D99" s="169" t="s">
        <v>506</v>
      </c>
      <c r="E99" s="169" t="s">
        <v>163</v>
      </c>
      <c r="F99" s="32" t="s">
        <v>164</v>
      </c>
      <c r="G99" s="32">
        <v>52</v>
      </c>
      <c r="H99" s="32" t="s">
        <v>175</v>
      </c>
      <c r="I99" s="32">
        <v>4496</v>
      </c>
      <c r="J99" s="36">
        <v>865.03</v>
      </c>
      <c r="K99" s="32" t="s">
        <v>3843</v>
      </c>
      <c r="L99" s="169" t="s">
        <v>21</v>
      </c>
      <c r="M99" s="32" t="s">
        <v>224</v>
      </c>
    </row>
    <row r="100" spans="1:13" x14ac:dyDescent="0.25">
      <c r="A100" s="168">
        <v>46178</v>
      </c>
      <c r="B100" s="32">
        <v>1</v>
      </c>
      <c r="C100" s="32" t="s">
        <v>286</v>
      </c>
      <c r="D100" s="169" t="s">
        <v>506</v>
      </c>
      <c r="E100" s="169" t="s">
        <v>163</v>
      </c>
      <c r="F100" s="32" t="s">
        <v>164</v>
      </c>
      <c r="G100" s="32">
        <v>52</v>
      </c>
      <c r="H100" s="32" t="s">
        <v>175</v>
      </c>
      <c r="I100" s="32">
        <v>447</v>
      </c>
      <c r="J100" s="36">
        <v>860.03</v>
      </c>
      <c r="K100" s="32" t="s">
        <v>3844</v>
      </c>
      <c r="L100" s="169" t="s">
        <v>21</v>
      </c>
      <c r="M100" s="32" t="s">
        <v>224</v>
      </c>
    </row>
    <row r="101" spans="1:13" x14ac:dyDescent="0.25">
      <c r="A101" s="168">
        <v>46178</v>
      </c>
      <c r="B101" s="32">
        <v>1</v>
      </c>
      <c r="C101" s="32" t="s">
        <v>283</v>
      </c>
      <c r="D101" s="169" t="s">
        <v>282</v>
      </c>
      <c r="E101" s="169" t="s">
        <v>166</v>
      </c>
      <c r="F101" s="32" t="s">
        <v>111</v>
      </c>
      <c r="G101" s="32">
        <v>79</v>
      </c>
      <c r="H101" s="32" t="s">
        <v>169</v>
      </c>
      <c r="I101" s="32">
        <v>2612</v>
      </c>
      <c r="J101" s="36">
        <v>763.49</v>
      </c>
      <c r="K101" s="32" t="s">
        <v>3845</v>
      </c>
      <c r="L101" s="169" t="s">
        <v>116</v>
      </c>
      <c r="M101" s="32" t="s">
        <v>111</v>
      </c>
    </row>
    <row r="102" spans="1:13" x14ac:dyDescent="0.25">
      <c r="A102" s="168">
        <v>46178</v>
      </c>
      <c r="B102" s="32">
        <v>1</v>
      </c>
      <c r="C102" s="32" t="s">
        <v>283</v>
      </c>
      <c r="D102" s="169" t="s">
        <v>282</v>
      </c>
      <c r="E102" s="169" t="s">
        <v>166</v>
      </c>
      <c r="F102" s="32" t="s">
        <v>1178</v>
      </c>
      <c r="G102" s="32">
        <v>51</v>
      </c>
      <c r="H102" s="32" t="s">
        <v>172</v>
      </c>
      <c r="I102" s="32">
        <v>275</v>
      </c>
      <c r="J102" s="36">
        <v>518.92999999999995</v>
      </c>
      <c r="K102" s="32" t="s">
        <v>3846</v>
      </c>
      <c r="L102" s="169" t="s">
        <v>3847</v>
      </c>
      <c r="M102" s="32" t="s">
        <v>1178</v>
      </c>
    </row>
    <row r="103" spans="1:13" x14ac:dyDescent="0.25">
      <c r="A103" s="168">
        <v>46178</v>
      </c>
      <c r="B103" s="32">
        <v>1</v>
      </c>
      <c r="C103" s="32" t="s">
        <v>183</v>
      </c>
      <c r="D103" s="169" t="s">
        <v>184</v>
      </c>
      <c r="E103" s="169" t="s">
        <v>163</v>
      </c>
      <c r="F103" s="32" t="s">
        <v>111</v>
      </c>
      <c r="G103" s="32">
        <v>75</v>
      </c>
      <c r="H103" s="32" t="s">
        <v>169</v>
      </c>
      <c r="I103" s="32">
        <v>2676</v>
      </c>
      <c r="J103" s="36">
        <v>742.59</v>
      </c>
      <c r="K103" s="32" t="s">
        <v>3848</v>
      </c>
      <c r="L103" s="169" t="s">
        <v>3742</v>
      </c>
      <c r="M103" s="32" t="s">
        <v>111</v>
      </c>
    </row>
    <row r="104" spans="1:13" x14ac:dyDescent="0.25">
      <c r="A104" s="168">
        <v>46178</v>
      </c>
      <c r="B104" s="32">
        <v>1</v>
      </c>
      <c r="C104" s="32" t="s">
        <v>183</v>
      </c>
      <c r="D104" s="169" t="s">
        <v>184</v>
      </c>
      <c r="E104" s="169" t="s">
        <v>163</v>
      </c>
      <c r="F104" s="32" t="s">
        <v>111</v>
      </c>
      <c r="G104" s="32">
        <v>75</v>
      </c>
      <c r="H104" s="32" t="s">
        <v>169</v>
      </c>
      <c r="I104" s="32">
        <v>2568</v>
      </c>
      <c r="J104" s="36">
        <v>712.62</v>
      </c>
      <c r="K104" s="32" t="s">
        <v>3849</v>
      </c>
      <c r="L104" s="169" t="s">
        <v>3742</v>
      </c>
      <c r="M104" s="32" t="s">
        <v>111</v>
      </c>
    </row>
    <row r="105" spans="1:13" x14ac:dyDescent="0.25">
      <c r="A105" s="168">
        <v>46178</v>
      </c>
      <c r="B105" s="32">
        <v>1</v>
      </c>
      <c r="C105" s="32" t="s">
        <v>199</v>
      </c>
      <c r="D105" s="169" t="s">
        <v>180</v>
      </c>
      <c r="E105" s="169" t="s">
        <v>163</v>
      </c>
      <c r="F105" s="32" t="s">
        <v>164</v>
      </c>
      <c r="G105" s="32">
        <v>52</v>
      </c>
      <c r="H105" s="32" t="s">
        <v>175</v>
      </c>
      <c r="I105" s="32">
        <v>3016</v>
      </c>
      <c r="J105" s="36">
        <v>580.28</v>
      </c>
      <c r="K105" s="32" t="s">
        <v>3850</v>
      </c>
      <c r="L105" s="169" t="s">
        <v>21</v>
      </c>
      <c r="M105" s="32" t="s">
        <v>224</v>
      </c>
    </row>
    <row r="106" spans="1:13" x14ac:dyDescent="0.25">
      <c r="A106" s="168">
        <v>46178</v>
      </c>
      <c r="B106" s="32">
        <v>1</v>
      </c>
      <c r="C106" s="32" t="s">
        <v>173</v>
      </c>
      <c r="D106" s="169" t="s">
        <v>174</v>
      </c>
      <c r="E106" s="169" t="s">
        <v>163</v>
      </c>
      <c r="F106" s="32" t="s">
        <v>164</v>
      </c>
      <c r="G106" s="32">
        <v>52</v>
      </c>
      <c r="H106" s="32" t="s">
        <v>175</v>
      </c>
      <c r="I106" s="32">
        <v>2654</v>
      </c>
      <c r="J106" s="36">
        <v>510.63</v>
      </c>
      <c r="K106" s="32" t="s">
        <v>3851</v>
      </c>
      <c r="L106" s="169" t="s">
        <v>21</v>
      </c>
      <c r="M106" s="32" t="s">
        <v>224</v>
      </c>
    </row>
    <row r="107" spans="1:13" x14ac:dyDescent="0.25">
      <c r="A107" s="168">
        <v>46178</v>
      </c>
      <c r="B107" s="32">
        <v>1</v>
      </c>
      <c r="C107" s="32" t="s">
        <v>173</v>
      </c>
      <c r="D107" s="169" t="s">
        <v>174</v>
      </c>
      <c r="E107" s="169" t="s">
        <v>166</v>
      </c>
      <c r="F107" s="32" t="s">
        <v>111</v>
      </c>
      <c r="G107" s="32">
        <v>79</v>
      </c>
      <c r="H107" s="32" t="s">
        <v>169</v>
      </c>
      <c r="I107" s="32">
        <v>260</v>
      </c>
      <c r="J107" s="36">
        <v>759.98</v>
      </c>
      <c r="K107" s="32" t="s">
        <v>3852</v>
      </c>
      <c r="L107" s="169" t="s">
        <v>116</v>
      </c>
      <c r="M107" s="32" t="s">
        <v>111</v>
      </c>
    </row>
    <row r="108" spans="1:13" x14ac:dyDescent="0.25">
      <c r="A108" s="168">
        <v>46178</v>
      </c>
      <c r="B108" s="32">
        <v>1</v>
      </c>
      <c r="C108" s="32" t="s">
        <v>179</v>
      </c>
      <c r="D108" s="169" t="s">
        <v>2863</v>
      </c>
      <c r="E108" s="169" t="s">
        <v>166</v>
      </c>
      <c r="F108" s="32" t="s">
        <v>111</v>
      </c>
      <c r="G108" s="32">
        <v>79</v>
      </c>
      <c r="H108" s="32" t="s">
        <v>169</v>
      </c>
      <c r="I108" s="32">
        <v>2688</v>
      </c>
      <c r="J108" s="36">
        <v>785.7</v>
      </c>
      <c r="K108" s="32" t="s">
        <v>3853</v>
      </c>
      <c r="L108" s="169" t="s">
        <v>116</v>
      </c>
      <c r="M108" s="32" t="s">
        <v>111</v>
      </c>
    </row>
    <row r="109" spans="1:13" x14ac:dyDescent="0.25">
      <c r="A109" s="168">
        <v>46178</v>
      </c>
      <c r="B109" s="32">
        <v>1</v>
      </c>
      <c r="C109" s="32" t="s">
        <v>179</v>
      </c>
      <c r="D109" s="169" t="s">
        <v>2863</v>
      </c>
      <c r="E109" s="169" t="s">
        <v>166</v>
      </c>
      <c r="F109" s="32" t="s">
        <v>111</v>
      </c>
      <c r="G109" s="32">
        <v>79</v>
      </c>
      <c r="H109" s="32" t="s">
        <v>169</v>
      </c>
      <c r="I109" s="32">
        <v>2638</v>
      </c>
      <c r="J109" s="36">
        <v>771.09</v>
      </c>
      <c r="K109" s="32" t="s">
        <v>3854</v>
      </c>
      <c r="L109" s="169" t="s">
        <v>116</v>
      </c>
      <c r="M109" s="32" t="s">
        <v>111</v>
      </c>
    </row>
    <row r="110" spans="1:13" x14ac:dyDescent="0.25">
      <c r="A110" s="168">
        <v>46178</v>
      </c>
      <c r="B110" s="32">
        <v>1</v>
      </c>
      <c r="C110" s="32" t="s">
        <v>1129</v>
      </c>
      <c r="D110" s="169" t="s">
        <v>2396</v>
      </c>
      <c r="E110" s="169" t="s">
        <v>163</v>
      </c>
      <c r="F110" s="32" t="s">
        <v>111</v>
      </c>
      <c r="G110" s="32">
        <v>75</v>
      </c>
      <c r="H110" s="32" t="s">
        <v>185</v>
      </c>
      <c r="I110" s="32">
        <v>2524</v>
      </c>
      <c r="J110" s="36">
        <v>700.41</v>
      </c>
      <c r="K110" s="32" t="s">
        <v>3855</v>
      </c>
      <c r="L110" s="169" t="s">
        <v>3738</v>
      </c>
      <c r="M110" s="32" t="s">
        <v>111</v>
      </c>
    </row>
    <row r="111" spans="1:13" x14ac:dyDescent="0.25">
      <c r="A111" s="168">
        <v>46178</v>
      </c>
      <c r="B111" s="32">
        <v>1</v>
      </c>
      <c r="C111" s="32" t="s">
        <v>1129</v>
      </c>
      <c r="D111" s="169" t="s">
        <v>2396</v>
      </c>
      <c r="E111" s="169" t="s">
        <v>163</v>
      </c>
      <c r="F111" s="32" t="s">
        <v>111</v>
      </c>
      <c r="G111" s="32">
        <v>75</v>
      </c>
      <c r="H111" s="32" t="s">
        <v>185</v>
      </c>
      <c r="I111" s="32">
        <v>2556</v>
      </c>
      <c r="J111" s="36">
        <v>709.29</v>
      </c>
      <c r="K111" s="32" t="s">
        <v>3856</v>
      </c>
      <c r="L111" s="169" t="s">
        <v>3738</v>
      </c>
      <c r="M111" s="32" t="s">
        <v>111</v>
      </c>
    </row>
    <row r="112" spans="1:13" x14ac:dyDescent="0.25">
      <c r="A112" s="168">
        <v>46178</v>
      </c>
      <c r="B112" s="32">
        <v>1</v>
      </c>
      <c r="C112" s="32" t="s">
        <v>219</v>
      </c>
      <c r="D112" s="169" t="s">
        <v>220</v>
      </c>
      <c r="E112" s="169" t="s">
        <v>163</v>
      </c>
      <c r="F112" s="32" t="s">
        <v>164</v>
      </c>
      <c r="G112" s="32">
        <v>52</v>
      </c>
      <c r="H112" s="32" t="s">
        <v>175</v>
      </c>
      <c r="I112" s="32">
        <v>412</v>
      </c>
      <c r="J112" s="36">
        <v>792.69</v>
      </c>
      <c r="K112" s="32" t="s">
        <v>3857</v>
      </c>
      <c r="L112" s="169" t="s">
        <v>21</v>
      </c>
      <c r="M112" s="32" t="s">
        <v>224</v>
      </c>
    </row>
    <row r="113" spans="1:13" x14ac:dyDescent="0.25">
      <c r="A113" s="168">
        <v>46178</v>
      </c>
      <c r="B113" s="32">
        <v>1</v>
      </c>
      <c r="C113" s="32" t="s">
        <v>219</v>
      </c>
      <c r="D113" s="169" t="s">
        <v>220</v>
      </c>
      <c r="E113" s="169" t="s">
        <v>163</v>
      </c>
      <c r="F113" s="32" t="s">
        <v>164</v>
      </c>
      <c r="G113" s="32">
        <v>52</v>
      </c>
      <c r="H113" s="32" t="s">
        <v>175</v>
      </c>
      <c r="I113" s="32">
        <v>606</v>
      </c>
      <c r="J113" s="36">
        <v>1165.94</v>
      </c>
      <c r="K113" s="32" t="s">
        <v>3858</v>
      </c>
      <c r="L113" s="169" t="s">
        <v>21</v>
      </c>
      <c r="M113" s="32" t="s">
        <v>224</v>
      </c>
    </row>
    <row r="114" spans="1:13" x14ac:dyDescent="0.25">
      <c r="A114" s="168">
        <v>46178</v>
      </c>
      <c r="B114" s="32">
        <v>1</v>
      </c>
      <c r="C114" s="32" t="s">
        <v>275</v>
      </c>
      <c r="D114" s="169" t="s">
        <v>178</v>
      </c>
      <c r="E114" s="169" t="s">
        <v>163</v>
      </c>
      <c r="F114" s="32" t="s">
        <v>164</v>
      </c>
      <c r="G114" s="32">
        <v>52</v>
      </c>
      <c r="H114" s="32" t="s">
        <v>175</v>
      </c>
      <c r="I114" s="32">
        <v>4422</v>
      </c>
      <c r="J114" s="36">
        <v>850.79</v>
      </c>
      <c r="K114" s="32" t="s">
        <v>3859</v>
      </c>
      <c r="L114" s="169" t="s">
        <v>21</v>
      </c>
      <c r="M114" s="32" t="s">
        <v>224</v>
      </c>
    </row>
    <row r="115" spans="1:13" x14ac:dyDescent="0.25">
      <c r="A115" s="168">
        <v>46178</v>
      </c>
      <c r="B115" s="32">
        <v>1</v>
      </c>
      <c r="C115" s="32" t="s">
        <v>275</v>
      </c>
      <c r="D115" s="169" t="s">
        <v>178</v>
      </c>
      <c r="E115" s="169" t="s">
        <v>163</v>
      </c>
      <c r="F115" s="32" t="s">
        <v>164</v>
      </c>
      <c r="G115" s="32">
        <v>52</v>
      </c>
      <c r="H115" s="32" t="s">
        <v>165</v>
      </c>
      <c r="I115" s="32">
        <v>4566</v>
      </c>
      <c r="J115" s="36">
        <v>878.5</v>
      </c>
      <c r="K115" s="32" t="s">
        <v>3860</v>
      </c>
      <c r="L115" s="169" t="s">
        <v>31</v>
      </c>
      <c r="M115" s="32" t="s">
        <v>224</v>
      </c>
    </row>
    <row r="116" spans="1:13" x14ac:dyDescent="0.25">
      <c r="A116" s="168">
        <v>46178</v>
      </c>
      <c r="B116" s="32">
        <v>1</v>
      </c>
      <c r="C116" s="32" t="s">
        <v>193</v>
      </c>
      <c r="D116" s="169" t="s">
        <v>285</v>
      </c>
      <c r="E116" s="169" t="s">
        <v>163</v>
      </c>
      <c r="F116" s="32" t="s">
        <v>111</v>
      </c>
      <c r="G116" s="32">
        <v>75</v>
      </c>
      <c r="H116" s="32" t="s">
        <v>185</v>
      </c>
      <c r="I116" s="32">
        <v>2694</v>
      </c>
      <c r="J116" s="36">
        <v>747.59</v>
      </c>
      <c r="K116" s="32" t="s">
        <v>3861</v>
      </c>
      <c r="L116" s="169" t="s">
        <v>3738</v>
      </c>
      <c r="M116" s="32" t="s">
        <v>111</v>
      </c>
    </row>
    <row r="117" spans="1:13" x14ac:dyDescent="0.25">
      <c r="A117" s="168">
        <v>46178</v>
      </c>
      <c r="B117" s="32">
        <v>1</v>
      </c>
      <c r="C117" s="32" t="s">
        <v>193</v>
      </c>
      <c r="D117" s="169" t="s">
        <v>285</v>
      </c>
      <c r="E117" s="169" t="s">
        <v>163</v>
      </c>
      <c r="F117" s="32" t="s">
        <v>111</v>
      </c>
      <c r="G117" s="32">
        <v>75</v>
      </c>
      <c r="H117" s="32" t="s">
        <v>185</v>
      </c>
      <c r="I117" s="32">
        <v>272</v>
      </c>
      <c r="J117" s="36">
        <v>754.8</v>
      </c>
      <c r="K117" s="32" t="s">
        <v>3862</v>
      </c>
      <c r="L117" s="169" t="s">
        <v>3738</v>
      </c>
      <c r="M117" s="32" t="s">
        <v>111</v>
      </c>
    </row>
    <row r="118" spans="1:13" x14ac:dyDescent="0.25">
      <c r="A118" s="168">
        <v>46178</v>
      </c>
      <c r="B118" s="32">
        <v>1</v>
      </c>
      <c r="C118" s="32" t="s">
        <v>270</v>
      </c>
      <c r="D118" s="169" t="s">
        <v>288</v>
      </c>
      <c r="E118" s="169" t="s">
        <v>190</v>
      </c>
      <c r="F118" s="32" t="s">
        <v>191</v>
      </c>
      <c r="G118" s="32">
        <v>217</v>
      </c>
      <c r="H118" s="32" t="s">
        <v>165</v>
      </c>
      <c r="I118" s="32">
        <v>513</v>
      </c>
      <c r="J118" s="36">
        <v>3562.27</v>
      </c>
      <c r="K118" s="32" t="s">
        <v>3863</v>
      </c>
      <c r="L118" s="169" t="s">
        <v>19</v>
      </c>
      <c r="M118" s="32" t="s">
        <v>3780</v>
      </c>
    </row>
    <row r="119" spans="1:13" x14ac:dyDescent="0.25">
      <c r="A119" s="168">
        <v>46178</v>
      </c>
      <c r="B119" s="32">
        <v>1</v>
      </c>
      <c r="C119" s="32" t="s">
        <v>186</v>
      </c>
      <c r="D119" s="169" t="s">
        <v>187</v>
      </c>
      <c r="E119" s="169" t="s">
        <v>2757</v>
      </c>
      <c r="F119" s="32" t="s">
        <v>2867</v>
      </c>
      <c r="G119" s="32">
        <v>383</v>
      </c>
      <c r="H119" s="32" t="s">
        <v>172</v>
      </c>
      <c r="I119" s="32">
        <v>4416</v>
      </c>
      <c r="J119" s="36">
        <v>5412.25</v>
      </c>
      <c r="K119" s="32" t="s">
        <v>3864</v>
      </c>
      <c r="L119" s="169" t="s">
        <v>3865</v>
      </c>
      <c r="M119" s="32" t="s">
        <v>15</v>
      </c>
    </row>
    <row r="120" spans="1:13" x14ac:dyDescent="0.25">
      <c r="A120" s="168">
        <v>46179</v>
      </c>
      <c r="B120" s="32">
        <v>1</v>
      </c>
      <c r="C120" s="32" t="s">
        <v>342</v>
      </c>
      <c r="D120" s="169" t="s">
        <v>171</v>
      </c>
      <c r="E120" s="169" t="s">
        <v>163</v>
      </c>
      <c r="F120" s="32" t="s">
        <v>164</v>
      </c>
      <c r="G120" s="32">
        <v>52</v>
      </c>
      <c r="H120" s="32" t="s">
        <v>185</v>
      </c>
      <c r="I120" s="32">
        <v>4408</v>
      </c>
      <c r="J120" s="36">
        <v>848.1</v>
      </c>
      <c r="K120" s="32" t="s">
        <v>3866</v>
      </c>
      <c r="L120" s="169" t="s">
        <v>20</v>
      </c>
      <c r="M120" s="32" t="s">
        <v>224</v>
      </c>
    </row>
    <row r="121" spans="1:13" x14ac:dyDescent="0.25">
      <c r="A121" s="168">
        <v>46179</v>
      </c>
      <c r="B121" s="32">
        <v>1</v>
      </c>
      <c r="C121" s="32" t="s">
        <v>219</v>
      </c>
      <c r="D121" s="169" t="s">
        <v>220</v>
      </c>
      <c r="E121" s="169" t="s">
        <v>163</v>
      </c>
      <c r="F121" s="32" t="s">
        <v>164</v>
      </c>
      <c r="G121" s="32">
        <v>52</v>
      </c>
      <c r="H121" s="32" t="s">
        <v>175</v>
      </c>
      <c r="I121" s="32">
        <v>626</v>
      </c>
      <c r="J121" s="36">
        <v>1204.42</v>
      </c>
      <c r="K121" s="32" t="s">
        <v>3867</v>
      </c>
      <c r="L121" s="169" t="s">
        <v>21</v>
      </c>
      <c r="M121" s="32" t="s">
        <v>224</v>
      </c>
    </row>
    <row r="122" spans="1:13" x14ac:dyDescent="0.25">
      <c r="A122" s="168">
        <v>46179</v>
      </c>
      <c r="B122" s="32">
        <v>1</v>
      </c>
      <c r="C122" s="32" t="s">
        <v>219</v>
      </c>
      <c r="D122" s="169" t="s">
        <v>220</v>
      </c>
      <c r="E122" s="169" t="s">
        <v>166</v>
      </c>
      <c r="F122" s="32" t="s">
        <v>164</v>
      </c>
      <c r="G122" s="32">
        <v>58</v>
      </c>
      <c r="H122" s="32" t="s">
        <v>165</v>
      </c>
      <c r="I122" s="32">
        <v>349</v>
      </c>
      <c r="J122" s="36">
        <v>748.95</v>
      </c>
      <c r="K122" s="32" t="s">
        <v>3868</v>
      </c>
      <c r="L122" s="169" t="s">
        <v>27</v>
      </c>
      <c r="M122" s="32" t="s">
        <v>224</v>
      </c>
    </row>
    <row r="123" spans="1:13" x14ac:dyDescent="0.25">
      <c r="A123" s="168">
        <v>46179</v>
      </c>
      <c r="B123" s="32">
        <v>1</v>
      </c>
      <c r="C123" s="32" t="s">
        <v>167</v>
      </c>
      <c r="D123" s="169" t="s">
        <v>168</v>
      </c>
      <c r="E123" s="169" t="s">
        <v>163</v>
      </c>
      <c r="F123" s="32" t="s">
        <v>111</v>
      </c>
      <c r="G123" s="32">
        <v>75</v>
      </c>
      <c r="H123" s="32" t="s">
        <v>185</v>
      </c>
      <c r="I123" s="32">
        <v>256</v>
      </c>
      <c r="J123" s="36">
        <v>710.4</v>
      </c>
      <c r="K123" s="32" t="s">
        <v>3869</v>
      </c>
      <c r="L123" s="169" t="s">
        <v>3738</v>
      </c>
      <c r="M123" s="32" t="s">
        <v>111</v>
      </c>
    </row>
    <row r="124" spans="1:13" x14ac:dyDescent="0.25">
      <c r="A124" s="168">
        <v>46179</v>
      </c>
      <c r="B124" s="32">
        <v>1</v>
      </c>
      <c r="C124" s="32" t="s">
        <v>167</v>
      </c>
      <c r="D124" s="169" t="s">
        <v>168</v>
      </c>
      <c r="E124" s="169" t="s">
        <v>163</v>
      </c>
      <c r="F124" s="32" t="s">
        <v>164</v>
      </c>
      <c r="G124" s="32">
        <v>52</v>
      </c>
      <c r="H124" s="32" t="s">
        <v>175</v>
      </c>
      <c r="I124" s="32">
        <v>2708</v>
      </c>
      <c r="J124" s="36">
        <v>521.02</v>
      </c>
      <c r="K124" s="32" t="s">
        <v>3870</v>
      </c>
      <c r="L124" s="169" t="s">
        <v>21</v>
      </c>
      <c r="M124" s="32" t="s">
        <v>224</v>
      </c>
    </row>
    <row r="125" spans="1:13" x14ac:dyDescent="0.25">
      <c r="A125" s="168">
        <v>46179</v>
      </c>
      <c r="B125" s="32">
        <v>1</v>
      </c>
      <c r="C125" s="32" t="s">
        <v>283</v>
      </c>
      <c r="D125" s="169" t="s">
        <v>282</v>
      </c>
      <c r="E125" s="169" t="s">
        <v>163</v>
      </c>
      <c r="F125" s="32" t="s">
        <v>111</v>
      </c>
      <c r="G125" s="32">
        <v>75</v>
      </c>
      <c r="H125" s="32" t="s">
        <v>169</v>
      </c>
      <c r="I125" s="32">
        <v>2922</v>
      </c>
      <c r="J125" s="36">
        <v>810.86</v>
      </c>
      <c r="K125" s="32" t="s">
        <v>3871</v>
      </c>
      <c r="L125" s="169" t="s">
        <v>3742</v>
      </c>
      <c r="M125" s="32" t="s">
        <v>111</v>
      </c>
    </row>
    <row r="126" spans="1:13" x14ac:dyDescent="0.25">
      <c r="A126" s="168">
        <v>46179</v>
      </c>
      <c r="B126" s="32">
        <v>1</v>
      </c>
      <c r="C126" s="32" t="s">
        <v>275</v>
      </c>
      <c r="D126" s="169" t="s">
        <v>178</v>
      </c>
      <c r="E126" s="169" t="s">
        <v>163</v>
      </c>
      <c r="F126" s="32" t="s">
        <v>164</v>
      </c>
      <c r="G126" s="32">
        <v>52</v>
      </c>
      <c r="H126" s="32" t="s">
        <v>175</v>
      </c>
      <c r="I126" s="32">
        <v>453</v>
      </c>
      <c r="J126" s="36">
        <v>871.57</v>
      </c>
      <c r="K126" s="32" t="s">
        <v>3872</v>
      </c>
      <c r="L126" s="169" t="s">
        <v>21</v>
      </c>
      <c r="M126" s="32" t="s">
        <v>224</v>
      </c>
    </row>
    <row r="127" spans="1:13" x14ac:dyDescent="0.25">
      <c r="A127" s="168">
        <v>46179</v>
      </c>
      <c r="B127" s="32">
        <v>1</v>
      </c>
      <c r="C127" s="32" t="s">
        <v>199</v>
      </c>
      <c r="D127" s="169" t="s">
        <v>180</v>
      </c>
      <c r="E127" s="169" t="s">
        <v>163</v>
      </c>
      <c r="F127" s="32" t="s">
        <v>111</v>
      </c>
      <c r="G127" s="32">
        <v>75</v>
      </c>
      <c r="H127" s="32" t="s">
        <v>185</v>
      </c>
      <c r="I127" s="32">
        <v>275</v>
      </c>
      <c r="J127" s="36">
        <v>763.13</v>
      </c>
      <c r="K127" s="32" t="s">
        <v>3873</v>
      </c>
      <c r="L127" s="169" t="s">
        <v>3738</v>
      </c>
      <c r="M127" s="32" t="s">
        <v>111</v>
      </c>
    </row>
    <row r="128" spans="1:13" x14ac:dyDescent="0.25">
      <c r="A128" s="168">
        <v>46179</v>
      </c>
      <c r="B128" s="32">
        <v>1</v>
      </c>
      <c r="C128" s="32" t="s">
        <v>208</v>
      </c>
      <c r="D128" s="169" t="s">
        <v>209</v>
      </c>
      <c r="E128" s="169" t="s">
        <v>190</v>
      </c>
      <c r="F128" s="32" t="s">
        <v>198</v>
      </c>
      <c r="G128" s="32">
        <v>70</v>
      </c>
      <c r="H128" s="32" t="s">
        <v>165</v>
      </c>
      <c r="I128" s="32">
        <v>450</v>
      </c>
      <c r="J128" s="36">
        <v>1165.5</v>
      </c>
      <c r="K128" s="32" t="s">
        <v>3874</v>
      </c>
      <c r="L128" s="169" t="s">
        <v>30</v>
      </c>
      <c r="M128" s="32" t="s">
        <v>224</v>
      </c>
    </row>
    <row r="129" spans="1:13" x14ac:dyDescent="0.25">
      <c r="A129" s="168">
        <v>46179</v>
      </c>
      <c r="B129" s="32">
        <v>1</v>
      </c>
      <c r="C129" s="32" t="s">
        <v>167</v>
      </c>
      <c r="D129" s="169" t="s">
        <v>168</v>
      </c>
      <c r="E129" s="169" t="s">
        <v>163</v>
      </c>
      <c r="F129" s="32" t="s">
        <v>164</v>
      </c>
      <c r="G129" s="32">
        <v>52</v>
      </c>
      <c r="H129" s="32" t="s">
        <v>175</v>
      </c>
      <c r="I129" s="32">
        <v>2644</v>
      </c>
      <c r="J129" s="36">
        <v>508.71</v>
      </c>
      <c r="K129" s="32" t="s">
        <v>3875</v>
      </c>
      <c r="L129" s="169" t="s">
        <v>21</v>
      </c>
      <c r="M129" s="32" t="s">
        <v>224</v>
      </c>
    </row>
    <row r="130" spans="1:13" x14ac:dyDescent="0.25">
      <c r="A130" s="168">
        <v>46179</v>
      </c>
      <c r="B130" s="32">
        <v>1</v>
      </c>
      <c r="C130" s="32" t="s">
        <v>173</v>
      </c>
      <c r="D130" s="169" t="s">
        <v>174</v>
      </c>
      <c r="E130" s="169" t="s">
        <v>166</v>
      </c>
      <c r="F130" s="32" t="s">
        <v>111</v>
      </c>
      <c r="G130" s="32">
        <v>79</v>
      </c>
      <c r="H130" s="32" t="s">
        <v>172</v>
      </c>
      <c r="I130" s="32">
        <v>3054</v>
      </c>
      <c r="J130" s="36">
        <v>892.68</v>
      </c>
      <c r="K130" s="32" t="s">
        <v>3876</v>
      </c>
      <c r="L130" s="169" t="s">
        <v>117</v>
      </c>
      <c r="M130" s="32" t="s">
        <v>111</v>
      </c>
    </row>
    <row r="131" spans="1:13" x14ac:dyDescent="0.25">
      <c r="A131" s="168">
        <v>46179</v>
      </c>
      <c r="B131" s="32">
        <v>1</v>
      </c>
      <c r="C131" s="32" t="s">
        <v>173</v>
      </c>
      <c r="D131" s="169" t="s">
        <v>174</v>
      </c>
      <c r="E131" s="169" t="s">
        <v>163</v>
      </c>
      <c r="F131" s="32" t="s">
        <v>164</v>
      </c>
      <c r="G131" s="32">
        <v>52</v>
      </c>
      <c r="H131" s="32" t="s">
        <v>175</v>
      </c>
      <c r="I131" s="32">
        <v>245</v>
      </c>
      <c r="J131" s="36">
        <v>471.38</v>
      </c>
      <c r="K131" s="32" t="s">
        <v>3877</v>
      </c>
      <c r="L131" s="169" t="s">
        <v>21</v>
      </c>
      <c r="M131" s="32" t="s">
        <v>224</v>
      </c>
    </row>
    <row r="132" spans="1:13" x14ac:dyDescent="0.25">
      <c r="A132" s="168">
        <v>46179</v>
      </c>
      <c r="B132" s="32">
        <v>1</v>
      </c>
      <c r="C132" s="32" t="s">
        <v>173</v>
      </c>
      <c r="D132" s="169" t="s">
        <v>174</v>
      </c>
      <c r="E132" s="169" t="s">
        <v>166</v>
      </c>
      <c r="F132" s="32" t="s">
        <v>164</v>
      </c>
      <c r="G132" s="32">
        <v>58</v>
      </c>
      <c r="H132" s="32" t="s">
        <v>165</v>
      </c>
      <c r="I132" s="32">
        <v>2942</v>
      </c>
      <c r="J132" s="36">
        <v>631.35</v>
      </c>
      <c r="K132" s="32" t="s">
        <v>3878</v>
      </c>
      <c r="L132" s="169" t="s">
        <v>27</v>
      </c>
      <c r="M132" s="32" t="s">
        <v>224</v>
      </c>
    </row>
    <row r="133" spans="1:13" x14ac:dyDescent="0.25">
      <c r="A133" s="168">
        <v>46179</v>
      </c>
      <c r="B133" s="32">
        <v>1</v>
      </c>
      <c r="C133" s="32" t="s">
        <v>183</v>
      </c>
      <c r="D133" s="169" t="s">
        <v>184</v>
      </c>
      <c r="E133" s="169" t="s">
        <v>163</v>
      </c>
      <c r="F133" s="32" t="s">
        <v>164</v>
      </c>
      <c r="G133" s="32">
        <v>52</v>
      </c>
      <c r="H133" s="32" t="s">
        <v>175</v>
      </c>
      <c r="I133" s="32">
        <v>2604</v>
      </c>
      <c r="J133" s="36">
        <v>501.01</v>
      </c>
      <c r="K133" s="32" t="s">
        <v>3879</v>
      </c>
      <c r="L133" s="169" t="s">
        <v>21</v>
      </c>
      <c r="M133" s="32" t="s">
        <v>224</v>
      </c>
    </row>
    <row r="134" spans="1:13" x14ac:dyDescent="0.25">
      <c r="A134" s="168">
        <v>46179</v>
      </c>
      <c r="B134" s="32">
        <v>1</v>
      </c>
      <c r="C134" s="32" t="s">
        <v>183</v>
      </c>
      <c r="D134" s="169" t="s">
        <v>184</v>
      </c>
      <c r="E134" s="169" t="s">
        <v>163</v>
      </c>
      <c r="F134" s="32" t="s">
        <v>111</v>
      </c>
      <c r="G134" s="32">
        <v>75</v>
      </c>
      <c r="H134" s="32" t="s">
        <v>169</v>
      </c>
      <c r="I134" s="32">
        <v>2956</v>
      </c>
      <c r="J134" s="36">
        <v>820.29</v>
      </c>
      <c r="K134" s="32" t="s">
        <v>3880</v>
      </c>
      <c r="L134" s="169" t="s">
        <v>3742</v>
      </c>
      <c r="M134" s="32" t="s">
        <v>111</v>
      </c>
    </row>
    <row r="135" spans="1:13" x14ac:dyDescent="0.25">
      <c r="A135" s="168">
        <v>46179</v>
      </c>
      <c r="B135" s="32">
        <v>1</v>
      </c>
      <c r="C135" s="32" t="s">
        <v>1129</v>
      </c>
      <c r="D135" s="169" t="s">
        <v>2396</v>
      </c>
      <c r="E135" s="169" t="s">
        <v>163</v>
      </c>
      <c r="F135" s="32" t="s">
        <v>111</v>
      </c>
      <c r="G135" s="32">
        <v>75</v>
      </c>
      <c r="H135" s="32" t="s">
        <v>185</v>
      </c>
      <c r="I135" s="32">
        <v>260</v>
      </c>
      <c r="J135" s="36">
        <v>721.5</v>
      </c>
      <c r="K135" s="32" t="s">
        <v>3881</v>
      </c>
      <c r="L135" s="169" t="s">
        <v>3738</v>
      </c>
      <c r="M135" s="32" t="s">
        <v>111</v>
      </c>
    </row>
    <row r="136" spans="1:13" x14ac:dyDescent="0.25">
      <c r="A136" s="168">
        <v>46179</v>
      </c>
      <c r="B136" s="32">
        <v>1</v>
      </c>
      <c r="C136" s="32" t="s">
        <v>193</v>
      </c>
      <c r="D136" s="169" t="s">
        <v>285</v>
      </c>
      <c r="E136" s="169" t="s">
        <v>163</v>
      </c>
      <c r="F136" s="32" t="s">
        <v>111</v>
      </c>
      <c r="G136" s="32">
        <v>75</v>
      </c>
      <c r="H136" s="32" t="s">
        <v>185</v>
      </c>
      <c r="I136" s="32">
        <v>273</v>
      </c>
      <c r="J136" s="36">
        <v>757.58</v>
      </c>
      <c r="K136" s="32" t="s">
        <v>3882</v>
      </c>
      <c r="L136" s="169" t="s">
        <v>3738</v>
      </c>
      <c r="M136" s="32" t="s">
        <v>111</v>
      </c>
    </row>
    <row r="137" spans="1:13" x14ac:dyDescent="0.25">
      <c r="A137" s="168">
        <v>46179</v>
      </c>
      <c r="B137" s="32">
        <v>1</v>
      </c>
      <c r="C137" s="32" t="s">
        <v>200</v>
      </c>
      <c r="D137" s="169" t="s">
        <v>201</v>
      </c>
      <c r="E137" s="169" t="s">
        <v>2868</v>
      </c>
      <c r="F137" s="32" t="s">
        <v>2881</v>
      </c>
      <c r="G137" s="32">
        <v>62</v>
      </c>
      <c r="H137" s="32" t="s">
        <v>2869</v>
      </c>
      <c r="I137" s="32">
        <v>5283</v>
      </c>
      <c r="J137" s="36">
        <v>1211.92</v>
      </c>
      <c r="K137" s="32" t="s">
        <v>3883</v>
      </c>
      <c r="L137" s="169" t="s">
        <v>3825</v>
      </c>
      <c r="M137" s="32" t="s">
        <v>157</v>
      </c>
    </row>
    <row r="138" spans="1:13" x14ac:dyDescent="0.25">
      <c r="A138" s="168">
        <v>46179</v>
      </c>
      <c r="B138" s="32">
        <v>1</v>
      </c>
      <c r="C138" s="32" t="s">
        <v>286</v>
      </c>
      <c r="D138" s="169" t="s">
        <v>506</v>
      </c>
      <c r="E138" s="169" t="s">
        <v>163</v>
      </c>
      <c r="F138" s="32" t="s">
        <v>164</v>
      </c>
      <c r="G138" s="32">
        <v>52</v>
      </c>
      <c r="H138" s="32" t="s">
        <v>165</v>
      </c>
      <c r="I138" s="32">
        <v>450</v>
      </c>
      <c r="J138" s="36">
        <v>865.8</v>
      </c>
      <c r="K138" s="32" t="s">
        <v>3884</v>
      </c>
      <c r="L138" s="169" t="s">
        <v>31</v>
      </c>
      <c r="M138" s="32" t="s">
        <v>224</v>
      </c>
    </row>
    <row r="139" spans="1:13" x14ac:dyDescent="0.25">
      <c r="A139" s="168">
        <v>46180</v>
      </c>
      <c r="B139" s="32">
        <v>1</v>
      </c>
      <c r="C139" s="32" t="s">
        <v>1948</v>
      </c>
      <c r="D139" s="169" t="s">
        <v>1949</v>
      </c>
      <c r="E139" s="169" t="s">
        <v>2868</v>
      </c>
      <c r="F139" s="32" t="s">
        <v>2881</v>
      </c>
      <c r="G139" s="32">
        <v>62</v>
      </c>
      <c r="H139" s="32" t="s">
        <v>2869</v>
      </c>
      <c r="I139" s="32">
        <v>518</v>
      </c>
      <c r="J139" s="36">
        <v>1188.29</v>
      </c>
      <c r="K139" s="32" t="s">
        <v>3885</v>
      </c>
      <c r="L139" s="169" t="s">
        <v>3825</v>
      </c>
      <c r="M139" s="32" t="s">
        <v>157</v>
      </c>
    </row>
    <row r="140" spans="1:13" x14ac:dyDescent="0.25">
      <c r="A140" s="168">
        <v>46181</v>
      </c>
      <c r="B140" s="32">
        <v>1</v>
      </c>
      <c r="C140" s="32" t="s">
        <v>196</v>
      </c>
      <c r="D140" s="169" t="s">
        <v>197</v>
      </c>
      <c r="E140" s="169" t="s">
        <v>276</v>
      </c>
      <c r="F140" s="32" t="s">
        <v>2033</v>
      </c>
      <c r="G140" s="32">
        <v>323</v>
      </c>
      <c r="H140" s="32" t="s">
        <v>172</v>
      </c>
      <c r="I140" s="32">
        <v>6874</v>
      </c>
      <c r="J140" s="36">
        <v>7104.97</v>
      </c>
      <c r="K140" s="32" t="s">
        <v>3886</v>
      </c>
      <c r="L140" s="169" t="s">
        <v>3735</v>
      </c>
      <c r="M140" s="32" t="s">
        <v>15</v>
      </c>
    </row>
    <row r="141" spans="1:13" x14ac:dyDescent="0.25">
      <c r="A141" s="168">
        <v>46181</v>
      </c>
      <c r="B141" s="32">
        <v>1</v>
      </c>
      <c r="C141" s="32" t="s">
        <v>200</v>
      </c>
      <c r="D141" s="169" t="s">
        <v>201</v>
      </c>
      <c r="E141" s="169" t="s">
        <v>2868</v>
      </c>
      <c r="F141" s="32" t="s">
        <v>2871</v>
      </c>
      <c r="G141" s="32">
        <v>70</v>
      </c>
      <c r="H141" s="32" t="s">
        <v>2869</v>
      </c>
      <c r="I141" s="32">
        <v>54529</v>
      </c>
      <c r="J141" s="36">
        <v>1412.3</v>
      </c>
      <c r="K141" s="32" t="s">
        <v>3887</v>
      </c>
      <c r="L141" s="169" t="s">
        <v>3777</v>
      </c>
      <c r="M141" s="32" t="s">
        <v>157</v>
      </c>
    </row>
    <row r="142" spans="1:13" x14ac:dyDescent="0.25">
      <c r="A142" s="168">
        <v>46181</v>
      </c>
      <c r="B142" s="32">
        <v>1</v>
      </c>
      <c r="C142" s="32" t="s">
        <v>342</v>
      </c>
      <c r="D142" s="169" t="s">
        <v>171</v>
      </c>
      <c r="E142" s="169" t="s">
        <v>163</v>
      </c>
      <c r="F142" s="32" t="s">
        <v>164</v>
      </c>
      <c r="G142" s="32">
        <v>52</v>
      </c>
      <c r="H142" s="32" t="s">
        <v>185</v>
      </c>
      <c r="I142" s="32">
        <v>4578</v>
      </c>
      <c r="J142" s="36">
        <v>880.81</v>
      </c>
      <c r="K142" s="32" t="s">
        <v>3888</v>
      </c>
      <c r="L142" s="169" t="s">
        <v>20</v>
      </c>
      <c r="M142" s="32" t="s">
        <v>224</v>
      </c>
    </row>
    <row r="143" spans="1:13" x14ac:dyDescent="0.25">
      <c r="A143" s="168">
        <v>46181</v>
      </c>
      <c r="B143" s="32">
        <v>1</v>
      </c>
      <c r="C143" s="32" t="s">
        <v>192</v>
      </c>
      <c r="D143" s="169" t="s">
        <v>287</v>
      </c>
      <c r="E143" s="169" t="s">
        <v>163</v>
      </c>
      <c r="F143" s="32" t="s">
        <v>164</v>
      </c>
      <c r="G143" s="32">
        <v>52</v>
      </c>
      <c r="H143" s="32" t="s">
        <v>165</v>
      </c>
      <c r="I143" s="32">
        <v>592</v>
      </c>
      <c r="J143" s="36">
        <v>1139.01</v>
      </c>
      <c r="K143" s="32" t="s">
        <v>3889</v>
      </c>
      <c r="L143" s="169" t="s">
        <v>31</v>
      </c>
      <c r="M143" s="32" t="s">
        <v>224</v>
      </c>
    </row>
    <row r="144" spans="1:13" x14ac:dyDescent="0.25">
      <c r="A144" s="168">
        <v>46181</v>
      </c>
      <c r="B144" s="32">
        <v>1</v>
      </c>
      <c r="C144" s="32" t="s">
        <v>202</v>
      </c>
      <c r="D144" s="169" t="s">
        <v>214</v>
      </c>
      <c r="E144" s="169" t="s">
        <v>166</v>
      </c>
      <c r="F144" s="32" t="s">
        <v>164</v>
      </c>
      <c r="G144" s="32">
        <v>58</v>
      </c>
      <c r="H144" s="32" t="s">
        <v>165</v>
      </c>
      <c r="I144" s="32">
        <v>4794</v>
      </c>
      <c r="J144" s="36">
        <v>1028.79</v>
      </c>
      <c r="K144" s="32" t="s">
        <v>3890</v>
      </c>
      <c r="L144" s="169" t="s">
        <v>27</v>
      </c>
      <c r="M144" s="32" t="s">
        <v>224</v>
      </c>
    </row>
    <row r="145" spans="1:13" x14ac:dyDescent="0.25">
      <c r="A145" s="168">
        <v>46181</v>
      </c>
      <c r="B145" s="32">
        <v>1</v>
      </c>
      <c r="C145" s="32" t="s">
        <v>199</v>
      </c>
      <c r="D145" s="169" t="s">
        <v>180</v>
      </c>
      <c r="E145" s="169" t="s">
        <v>163</v>
      </c>
      <c r="F145" s="32" t="s">
        <v>111</v>
      </c>
      <c r="G145" s="32">
        <v>75</v>
      </c>
      <c r="H145" s="32" t="s">
        <v>185</v>
      </c>
      <c r="I145" s="32">
        <v>2888</v>
      </c>
      <c r="J145" s="36">
        <v>801.42</v>
      </c>
      <c r="K145" s="32" t="s">
        <v>3891</v>
      </c>
      <c r="L145" s="169" t="s">
        <v>3738</v>
      </c>
      <c r="M145" s="32" t="s">
        <v>111</v>
      </c>
    </row>
    <row r="146" spans="1:13" x14ac:dyDescent="0.25">
      <c r="A146" s="168">
        <v>46181</v>
      </c>
      <c r="B146" s="32">
        <v>1</v>
      </c>
      <c r="C146" s="32" t="s">
        <v>167</v>
      </c>
      <c r="D146" s="169" t="s">
        <v>168</v>
      </c>
      <c r="E146" s="169" t="s">
        <v>163</v>
      </c>
      <c r="F146" s="32" t="s">
        <v>111</v>
      </c>
      <c r="G146" s="32">
        <v>75</v>
      </c>
      <c r="H146" s="32" t="s">
        <v>185</v>
      </c>
      <c r="I146" s="32">
        <v>2674</v>
      </c>
      <c r="J146" s="36">
        <v>742.04</v>
      </c>
      <c r="K146" s="32" t="s">
        <v>3892</v>
      </c>
      <c r="L146" s="169" t="s">
        <v>3738</v>
      </c>
      <c r="M146" s="32" t="s">
        <v>111</v>
      </c>
    </row>
    <row r="147" spans="1:13" x14ac:dyDescent="0.25">
      <c r="A147" s="168">
        <v>46181</v>
      </c>
      <c r="B147" s="32">
        <v>1</v>
      </c>
      <c r="C147" s="32" t="s">
        <v>188</v>
      </c>
      <c r="D147" s="169" t="s">
        <v>189</v>
      </c>
      <c r="E147" s="169" t="s">
        <v>276</v>
      </c>
      <c r="F147" s="32" t="s">
        <v>2033</v>
      </c>
      <c r="G147" s="32">
        <v>323</v>
      </c>
      <c r="H147" s="32" t="s">
        <v>172</v>
      </c>
      <c r="I147" s="32">
        <v>7828</v>
      </c>
      <c r="J147" s="36">
        <v>8091.02</v>
      </c>
      <c r="K147" s="32" t="s">
        <v>3893</v>
      </c>
      <c r="L147" s="169" t="s">
        <v>3735</v>
      </c>
      <c r="M147" s="32" t="s">
        <v>15</v>
      </c>
    </row>
    <row r="148" spans="1:13" x14ac:dyDescent="0.25">
      <c r="A148" s="168">
        <v>46181</v>
      </c>
      <c r="B148" s="32">
        <v>1</v>
      </c>
      <c r="C148" s="32" t="s">
        <v>205</v>
      </c>
      <c r="D148" s="169" t="s">
        <v>206</v>
      </c>
      <c r="E148" s="169" t="s">
        <v>276</v>
      </c>
      <c r="F148" s="32" t="s">
        <v>2033</v>
      </c>
      <c r="G148" s="32">
        <v>323</v>
      </c>
      <c r="H148" s="32" t="s">
        <v>185</v>
      </c>
      <c r="I148" s="32">
        <v>757</v>
      </c>
      <c r="J148" s="36">
        <v>7824.35</v>
      </c>
      <c r="K148" s="32" t="s">
        <v>3894</v>
      </c>
      <c r="L148" s="169" t="s">
        <v>3817</v>
      </c>
      <c r="M148" s="32" t="s">
        <v>15</v>
      </c>
    </row>
    <row r="149" spans="1:13" x14ac:dyDescent="0.25">
      <c r="A149" s="168">
        <v>46181</v>
      </c>
      <c r="B149" s="32">
        <v>1</v>
      </c>
      <c r="C149" s="32" t="s">
        <v>167</v>
      </c>
      <c r="D149" s="169" t="s">
        <v>168</v>
      </c>
      <c r="E149" s="169" t="s">
        <v>163</v>
      </c>
      <c r="F149" s="32" t="s">
        <v>111</v>
      </c>
      <c r="G149" s="32">
        <v>75</v>
      </c>
      <c r="H149" s="32" t="s">
        <v>185</v>
      </c>
      <c r="I149" s="32">
        <v>2726</v>
      </c>
      <c r="J149" s="36">
        <v>756.47</v>
      </c>
      <c r="K149" s="32" t="s">
        <v>3895</v>
      </c>
      <c r="L149" s="169" t="s">
        <v>3738</v>
      </c>
      <c r="M149" s="32" t="s">
        <v>111</v>
      </c>
    </row>
    <row r="150" spans="1:13" x14ac:dyDescent="0.25">
      <c r="A150" s="168">
        <v>46181</v>
      </c>
      <c r="B150" s="32">
        <v>1</v>
      </c>
      <c r="C150" s="32" t="s">
        <v>342</v>
      </c>
      <c r="D150" s="169" t="s">
        <v>171</v>
      </c>
      <c r="E150" s="169" t="s">
        <v>163</v>
      </c>
      <c r="F150" s="32" t="s">
        <v>164</v>
      </c>
      <c r="G150" s="32">
        <v>52</v>
      </c>
      <c r="H150" s="32" t="s">
        <v>185</v>
      </c>
      <c r="I150" s="32">
        <v>4496</v>
      </c>
      <c r="J150" s="36">
        <v>865.03</v>
      </c>
      <c r="K150" s="32" t="s">
        <v>3896</v>
      </c>
      <c r="L150" s="169" t="s">
        <v>20</v>
      </c>
      <c r="M150" s="32" t="s">
        <v>224</v>
      </c>
    </row>
    <row r="151" spans="1:13" x14ac:dyDescent="0.25">
      <c r="A151" s="168">
        <v>46181</v>
      </c>
      <c r="B151" s="32">
        <v>1</v>
      </c>
      <c r="C151" s="32" t="s">
        <v>202</v>
      </c>
      <c r="D151" s="169" t="s">
        <v>214</v>
      </c>
      <c r="E151" s="169" t="s">
        <v>166</v>
      </c>
      <c r="F151" s="32" t="s">
        <v>191</v>
      </c>
      <c r="G151" s="32">
        <v>243</v>
      </c>
      <c r="H151" s="32" t="s">
        <v>165</v>
      </c>
      <c r="I151" s="32">
        <v>6538</v>
      </c>
      <c r="J151" s="36">
        <v>5878.32</v>
      </c>
      <c r="K151" s="32" t="s">
        <v>3897</v>
      </c>
      <c r="L151" s="169" t="s">
        <v>36</v>
      </c>
      <c r="M151" s="32" t="s">
        <v>3780</v>
      </c>
    </row>
    <row r="152" spans="1:13" x14ac:dyDescent="0.25">
      <c r="A152" s="168">
        <v>46181</v>
      </c>
      <c r="B152" s="32">
        <v>1</v>
      </c>
      <c r="C152" s="32" t="s">
        <v>208</v>
      </c>
      <c r="D152" s="169" t="s">
        <v>209</v>
      </c>
      <c r="E152" s="169" t="s">
        <v>190</v>
      </c>
      <c r="F152" s="32" t="s">
        <v>212</v>
      </c>
      <c r="G152" s="32">
        <v>376</v>
      </c>
      <c r="H152" s="32" t="s">
        <v>165</v>
      </c>
      <c r="I152" s="32">
        <v>570</v>
      </c>
      <c r="J152" s="36">
        <v>6858.24</v>
      </c>
      <c r="K152" s="32" t="s">
        <v>3898</v>
      </c>
      <c r="L152" s="169" t="s">
        <v>22</v>
      </c>
      <c r="M152" s="32" t="s">
        <v>223</v>
      </c>
    </row>
    <row r="153" spans="1:13" x14ac:dyDescent="0.25">
      <c r="A153" s="168">
        <v>46181</v>
      </c>
      <c r="B153" s="32">
        <v>1</v>
      </c>
      <c r="C153" s="32" t="s">
        <v>283</v>
      </c>
      <c r="D153" s="169" t="s">
        <v>282</v>
      </c>
      <c r="E153" s="169" t="s">
        <v>166</v>
      </c>
      <c r="F153" s="32" t="s">
        <v>1178</v>
      </c>
      <c r="G153" s="32">
        <v>51</v>
      </c>
      <c r="H153" s="32" t="s">
        <v>172</v>
      </c>
      <c r="I153" s="32">
        <v>2924</v>
      </c>
      <c r="J153" s="36">
        <v>551.76</v>
      </c>
      <c r="K153" s="32" t="s">
        <v>3899</v>
      </c>
      <c r="L153" s="169" t="s">
        <v>3847</v>
      </c>
      <c r="M153" s="32" t="s">
        <v>1178</v>
      </c>
    </row>
    <row r="154" spans="1:13" x14ac:dyDescent="0.25">
      <c r="A154" s="168">
        <v>46181</v>
      </c>
      <c r="B154" s="32">
        <v>1</v>
      </c>
      <c r="C154" s="32" t="s">
        <v>1129</v>
      </c>
      <c r="D154" s="169" t="s">
        <v>2396</v>
      </c>
      <c r="E154" s="169" t="s">
        <v>163</v>
      </c>
      <c r="F154" s="32" t="s">
        <v>111</v>
      </c>
      <c r="G154" s="32">
        <v>75</v>
      </c>
      <c r="H154" s="32" t="s">
        <v>185</v>
      </c>
      <c r="I154" s="32">
        <v>2908</v>
      </c>
      <c r="J154" s="36">
        <v>806.97</v>
      </c>
      <c r="K154" s="32" t="s">
        <v>3900</v>
      </c>
      <c r="L154" s="169" t="s">
        <v>3738</v>
      </c>
      <c r="M154" s="32" t="s">
        <v>111</v>
      </c>
    </row>
    <row r="155" spans="1:13" x14ac:dyDescent="0.25">
      <c r="A155" s="168">
        <v>46181</v>
      </c>
      <c r="B155" s="32">
        <v>1</v>
      </c>
      <c r="C155" s="32" t="s">
        <v>1129</v>
      </c>
      <c r="D155" s="169" t="s">
        <v>2396</v>
      </c>
      <c r="E155" s="169" t="s">
        <v>163</v>
      </c>
      <c r="F155" s="32" t="s">
        <v>111</v>
      </c>
      <c r="G155" s="32">
        <v>75</v>
      </c>
      <c r="H155" s="32" t="s">
        <v>185</v>
      </c>
      <c r="I155" s="32">
        <v>2553</v>
      </c>
      <c r="J155" s="36">
        <v>708.46</v>
      </c>
      <c r="K155" s="32" t="s">
        <v>3901</v>
      </c>
      <c r="L155" s="169" t="s">
        <v>3738</v>
      </c>
      <c r="M155" s="32" t="s">
        <v>111</v>
      </c>
    </row>
    <row r="156" spans="1:13" x14ac:dyDescent="0.25">
      <c r="A156" s="168">
        <v>46181</v>
      </c>
      <c r="B156" s="32">
        <v>1</v>
      </c>
      <c r="C156" s="32" t="s">
        <v>193</v>
      </c>
      <c r="D156" s="169" t="s">
        <v>285</v>
      </c>
      <c r="E156" s="169" t="s">
        <v>163</v>
      </c>
      <c r="F156" s="32" t="s">
        <v>111</v>
      </c>
      <c r="G156" s="32">
        <v>75</v>
      </c>
      <c r="H156" s="32" t="s">
        <v>185</v>
      </c>
      <c r="I156" s="32">
        <v>283</v>
      </c>
      <c r="J156" s="36">
        <v>785.33</v>
      </c>
      <c r="K156" s="32" t="s">
        <v>3902</v>
      </c>
      <c r="L156" s="169" t="s">
        <v>3738</v>
      </c>
      <c r="M156" s="32" t="s">
        <v>111</v>
      </c>
    </row>
    <row r="157" spans="1:13" x14ac:dyDescent="0.25">
      <c r="A157" s="168">
        <v>46181</v>
      </c>
      <c r="B157" s="32">
        <v>1</v>
      </c>
      <c r="C157" s="32" t="s">
        <v>193</v>
      </c>
      <c r="D157" s="169" t="s">
        <v>285</v>
      </c>
      <c r="E157" s="169" t="s">
        <v>163</v>
      </c>
      <c r="F157" s="32" t="s">
        <v>111</v>
      </c>
      <c r="G157" s="32">
        <v>75</v>
      </c>
      <c r="H157" s="32" t="s">
        <v>185</v>
      </c>
      <c r="I157" s="32">
        <v>2776</v>
      </c>
      <c r="J157" s="36">
        <v>770.34</v>
      </c>
      <c r="K157" s="32" t="s">
        <v>3903</v>
      </c>
      <c r="L157" s="169" t="s">
        <v>3738</v>
      </c>
      <c r="M157" s="32" t="s">
        <v>111</v>
      </c>
    </row>
    <row r="158" spans="1:13" x14ac:dyDescent="0.25">
      <c r="A158" s="168">
        <v>46181</v>
      </c>
      <c r="B158" s="32">
        <v>1</v>
      </c>
      <c r="C158" s="32" t="s">
        <v>275</v>
      </c>
      <c r="D158" s="169" t="s">
        <v>178</v>
      </c>
      <c r="E158" s="169" t="s">
        <v>163</v>
      </c>
      <c r="F158" s="32" t="s">
        <v>164</v>
      </c>
      <c r="G158" s="32">
        <v>52</v>
      </c>
      <c r="H158" s="32" t="s">
        <v>175</v>
      </c>
      <c r="I158" s="32">
        <v>4458</v>
      </c>
      <c r="J158" s="36">
        <v>857.72</v>
      </c>
      <c r="K158" s="32" t="s">
        <v>3904</v>
      </c>
      <c r="L158" s="169" t="s">
        <v>21</v>
      </c>
      <c r="M158" s="32" t="s">
        <v>224</v>
      </c>
    </row>
    <row r="159" spans="1:13" x14ac:dyDescent="0.25">
      <c r="A159" s="168">
        <v>46181</v>
      </c>
      <c r="B159" s="32">
        <v>1</v>
      </c>
      <c r="C159" s="32" t="s">
        <v>275</v>
      </c>
      <c r="D159" s="169" t="s">
        <v>178</v>
      </c>
      <c r="E159" s="169" t="s">
        <v>166</v>
      </c>
      <c r="F159" s="32" t="s">
        <v>164</v>
      </c>
      <c r="G159" s="32">
        <v>58</v>
      </c>
      <c r="H159" s="32" t="s">
        <v>165</v>
      </c>
      <c r="I159" s="32">
        <v>4668</v>
      </c>
      <c r="J159" s="36">
        <v>1001.75</v>
      </c>
      <c r="K159" s="32" t="s">
        <v>3905</v>
      </c>
      <c r="L159" s="169" t="s">
        <v>27</v>
      </c>
      <c r="M159" s="32" t="s">
        <v>224</v>
      </c>
    </row>
    <row r="160" spans="1:13" x14ac:dyDescent="0.25">
      <c r="A160" s="168">
        <v>46181</v>
      </c>
      <c r="B160" s="32">
        <v>1</v>
      </c>
      <c r="C160" s="32" t="s">
        <v>183</v>
      </c>
      <c r="D160" s="169" t="s">
        <v>184</v>
      </c>
      <c r="E160" s="169" t="s">
        <v>163</v>
      </c>
      <c r="F160" s="32" t="s">
        <v>164</v>
      </c>
      <c r="G160" s="32">
        <v>52</v>
      </c>
      <c r="H160" s="32" t="s">
        <v>175</v>
      </c>
      <c r="I160" s="32">
        <v>2892</v>
      </c>
      <c r="J160" s="36">
        <v>556.41999999999996</v>
      </c>
      <c r="K160" s="32" t="s">
        <v>3906</v>
      </c>
      <c r="L160" s="169" t="s">
        <v>21</v>
      </c>
      <c r="M160" s="32" t="s">
        <v>224</v>
      </c>
    </row>
    <row r="161" spans="1:13" x14ac:dyDescent="0.25">
      <c r="A161" s="168">
        <v>46181</v>
      </c>
      <c r="B161" s="32">
        <v>1</v>
      </c>
      <c r="C161" s="32" t="s">
        <v>183</v>
      </c>
      <c r="D161" s="169" t="s">
        <v>184</v>
      </c>
      <c r="E161" s="169" t="s">
        <v>163</v>
      </c>
      <c r="F161" s="32" t="s">
        <v>164</v>
      </c>
      <c r="G161" s="32">
        <v>52</v>
      </c>
      <c r="H161" s="32" t="s">
        <v>175</v>
      </c>
      <c r="I161" s="32">
        <v>2674</v>
      </c>
      <c r="J161" s="36">
        <v>514.48</v>
      </c>
      <c r="K161" s="32" t="s">
        <v>3907</v>
      </c>
      <c r="L161" s="169" t="s">
        <v>21</v>
      </c>
      <c r="M161" s="32" t="s">
        <v>224</v>
      </c>
    </row>
    <row r="162" spans="1:13" x14ac:dyDescent="0.25">
      <c r="A162" s="168">
        <v>46181</v>
      </c>
      <c r="B162" s="32">
        <v>1</v>
      </c>
      <c r="C162" s="32" t="s">
        <v>183</v>
      </c>
      <c r="D162" s="169" t="s">
        <v>184</v>
      </c>
      <c r="E162" s="169" t="s">
        <v>163</v>
      </c>
      <c r="F162" s="32" t="s">
        <v>111</v>
      </c>
      <c r="G162" s="32">
        <v>75</v>
      </c>
      <c r="H162" s="32" t="s">
        <v>169</v>
      </c>
      <c r="I162" s="32">
        <v>3148</v>
      </c>
      <c r="J162" s="36">
        <v>873.57</v>
      </c>
      <c r="K162" s="32" t="s">
        <v>3908</v>
      </c>
      <c r="L162" s="169" t="s">
        <v>3742</v>
      </c>
      <c r="M162" s="32" t="s">
        <v>111</v>
      </c>
    </row>
    <row r="163" spans="1:13" x14ac:dyDescent="0.25">
      <c r="A163" s="168">
        <v>46181</v>
      </c>
      <c r="B163" s="32">
        <v>1</v>
      </c>
      <c r="C163" s="32" t="s">
        <v>219</v>
      </c>
      <c r="D163" s="169" t="s">
        <v>220</v>
      </c>
      <c r="E163" s="169" t="s">
        <v>163</v>
      </c>
      <c r="F163" s="32" t="s">
        <v>164</v>
      </c>
      <c r="G163" s="32">
        <v>52</v>
      </c>
      <c r="H163" s="32" t="s">
        <v>175</v>
      </c>
      <c r="I163" s="32">
        <v>524</v>
      </c>
      <c r="J163" s="36">
        <v>1008.18</v>
      </c>
      <c r="K163" s="32" t="s">
        <v>3909</v>
      </c>
      <c r="L163" s="169" t="s">
        <v>21</v>
      </c>
      <c r="M163" s="32" t="s">
        <v>224</v>
      </c>
    </row>
    <row r="164" spans="1:13" x14ac:dyDescent="0.25">
      <c r="A164" s="168">
        <v>46181</v>
      </c>
      <c r="B164" s="32">
        <v>1</v>
      </c>
      <c r="C164" s="32" t="s">
        <v>219</v>
      </c>
      <c r="D164" s="169" t="s">
        <v>220</v>
      </c>
      <c r="E164" s="169" t="s">
        <v>163</v>
      </c>
      <c r="F164" s="32" t="s">
        <v>164</v>
      </c>
      <c r="G164" s="32">
        <v>52</v>
      </c>
      <c r="H164" s="32" t="s">
        <v>175</v>
      </c>
      <c r="I164" s="32">
        <v>531</v>
      </c>
      <c r="J164" s="36">
        <v>1021.64</v>
      </c>
      <c r="K164" s="32" t="s">
        <v>3910</v>
      </c>
      <c r="L164" s="169" t="s">
        <v>21</v>
      </c>
      <c r="M164" s="32" t="s">
        <v>224</v>
      </c>
    </row>
    <row r="165" spans="1:13" x14ac:dyDescent="0.25">
      <c r="A165" s="168">
        <v>46181</v>
      </c>
      <c r="B165" s="32">
        <v>1</v>
      </c>
      <c r="C165" s="32" t="s">
        <v>286</v>
      </c>
      <c r="D165" s="169" t="s">
        <v>506</v>
      </c>
      <c r="E165" s="169" t="s">
        <v>163</v>
      </c>
      <c r="F165" s="32" t="s">
        <v>164</v>
      </c>
      <c r="G165" s="32">
        <v>52</v>
      </c>
      <c r="H165" s="32" t="s">
        <v>175</v>
      </c>
      <c r="I165" s="32">
        <v>4704</v>
      </c>
      <c r="J165" s="36">
        <v>905.05</v>
      </c>
      <c r="K165" s="32" t="s">
        <v>3911</v>
      </c>
      <c r="L165" s="169" t="s">
        <v>21</v>
      </c>
      <c r="M165" s="32" t="s">
        <v>224</v>
      </c>
    </row>
    <row r="166" spans="1:13" x14ac:dyDescent="0.25">
      <c r="A166" s="168">
        <v>46181</v>
      </c>
      <c r="B166" s="32">
        <v>1</v>
      </c>
      <c r="C166" s="32" t="s">
        <v>286</v>
      </c>
      <c r="D166" s="169" t="s">
        <v>506</v>
      </c>
      <c r="E166" s="169" t="s">
        <v>163</v>
      </c>
      <c r="F166" s="32" t="s">
        <v>164</v>
      </c>
      <c r="G166" s="32">
        <v>52</v>
      </c>
      <c r="H166" s="32" t="s">
        <v>175</v>
      </c>
      <c r="I166" s="32">
        <v>442</v>
      </c>
      <c r="J166" s="36">
        <v>850.41</v>
      </c>
      <c r="K166" s="32" t="s">
        <v>3912</v>
      </c>
      <c r="L166" s="169" t="s">
        <v>21</v>
      </c>
      <c r="M166" s="32" t="s">
        <v>224</v>
      </c>
    </row>
    <row r="167" spans="1:13" x14ac:dyDescent="0.25">
      <c r="A167" s="168">
        <v>46181</v>
      </c>
      <c r="B167" s="32">
        <v>1</v>
      </c>
      <c r="C167" s="32" t="s">
        <v>179</v>
      </c>
      <c r="D167" s="169" t="s">
        <v>2863</v>
      </c>
      <c r="E167" s="169" t="s">
        <v>166</v>
      </c>
      <c r="F167" s="32" t="s">
        <v>111</v>
      </c>
      <c r="G167" s="32">
        <v>79</v>
      </c>
      <c r="H167" s="32" t="s">
        <v>169</v>
      </c>
      <c r="I167" s="32">
        <v>2818</v>
      </c>
      <c r="J167" s="36">
        <v>823.7</v>
      </c>
      <c r="K167" s="32" t="s">
        <v>3913</v>
      </c>
      <c r="L167" s="169" t="s">
        <v>116</v>
      </c>
      <c r="M167" s="32" t="s">
        <v>111</v>
      </c>
    </row>
    <row r="168" spans="1:13" x14ac:dyDescent="0.25">
      <c r="A168" s="168">
        <v>46181</v>
      </c>
      <c r="B168" s="32">
        <v>1</v>
      </c>
      <c r="C168" s="32" t="s">
        <v>179</v>
      </c>
      <c r="D168" s="169" t="s">
        <v>2863</v>
      </c>
      <c r="E168" s="169" t="s">
        <v>166</v>
      </c>
      <c r="F168" s="32" t="s">
        <v>111</v>
      </c>
      <c r="G168" s="32">
        <v>79</v>
      </c>
      <c r="H168" s="32" t="s">
        <v>169</v>
      </c>
      <c r="I168" s="32">
        <v>2617</v>
      </c>
      <c r="J168" s="36">
        <v>764.95</v>
      </c>
      <c r="K168" s="32" t="s">
        <v>3914</v>
      </c>
      <c r="L168" s="169" t="s">
        <v>116</v>
      </c>
      <c r="M168" s="32" t="s">
        <v>111</v>
      </c>
    </row>
    <row r="169" spans="1:13" x14ac:dyDescent="0.25">
      <c r="A169" s="168">
        <v>46182</v>
      </c>
      <c r="B169" s="32">
        <v>1</v>
      </c>
      <c r="C169" s="32" t="s">
        <v>342</v>
      </c>
      <c r="D169" s="169" t="s">
        <v>171</v>
      </c>
      <c r="E169" s="169" t="s">
        <v>163</v>
      </c>
      <c r="F169" s="32" t="s">
        <v>164</v>
      </c>
      <c r="G169" s="32">
        <v>52</v>
      </c>
      <c r="H169" s="32" t="s">
        <v>185</v>
      </c>
      <c r="I169" s="32">
        <v>4491</v>
      </c>
      <c r="J169" s="36">
        <v>864.07</v>
      </c>
      <c r="K169" s="32" t="s">
        <v>3915</v>
      </c>
      <c r="L169" s="169" t="s">
        <v>20</v>
      </c>
      <c r="M169" s="32" t="s">
        <v>224</v>
      </c>
    </row>
    <row r="170" spans="1:13" x14ac:dyDescent="0.25">
      <c r="A170" s="168">
        <v>46182</v>
      </c>
      <c r="B170" s="32">
        <v>1</v>
      </c>
      <c r="C170" s="32" t="s">
        <v>199</v>
      </c>
      <c r="D170" s="169" t="s">
        <v>180</v>
      </c>
      <c r="E170" s="169" t="s">
        <v>163</v>
      </c>
      <c r="F170" s="32" t="s">
        <v>111</v>
      </c>
      <c r="G170" s="32">
        <v>75</v>
      </c>
      <c r="H170" s="32" t="s">
        <v>185</v>
      </c>
      <c r="I170" s="32">
        <v>2855</v>
      </c>
      <c r="J170" s="36">
        <v>792.26</v>
      </c>
      <c r="K170" s="32" t="s">
        <v>3916</v>
      </c>
      <c r="L170" s="169" t="s">
        <v>3738</v>
      </c>
      <c r="M170" s="32" t="s">
        <v>111</v>
      </c>
    </row>
    <row r="171" spans="1:13" x14ac:dyDescent="0.25">
      <c r="A171" s="168">
        <v>46182</v>
      </c>
      <c r="B171" s="32">
        <v>1</v>
      </c>
      <c r="C171" s="32" t="s">
        <v>167</v>
      </c>
      <c r="D171" s="169" t="s">
        <v>168</v>
      </c>
      <c r="E171" s="169" t="s">
        <v>163</v>
      </c>
      <c r="F171" s="32" t="s">
        <v>111</v>
      </c>
      <c r="G171" s="32">
        <v>75</v>
      </c>
      <c r="H171" s="32" t="s">
        <v>185</v>
      </c>
      <c r="I171" s="32">
        <v>2689</v>
      </c>
      <c r="J171" s="36">
        <v>746.2</v>
      </c>
      <c r="K171" s="32" t="s">
        <v>3917</v>
      </c>
      <c r="L171" s="169" t="s">
        <v>3738</v>
      </c>
      <c r="M171" s="32" t="s">
        <v>111</v>
      </c>
    </row>
    <row r="172" spans="1:13" x14ac:dyDescent="0.25">
      <c r="A172" s="168">
        <v>46182</v>
      </c>
      <c r="B172" s="32">
        <v>1</v>
      </c>
      <c r="C172" s="32" t="s">
        <v>167</v>
      </c>
      <c r="D172" s="169" t="s">
        <v>168</v>
      </c>
      <c r="E172" s="169" t="s">
        <v>163</v>
      </c>
      <c r="F172" s="32" t="s">
        <v>164</v>
      </c>
      <c r="G172" s="32">
        <v>52</v>
      </c>
      <c r="H172" s="32" t="s">
        <v>185</v>
      </c>
      <c r="I172" s="32">
        <v>2664</v>
      </c>
      <c r="J172" s="36">
        <v>512.54999999999995</v>
      </c>
      <c r="K172" s="32" t="s">
        <v>3918</v>
      </c>
      <c r="L172" s="169" t="s">
        <v>20</v>
      </c>
      <c r="M172" s="32" t="s">
        <v>224</v>
      </c>
    </row>
    <row r="173" spans="1:13" x14ac:dyDescent="0.25">
      <c r="A173" s="168">
        <v>46182</v>
      </c>
      <c r="B173" s="32">
        <v>1</v>
      </c>
      <c r="C173" s="32" t="s">
        <v>202</v>
      </c>
      <c r="D173" s="169" t="s">
        <v>214</v>
      </c>
      <c r="E173" s="169" t="s">
        <v>166</v>
      </c>
      <c r="F173" s="32" t="s">
        <v>191</v>
      </c>
      <c r="G173" s="32">
        <v>243</v>
      </c>
      <c r="H173" s="32" t="s">
        <v>165</v>
      </c>
      <c r="I173" s="32">
        <v>6422</v>
      </c>
      <c r="J173" s="36">
        <v>5774.02</v>
      </c>
      <c r="K173" s="32" t="s">
        <v>3919</v>
      </c>
      <c r="L173" s="169" t="s">
        <v>36</v>
      </c>
      <c r="M173" s="32" t="s">
        <v>3780</v>
      </c>
    </row>
    <row r="174" spans="1:13" x14ac:dyDescent="0.25">
      <c r="A174" s="168">
        <v>46182</v>
      </c>
      <c r="B174" s="32">
        <v>1</v>
      </c>
      <c r="C174" s="32" t="s">
        <v>196</v>
      </c>
      <c r="D174" s="169" t="s">
        <v>197</v>
      </c>
      <c r="E174" s="169" t="s">
        <v>276</v>
      </c>
      <c r="F174" s="32" t="s">
        <v>2033</v>
      </c>
      <c r="G174" s="32">
        <v>323</v>
      </c>
      <c r="H174" s="32" t="s">
        <v>172</v>
      </c>
      <c r="I174" s="32">
        <v>7192</v>
      </c>
      <c r="J174" s="36">
        <v>7433.65</v>
      </c>
      <c r="K174" s="32" t="s">
        <v>3920</v>
      </c>
      <c r="L174" s="169" t="s">
        <v>3735</v>
      </c>
      <c r="M174" s="32" t="s">
        <v>15</v>
      </c>
    </row>
    <row r="175" spans="1:13" x14ac:dyDescent="0.25">
      <c r="A175" s="168">
        <v>46182</v>
      </c>
      <c r="B175" s="32">
        <v>1</v>
      </c>
      <c r="C175" s="32" t="s">
        <v>342</v>
      </c>
      <c r="D175" s="169" t="s">
        <v>171</v>
      </c>
      <c r="E175" s="169" t="s">
        <v>163</v>
      </c>
      <c r="F175" s="32" t="s">
        <v>164</v>
      </c>
      <c r="G175" s="32">
        <v>52</v>
      </c>
      <c r="H175" s="32" t="s">
        <v>185</v>
      </c>
      <c r="I175" s="32">
        <v>4534</v>
      </c>
      <c r="J175" s="36">
        <v>872.34</v>
      </c>
      <c r="K175" s="32" t="s">
        <v>3921</v>
      </c>
      <c r="L175" s="169" t="s">
        <v>20</v>
      </c>
      <c r="M175" s="32" t="s">
        <v>224</v>
      </c>
    </row>
    <row r="176" spans="1:13" x14ac:dyDescent="0.25">
      <c r="A176" s="168">
        <v>46182</v>
      </c>
      <c r="B176" s="32">
        <v>1</v>
      </c>
      <c r="C176" s="32" t="s">
        <v>283</v>
      </c>
      <c r="D176" s="169" t="s">
        <v>282</v>
      </c>
      <c r="E176" s="169" t="s">
        <v>166</v>
      </c>
      <c r="F176" s="32" t="s">
        <v>1178</v>
      </c>
      <c r="G176" s="32">
        <v>51</v>
      </c>
      <c r="H176" s="32" t="s">
        <v>172</v>
      </c>
      <c r="I176" s="32">
        <v>2706</v>
      </c>
      <c r="J176" s="36">
        <v>510.62</v>
      </c>
      <c r="K176" s="32" t="s">
        <v>3922</v>
      </c>
      <c r="L176" s="169" t="s">
        <v>3847</v>
      </c>
      <c r="M176" s="32" t="s">
        <v>1178</v>
      </c>
    </row>
    <row r="177" spans="1:13" x14ac:dyDescent="0.25">
      <c r="A177" s="168">
        <v>46182</v>
      </c>
      <c r="B177" s="32">
        <v>1</v>
      </c>
      <c r="C177" s="32" t="s">
        <v>283</v>
      </c>
      <c r="D177" s="169" t="s">
        <v>282</v>
      </c>
      <c r="E177" s="169" t="s">
        <v>166</v>
      </c>
      <c r="F177" s="32" t="s">
        <v>1178</v>
      </c>
      <c r="G177" s="32">
        <v>51</v>
      </c>
      <c r="H177" s="32" t="s">
        <v>172</v>
      </c>
      <c r="I177" s="32">
        <v>2668</v>
      </c>
      <c r="J177" s="36">
        <v>503.45</v>
      </c>
      <c r="K177" s="32" t="s">
        <v>3923</v>
      </c>
      <c r="L177" s="169" t="s">
        <v>3847</v>
      </c>
      <c r="M177" s="32" t="s">
        <v>1178</v>
      </c>
    </row>
    <row r="178" spans="1:13" x14ac:dyDescent="0.25">
      <c r="A178" s="168">
        <v>46182</v>
      </c>
      <c r="B178" s="32">
        <v>1</v>
      </c>
      <c r="C178" s="32" t="s">
        <v>296</v>
      </c>
      <c r="D178" s="169" t="s">
        <v>1536</v>
      </c>
      <c r="E178" s="169" t="s">
        <v>2757</v>
      </c>
      <c r="F178" s="32" t="s">
        <v>2867</v>
      </c>
      <c r="G178" s="32">
        <v>383</v>
      </c>
      <c r="H178" s="32" t="s">
        <v>279</v>
      </c>
      <c r="I178" s="32">
        <v>340</v>
      </c>
      <c r="J178" s="36">
        <v>4167.04</v>
      </c>
      <c r="K178" s="32" t="s">
        <v>3924</v>
      </c>
      <c r="L178" s="169" t="s">
        <v>3925</v>
      </c>
      <c r="M178" s="32" t="s">
        <v>15</v>
      </c>
    </row>
    <row r="179" spans="1:13" x14ac:dyDescent="0.25">
      <c r="A179" s="168">
        <v>46182</v>
      </c>
      <c r="B179" s="32">
        <v>1</v>
      </c>
      <c r="C179" s="32" t="s">
        <v>183</v>
      </c>
      <c r="D179" s="169" t="s">
        <v>184</v>
      </c>
      <c r="E179" s="169" t="s">
        <v>163</v>
      </c>
      <c r="F179" s="32" t="s">
        <v>111</v>
      </c>
      <c r="G179" s="32">
        <v>75</v>
      </c>
      <c r="H179" s="32" t="s">
        <v>169</v>
      </c>
      <c r="I179" s="32">
        <v>264</v>
      </c>
      <c r="J179" s="36">
        <v>732.6</v>
      </c>
      <c r="K179" s="32" t="s">
        <v>3926</v>
      </c>
      <c r="L179" s="169" t="s">
        <v>3742</v>
      </c>
      <c r="M179" s="32" t="s">
        <v>111</v>
      </c>
    </row>
    <row r="180" spans="1:13" x14ac:dyDescent="0.25">
      <c r="A180" s="168">
        <v>46182</v>
      </c>
      <c r="B180" s="32">
        <v>1</v>
      </c>
      <c r="C180" s="32" t="s">
        <v>183</v>
      </c>
      <c r="D180" s="169" t="s">
        <v>184</v>
      </c>
      <c r="E180" s="169" t="s">
        <v>163</v>
      </c>
      <c r="F180" s="32" t="s">
        <v>111</v>
      </c>
      <c r="G180" s="32">
        <v>75</v>
      </c>
      <c r="H180" s="32" t="s">
        <v>169</v>
      </c>
      <c r="I180" s="32">
        <v>2568</v>
      </c>
      <c r="J180" s="36">
        <v>712.62</v>
      </c>
      <c r="K180" s="32" t="s">
        <v>3927</v>
      </c>
      <c r="L180" s="169" t="s">
        <v>3742</v>
      </c>
      <c r="M180" s="32" t="s">
        <v>111</v>
      </c>
    </row>
    <row r="181" spans="1:13" x14ac:dyDescent="0.25">
      <c r="A181" s="168">
        <v>46182</v>
      </c>
      <c r="B181" s="32">
        <v>1</v>
      </c>
      <c r="C181" s="32" t="s">
        <v>205</v>
      </c>
      <c r="D181" s="169" t="s">
        <v>206</v>
      </c>
      <c r="E181" s="169" t="s">
        <v>276</v>
      </c>
      <c r="F181" s="32" t="s">
        <v>2033</v>
      </c>
      <c r="G181" s="32">
        <v>323</v>
      </c>
      <c r="H181" s="32" t="s">
        <v>185</v>
      </c>
      <c r="I181" s="32">
        <v>7328</v>
      </c>
      <c r="J181" s="36">
        <v>7574.22</v>
      </c>
      <c r="K181" s="32" t="s">
        <v>3928</v>
      </c>
      <c r="L181" s="169" t="s">
        <v>3817</v>
      </c>
      <c r="M181" s="32" t="s">
        <v>15</v>
      </c>
    </row>
    <row r="182" spans="1:13" x14ac:dyDescent="0.25">
      <c r="A182" s="168">
        <v>46182</v>
      </c>
      <c r="B182" s="32">
        <v>1</v>
      </c>
      <c r="C182" s="32" t="s">
        <v>286</v>
      </c>
      <c r="D182" s="169" t="s">
        <v>506</v>
      </c>
      <c r="E182" s="169" t="s">
        <v>163</v>
      </c>
      <c r="F182" s="32" t="s">
        <v>164</v>
      </c>
      <c r="G182" s="32">
        <v>52</v>
      </c>
      <c r="H182" s="32" t="s">
        <v>175</v>
      </c>
      <c r="I182" s="32">
        <v>4463</v>
      </c>
      <c r="J182" s="36">
        <v>858.68</v>
      </c>
      <c r="K182" s="32" t="s">
        <v>3929</v>
      </c>
      <c r="L182" s="169" t="s">
        <v>21</v>
      </c>
      <c r="M182" s="32" t="s">
        <v>224</v>
      </c>
    </row>
    <row r="183" spans="1:13" x14ac:dyDescent="0.25">
      <c r="A183" s="168">
        <v>46182</v>
      </c>
      <c r="B183" s="32">
        <v>1</v>
      </c>
      <c r="C183" s="32" t="s">
        <v>167</v>
      </c>
      <c r="D183" s="169" t="s">
        <v>168</v>
      </c>
      <c r="E183" s="169" t="s">
        <v>163</v>
      </c>
      <c r="F183" s="32" t="s">
        <v>111</v>
      </c>
      <c r="G183" s="32">
        <v>75</v>
      </c>
      <c r="H183" s="32" t="s">
        <v>185</v>
      </c>
      <c r="I183" s="32">
        <v>2652</v>
      </c>
      <c r="J183" s="36">
        <v>735.93</v>
      </c>
      <c r="K183" s="32" t="s">
        <v>3930</v>
      </c>
      <c r="L183" s="169" t="s">
        <v>3738</v>
      </c>
      <c r="M183" s="32" t="s">
        <v>111</v>
      </c>
    </row>
    <row r="184" spans="1:13" x14ac:dyDescent="0.25">
      <c r="A184" s="168">
        <v>46182</v>
      </c>
      <c r="B184" s="32">
        <v>1</v>
      </c>
      <c r="C184" s="32" t="s">
        <v>192</v>
      </c>
      <c r="D184" s="169" t="s">
        <v>287</v>
      </c>
      <c r="E184" s="169" t="s">
        <v>166</v>
      </c>
      <c r="F184" s="32" t="s">
        <v>191</v>
      </c>
      <c r="G184" s="32">
        <v>243</v>
      </c>
      <c r="H184" s="32" t="s">
        <v>165</v>
      </c>
      <c r="I184" s="32">
        <v>5512</v>
      </c>
      <c r="J184" s="36">
        <v>4955.84</v>
      </c>
      <c r="K184" s="32" t="s">
        <v>3931</v>
      </c>
      <c r="L184" s="169" t="s">
        <v>36</v>
      </c>
      <c r="M184" s="32" t="s">
        <v>3780</v>
      </c>
    </row>
    <row r="185" spans="1:13" x14ac:dyDescent="0.25">
      <c r="A185" s="168">
        <v>46182</v>
      </c>
      <c r="B185" s="32">
        <v>1</v>
      </c>
      <c r="C185" s="32" t="s">
        <v>275</v>
      </c>
      <c r="D185" s="169" t="s">
        <v>178</v>
      </c>
      <c r="E185" s="169" t="s">
        <v>166</v>
      </c>
      <c r="F185" s="32" t="s">
        <v>164</v>
      </c>
      <c r="G185" s="32">
        <v>58</v>
      </c>
      <c r="H185" s="32" t="s">
        <v>165</v>
      </c>
      <c r="I185" s="32">
        <v>4688</v>
      </c>
      <c r="J185" s="36">
        <v>1006.04</v>
      </c>
      <c r="K185" s="32" t="s">
        <v>3932</v>
      </c>
      <c r="L185" s="169" t="s">
        <v>27</v>
      </c>
      <c r="M185" s="32" t="s">
        <v>224</v>
      </c>
    </row>
    <row r="186" spans="1:13" x14ac:dyDescent="0.25">
      <c r="A186" s="168">
        <v>46182</v>
      </c>
      <c r="B186" s="32">
        <v>1</v>
      </c>
      <c r="C186" s="32" t="s">
        <v>219</v>
      </c>
      <c r="D186" s="169" t="s">
        <v>220</v>
      </c>
      <c r="E186" s="169" t="s">
        <v>163</v>
      </c>
      <c r="F186" s="32" t="s">
        <v>164</v>
      </c>
      <c r="G186" s="32">
        <v>52</v>
      </c>
      <c r="H186" s="32" t="s">
        <v>175</v>
      </c>
      <c r="I186" s="32">
        <v>366</v>
      </c>
      <c r="J186" s="36">
        <v>704.18</v>
      </c>
      <c r="K186" s="32" t="s">
        <v>3933</v>
      </c>
      <c r="L186" s="169" t="s">
        <v>21</v>
      </c>
      <c r="M186" s="32" t="s">
        <v>224</v>
      </c>
    </row>
    <row r="187" spans="1:13" x14ac:dyDescent="0.25">
      <c r="A187" s="168">
        <v>46182</v>
      </c>
      <c r="B187" s="32">
        <v>1</v>
      </c>
      <c r="C187" s="32" t="s">
        <v>193</v>
      </c>
      <c r="D187" s="169" t="s">
        <v>285</v>
      </c>
      <c r="E187" s="169" t="s">
        <v>163</v>
      </c>
      <c r="F187" s="32" t="s">
        <v>111</v>
      </c>
      <c r="G187" s="32">
        <v>75</v>
      </c>
      <c r="H187" s="32" t="s">
        <v>185</v>
      </c>
      <c r="I187" s="32">
        <v>2782</v>
      </c>
      <c r="J187" s="36">
        <v>772.01</v>
      </c>
      <c r="K187" s="32" t="s">
        <v>3934</v>
      </c>
      <c r="L187" s="169" t="s">
        <v>3738</v>
      </c>
      <c r="M187" s="32" t="s">
        <v>111</v>
      </c>
    </row>
    <row r="188" spans="1:13" x14ac:dyDescent="0.25">
      <c r="A188" s="168">
        <v>46182</v>
      </c>
      <c r="B188" s="32">
        <v>1</v>
      </c>
      <c r="C188" s="32" t="s">
        <v>193</v>
      </c>
      <c r="D188" s="169" t="s">
        <v>285</v>
      </c>
      <c r="E188" s="169" t="s">
        <v>163</v>
      </c>
      <c r="F188" s="32" t="s">
        <v>111</v>
      </c>
      <c r="G188" s="32">
        <v>75</v>
      </c>
      <c r="H188" s="32" t="s">
        <v>185</v>
      </c>
      <c r="I188" s="32">
        <v>2676</v>
      </c>
      <c r="J188" s="36">
        <v>742.59</v>
      </c>
      <c r="K188" s="32" t="s">
        <v>3935</v>
      </c>
      <c r="L188" s="169" t="s">
        <v>3738</v>
      </c>
      <c r="M188" s="32" t="s">
        <v>111</v>
      </c>
    </row>
    <row r="189" spans="1:13" x14ac:dyDescent="0.25">
      <c r="A189" s="168">
        <v>46182</v>
      </c>
      <c r="B189" s="32">
        <v>1</v>
      </c>
      <c r="C189" s="32" t="s">
        <v>1948</v>
      </c>
      <c r="D189" s="169" t="s">
        <v>1949</v>
      </c>
      <c r="E189" s="169" t="s">
        <v>2868</v>
      </c>
      <c r="F189" s="32" t="s">
        <v>2881</v>
      </c>
      <c r="G189" s="32">
        <v>62</v>
      </c>
      <c r="H189" s="32" t="s">
        <v>2869</v>
      </c>
      <c r="I189" s="32">
        <v>511</v>
      </c>
      <c r="J189" s="36">
        <v>1172.23</v>
      </c>
      <c r="K189" s="32" t="s">
        <v>3936</v>
      </c>
      <c r="L189" s="169" t="s">
        <v>3825</v>
      </c>
      <c r="M189" s="32" t="s">
        <v>157</v>
      </c>
    </row>
    <row r="190" spans="1:13" x14ac:dyDescent="0.25">
      <c r="A190" s="168">
        <v>46182</v>
      </c>
      <c r="B190" s="32">
        <v>1</v>
      </c>
      <c r="C190" s="32" t="s">
        <v>188</v>
      </c>
      <c r="D190" s="169" t="s">
        <v>189</v>
      </c>
      <c r="E190" s="169" t="s">
        <v>276</v>
      </c>
      <c r="F190" s="32" t="s">
        <v>2033</v>
      </c>
      <c r="G190" s="32">
        <v>323</v>
      </c>
      <c r="H190" s="32" t="s">
        <v>172</v>
      </c>
      <c r="I190" s="32">
        <v>7428</v>
      </c>
      <c r="J190" s="36">
        <v>7677.58</v>
      </c>
      <c r="K190" s="32" t="s">
        <v>3937</v>
      </c>
      <c r="L190" s="169" t="s">
        <v>3735</v>
      </c>
      <c r="M190" s="32" t="s">
        <v>15</v>
      </c>
    </row>
    <row r="191" spans="1:13" x14ac:dyDescent="0.25">
      <c r="A191" s="168">
        <v>46182</v>
      </c>
      <c r="B191" s="32">
        <v>1</v>
      </c>
      <c r="C191" s="32" t="s">
        <v>186</v>
      </c>
      <c r="D191" s="169" t="s">
        <v>187</v>
      </c>
      <c r="E191" s="169" t="s">
        <v>276</v>
      </c>
      <c r="F191" s="32" t="s">
        <v>2033</v>
      </c>
      <c r="G191" s="32">
        <v>323</v>
      </c>
      <c r="H191" s="32" t="s">
        <v>185</v>
      </c>
      <c r="I191" s="32">
        <v>4368</v>
      </c>
      <c r="J191" s="36">
        <v>4514.76</v>
      </c>
      <c r="K191" s="32" t="s">
        <v>3938</v>
      </c>
      <c r="L191" s="169" t="s">
        <v>3817</v>
      </c>
      <c r="M191" s="32" t="s">
        <v>15</v>
      </c>
    </row>
    <row r="192" spans="1:13" x14ac:dyDescent="0.25">
      <c r="A192" s="168">
        <v>46182</v>
      </c>
      <c r="B192" s="32">
        <v>1</v>
      </c>
      <c r="C192" s="32" t="s">
        <v>286</v>
      </c>
      <c r="D192" s="169" t="s">
        <v>506</v>
      </c>
      <c r="E192" s="169" t="s">
        <v>163</v>
      </c>
      <c r="F192" s="32" t="s">
        <v>164</v>
      </c>
      <c r="G192" s="32">
        <v>52</v>
      </c>
      <c r="H192" s="32" t="s">
        <v>165</v>
      </c>
      <c r="I192" s="32">
        <v>4434</v>
      </c>
      <c r="J192" s="36">
        <v>853.1</v>
      </c>
      <c r="K192" s="32" t="s">
        <v>3939</v>
      </c>
      <c r="L192" s="169" t="s">
        <v>31</v>
      </c>
      <c r="M192" s="32" t="s">
        <v>224</v>
      </c>
    </row>
    <row r="193" spans="1:13" x14ac:dyDescent="0.25">
      <c r="A193" s="168">
        <v>46182</v>
      </c>
      <c r="B193" s="32">
        <v>1</v>
      </c>
      <c r="C193" s="32" t="s">
        <v>179</v>
      </c>
      <c r="D193" s="169" t="s">
        <v>2863</v>
      </c>
      <c r="E193" s="169" t="s">
        <v>166</v>
      </c>
      <c r="F193" s="32" t="s">
        <v>111</v>
      </c>
      <c r="G193" s="32">
        <v>79</v>
      </c>
      <c r="H193" s="32" t="s">
        <v>169</v>
      </c>
      <c r="I193" s="32">
        <v>2705</v>
      </c>
      <c r="J193" s="36">
        <v>790.67</v>
      </c>
      <c r="K193" s="32" t="s">
        <v>3940</v>
      </c>
      <c r="L193" s="169" t="s">
        <v>116</v>
      </c>
      <c r="M193" s="32" t="s">
        <v>111</v>
      </c>
    </row>
    <row r="194" spans="1:13" x14ac:dyDescent="0.25">
      <c r="A194" s="168">
        <v>46183</v>
      </c>
      <c r="B194" s="32">
        <v>1</v>
      </c>
      <c r="C194" s="32" t="s">
        <v>203</v>
      </c>
      <c r="D194" s="169" t="s">
        <v>204</v>
      </c>
      <c r="E194" s="169" t="s">
        <v>190</v>
      </c>
      <c r="F194" s="32" t="s">
        <v>212</v>
      </c>
      <c r="G194" s="32">
        <v>376</v>
      </c>
      <c r="H194" s="32" t="s">
        <v>165</v>
      </c>
      <c r="I194" s="32">
        <v>5856</v>
      </c>
      <c r="J194" s="36">
        <v>7045.94</v>
      </c>
      <c r="K194" s="32" t="s">
        <v>3941</v>
      </c>
      <c r="L194" s="169" t="s">
        <v>22</v>
      </c>
      <c r="M194" s="32" t="s">
        <v>223</v>
      </c>
    </row>
    <row r="195" spans="1:13" x14ac:dyDescent="0.25">
      <c r="A195" s="168">
        <v>46183</v>
      </c>
      <c r="B195" s="32">
        <v>1</v>
      </c>
      <c r="C195" s="32" t="s">
        <v>208</v>
      </c>
      <c r="D195" s="169" t="s">
        <v>209</v>
      </c>
      <c r="E195" s="169" t="s">
        <v>190</v>
      </c>
      <c r="F195" s="32" t="s">
        <v>212</v>
      </c>
      <c r="G195" s="32">
        <v>376</v>
      </c>
      <c r="H195" s="32" t="s">
        <v>165</v>
      </c>
      <c r="I195" s="32">
        <v>570</v>
      </c>
      <c r="J195" s="36">
        <v>6858.24</v>
      </c>
      <c r="K195" s="32" t="s">
        <v>3942</v>
      </c>
      <c r="L195" s="169" t="s">
        <v>22</v>
      </c>
      <c r="M195" s="32" t="s">
        <v>223</v>
      </c>
    </row>
    <row r="196" spans="1:13" x14ac:dyDescent="0.25">
      <c r="A196" s="168">
        <v>46183</v>
      </c>
      <c r="B196" s="32">
        <v>1</v>
      </c>
      <c r="C196" s="32" t="s">
        <v>192</v>
      </c>
      <c r="D196" s="169" t="s">
        <v>287</v>
      </c>
      <c r="E196" s="169" t="s">
        <v>163</v>
      </c>
      <c r="F196" s="32" t="s">
        <v>164</v>
      </c>
      <c r="G196" s="32">
        <v>52</v>
      </c>
      <c r="H196" s="32" t="s">
        <v>165</v>
      </c>
      <c r="I196" s="32">
        <v>6049</v>
      </c>
      <c r="J196" s="36">
        <v>1163.83</v>
      </c>
      <c r="K196" s="32" t="s">
        <v>3943</v>
      </c>
      <c r="L196" s="169" t="s">
        <v>31</v>
      </c>
      <c r="M196" s="32" t="s">
        <v>224</v>
      </c>
    </row>
    <row r="197" spans="1:13" x14ac:dyDescent="0.25">
      <c r="A197" s="168">
        <v>46183</v>
      </c>
      <c r="B197" s="32">
        <v>1</v>
      </c>
      <c r="C197" s="32" t="s">
        <v>167</v>
      </c>
      <c r="D197" s="169" t="s">
        <v>168</v>
      </c>
      <c r="E197" s="169" t="s">
        <v>163</v>
      </c>
      <c r="F197" s="32" t="s">
        <v>111</v>
      </c>
      <c r="G197" s="32">
        <v>75</v>
      </c>
      <c r="H197" s="32" t="s">
        <v>185</v>
      </c>
      <c r="I197" s="32">
        <v>2719</v>
      </c>
      <c r="J197" s="36">
        <v>754.52</v>
      </c>
      <c r="K197" s="32" t="s">
        <v>3944</v>
      </c>
      <c r="L197" s="169" t="s">
        <v>3738</v>
      </c>
      <c r="M197" s="32" t="s">
        <v>111</v>
      </c>
    </row>
    <row r="198" spans="1:13" x14ac:dyDescent="0.25">
      <c r="A198" s="168">
        <v>46183</v>
      </c>
      <c r="B198" s="32">
        <v>1</v>
      </c>
      <c r="C198" s="32" t="s">
        <v>199</v>
      </c>
      <c r="D198" s="169" t="s">
        <v>180</v>
      </c>
      <c r="E198" s="169" t="s">
        <v>163</v>
      </c>
      <c r="F198" s="32" t="s">
        <v>111</v>
      </c>
      <c r="G198" s="32">
        <v>75</v>
      </c>
      <c r="H198" s="32" t="s">
        <v>185</v>
      </c>
      <c r="I198" s="32">
        <v>2837</v>
      </c>
      <c r="J198" s="36">
        <v>787.27</v>
      </c>
      <c r="K198" s="32" t="s">
        <v>3945</v>
      </c>
      <c r="L198" s="169" t="s">
        <v>3738</v>
      </c>
      <c r="M198" s="32" t="s">
        <v>111</v>
      </c>
    </row>
    <row r="199" spans="1:13" x14ac:dyDescent="0.25">
      <c r="A199" s="168">
        <v>46183</v>
      </c>
      <c r="B199" s="32">
        <v>1</v>
      </c>
      <c r="C199" s="32" t="s">
        <v>342</v>
      </c>
      <c r="D199" s="169" t="s">
        <v>171</v>
      </c>
      <c r="E199" s="169" t="s">
        <v>163</v>
      </c>
      <c r="F199" s="32" t="s">
        <v>164</v>
      </c>
      <c r="G199" s="32">
        <v>52</v>
      </c>
      <c r="H199" s="32" t="s">
        <v>185</v>
      </c>
      <c r="I199" s="32">
        <v>450</v>
      </c>
      <c r="J199" s="36">
        <v>865.8</v>
      </c>
      <c r="K199" s="32" t="s">
        <v>3946</v>
      </c>
      <c r="L199" s="169" t="s">
        <v>20</v>
      </c>
      <c r="M199" s="32" t="s">
        <v>224</v>
      </c>
    </row>
    <row r="200" spans="1:13" x14ac:dyDescent="0.25">
      <c r="A200" s="168">
        <v>46183</v>
      </c>
      <c r="B200" s="32">
        <v>1</v>
      </c>
      <c r="C200" s="32" t="s">
        <v>188</v>
      </c>
      <c r="D200" s="169" t="s">
        <v>189</v>
      </c>
      <c r="E200" s="169" t="s">
        <v>166</v>
      </c>
      <c r="F200" s="32" t="s">
        <v>164</v>
      </c>
      <c r="G200" s="32">
        <v>58</v>
      </c>
      <c r="H200" s="32" t="s">
        <v>165</v>
      </c>
      <c r="I200" s="32">
        <v>4584</v>
      </c>
      <c r="J200" s="36">
        <v>983.73</v>
      </c>
      <c r="K200" s="32" t="s">
        <v>3947</v>
      </c>
      <c r="L200" s="169" t="s">
        <v>27</v>
      </c>
      <c r="M200" s="32" t="s">
        <v>224</v>
      </c>
    </row>
    <row r="201" spans="1:13" x14ac:dyDescent="0.25">
      <c r="A201" s="168">
        <v>46183</v>
      </c>
      <c r="B201" s="32">
        <v>1</v>
      </c>
      <c r="C201" s="32" t="s">
        <v>167</v>
      </c>
      <c r="D201" s="169" t="s">
        <v>168</v>
      </c>
      <c r="E201" s="169" t="s">
        <v>163</v>
      </c>
      <c r="F201" s="32" t="s">
        <v>111</v>
      </c>
      <c r="G201" s="32">
        <v>75</v>
      </c>
      <c r="H201" s="32" t="s">
        <v>185</v>
      </c>
      <c r="I201" s="32">
        <v>2742</v>
      </c>
      <c r="J201" s="36">
        <v>760.91</v>
      </c>
      <c r="K201" s="32" t="s">
        <v>3948</v>
      </c>
      <c r="L201" s="169" t="s">
        <v>3738</v>
      </c>
      <c r="M201" s="32" t="s">
        <v>111</v>
      </c>
    </row>
    <row r="202" spans="1:13" x14ac:dyDescent="0.25">
      <c r="A202" s="168">
        <v>46183</v>
      </c>
      <c r="B202" s="32">
        <v>1</v>
      </c>
      <c r="C202" s="32" t="s">
        <v>167</v>
      </c>
      <c r="D202" s="169" t="s">
        <v>168</v>
      </c>
      <c r="E202" s="169" t="s">
        <v>163</v>
      </c>
      <c r="F202" s="32" t="s">
        <v>111</v>
      </c>
      <c r="G202" s="32">
        <v>75</v>
      </c>
      <c r="H202" s="32" t="s">
        <v>169</v>
      </c>
      <c r="I202" s="32">
        <v>250</v>
      </c>
      <c r="J202" s="36">
        <v>693.75</v>
      </c>
      <c r="K202" s="32" t="s">
        <v>3949</v>
      </c>
      <c r="L202" s="169" t="s">
        <v>3742</v>
      </c>
      <c r="M202" s="32" t="s">
        <v>111</v>
      </c>
    </row>
    <row r="203" spans="1:13" x14ac:dyDescent="0.25">
      <c r="A203" s="168">
        <v>46183</v>
      </c>
      <c r="B203" s="32">
        <v>1</v>
      </c>
      <c r="C203" s="32" t="s">
        <v>181</v>
      </c>
      <c r="D203" s="169" t="s">
        <v>182</v>
      </c>
      <c r="E203" s="169" t="s">
        <v>166</v>
      </c>
      <c r="F203" s="32" t="s">
        <v>164</v>
      </c>
      <c r="G203" s="32">
        <v>58</v>
      </c>
      <c r="H203" s="32" t="s">
        <v>172</v>
      </c>
      <c r="I203" s="32">
        <v>2514</v>
      </c>
      <c r="J203" s="36">
        <v>539.5</v>
      </c>
      <c r="K203" s="32" t="s">
        <v>3950</v>
      </c>
      <c r="L203" s="169" t="s">
        <v>44</v>
      </c>
      <c r="M203" s="32" t="s">
        <v>224</v>
      </c>
    </row>
    <row r="204" spans="1:13" x14ac:dyDescent="0.25">
      <c r="A204" s="168">
        <v>46183</v>
      </c>
      <c r="B204" s="32">
        <v>1</v>
      </c>
      <c r="C204" s="32" t="s">
        <v>176</v>
      </c>
      <c r="D204" s="169" t="s">
        <v>177</v>
      </c>
      <c r="E204" s="169" t="s">
        <v>190</v>
      </c>
      <c r="F204" s="32" t="s">
        <v>191</v>
      </c>
      <c r="G204" s="32">
        <v>217</v>
      </c>
      <c r="H204" s="32" t="s">
        <v>165</v>
      </c>
      <c r="I204" s="32">
        <v>5404</v>
      </c>
      <c r="J204" s="36">
        <v>4338.87</v>
      </c>
      <c r="K204" s="32" t="s">
        <v>3951</v>
      </c>
      <c r="L204" s="169" t="s">
        <v>19</v>
      </c>
      <c r="M204" s="32" t="s">
        <v>3780</v>
      </c>
    </row>
    <row r="205" spans="1:13" x14ac:dyDescent="0.25">
      <c r="A205" s="168">
        <v>46183</v>
      </c>
      <c r="B205" s="32">
        <v>1</v>
      </c>
      <c r="C205" s="32" t="s">
        <v>202</v>
      </c>
      <c r="D205" s="169" t="s">
        <v>214</v>
      </c>
      <c r="E205" s="169" t="s">
        <v>166</v>
      </c>
      <c r="F205" s="32" t="s">
        <v>191</v>
      </c>
      <c r="G205" s="32">
        <v>243</v>
      </c>
      <c r="H205" s="32" t="s">
        <v>165</v>
      </c>
      <c r="I205" s="32">
        <v>6516</v>
      </c>
      <c r="J205" s="36">
        <v>5858.54</v>
      </c>
      <c r="K205" s="32" t="s">
        <v>3952</v>
      </c>
      <c r="L205" s="169" t="s">
        <v>36</v>
      </c>
      <c r="M205" s="32" t="s">
        <v>3780</v>
      </c>
    </row>
    <row r="206" spans="1:13" x14ac:dyDescent="0.25">
      <c r="A206" s="168">
        <v>46183</v>
      </c>
      <c r="B206" s="32">
        <v>1</v>
      </c>
      <c r="C206" s="32" t="s">
        <v>196</v>
      </c>
      <c r="D206" s="169" t="s">
        <v>197</v>
      </c>
      <c r="E206" s="169" t="s">
        <v>163</v>
      </c>
      <c r="F206" s="32" t="s">
        <v>164</v>
      </c>
      <c r="G206" s="32">
        <v>52</v>
      </c>
      <c r="H206" s="32" t="s">
        <v>165</v>
      </c>
      <c r="I206" s="32">
        <v>4944</v>
      </c>
      <c r="J206" s="36">
        <v>951.23</v>
      </c>
      <c r="K206" s="32" t="s">
        <v>3953</v>
      </c>
      <c r="L206" s="169" t="s">
        <v>31</v>
      </c>
      <c r="M206" s="32" t="s">
        <v>224</v>
      </c>
    </row>
    <row r="207" spans="1:13" x14ac:dyDescent="0.25">
      <c r="A207" s="168">
        <v>46183</v>
      </c>
      <c r="B207" s="32">
        <v>1</v>
      </c>
      <c r="C207" s="32" t="s">
        <v>196</v>
      </c>
      <c r="D207" s="169" t="s">
        <v>197</v>
      </c>
      <c r="E207" s="169" t="s">
        <v>163</v>
      </c>
      <c r="F207" s="32" t="s">
        <v>164</v>
      </c>
      <c r="G207" s="32">
        <v>52</v>
      </c>
      <c r="H207" s="32" t="s">
        <v>175</v>
      </c>
      <c r="I207" s="32">
        <v>5071</v>
      </c>
      <c r="J207" s="36">
        <v>975.66</v>
      </c>
      <c r="K207" s="32" t="s">
        <v>3954</v>
      </c>
      <c r="L207" s="169" t="s">
        <v>21</v>
      </c>
      <c r="M207" s="32" t="s">
        <v>224</v>
      </c>
    </row>
    <row r="208" spans="1:13" x14ac:dyDescent="0.25">
      <c r="A208" s="168">
        <v>46183</v>
      </c>
      <c r="B208" s="32">
        <v>1</v>
      </c>
      <c r="C208" s="32" t="s">
        <v>342</v>
      </c>
      <c r="D208" s="169" t="s">
        <v>171</v>
      </c>
      <c r="E208" s="169" t="s">
        <v>163</v>
      </c>
      <c r="F208" s="32" t="s">
        <v>164</v>
      </c>
      <c r="G208" s="32">
        <v>52</v>
      </c>
      <c r="H208" s="32" t="s">
        <v>185</v>
      </c>
      <c r="I208" s="32">
        <v>4471</v>
      </c>
      <c r="J208" s="36">
        <v>860.22</v>
      </c>
      <c r="K208" s="32" t="s">
        <v>3955</v>
      </c>
      <c r="L208" s="169" t="s">
        <v>20</v>
      </c>
      <c r="M208" s="32" t="s">
        <v>224</v>
      </c>
    </row>
    <row r="209" spans="1:13" x14ac:dyDescent="0.25">
      <c r="A209" s="168">
        <v>46183</v>
      </c>
      <c r="B209" s="32">
        <v>1</v>
      </c>
      <c r="C209" s="32" t="s">
        <v>199</v>
      </c>
      <c r="D209" s="169" t="s">
        <v>180</v>
      </c>
      <c r="E209" s="169" t="s">
        <v>163</v>
      </c>
      <c r="F209" s="32" t="s">
        <v>111</v>
      </c>
      <c r="G209" s="32">
        <v>75</v>
      </c>
      <c r="H209" s="32" t="s">
        <v>185</v>
      </c>
      <c r="I209" s="32">
        <v>2842</v>
      </c>
      <c r="J209" s="36">
        <v>788.66</v>
      </c>
      <c r="K209" s="32" t="s">
        <v>3956</v>
      </c>
      <c r="L209" s="169" t="s">
        <v>3738</v>
      </c>
      <c r="M209" s="32" t="s">
        <v>111</v>
      </c>
    </row>
    <row r="210" spans="1:13" x14ac:dyDescent="0.25">
      <c r="A210" s="168">
        <v>46183</v>
      </c>
      <c r="B210" s="32">
        <v>1</v>
      </c>
      <c r="C210" s="32" t="s">
        <v>283</v>
      </c>
      <c r="D210" s="169" t="s">
        <v>282</v>
      </c>
      <c r="E210" s="169" t="s">
        <v>166</v>
      </c>
      <c r="F210" s="32" t="s">
        <v>1178</v>
      </c>
      <c r="G210" s="32">
        <v>51</v>
      </c>
      <c r="H210" s="32" t="s">
        <v>172</v>
      </c>
      <c r="I210" s="32">
        <v>2712</v>
      </c>
      <c r="J210" s="36">
        <v>511.75</v>
      </c>
      <c r="K210" s="32" t="s">
        <v>3957</v>
      </c>
      <c r="L210" s="169" t="s">
        <v>3847</v>
      </c>
      <c r="M210" s="32" t="s">
        <v>1178</v>
      </c>
    </row>
    <row r="211" spans="1:13" x14ac:dyDescent="0.25">
      <c r="A211" s="168">
        <v>46183</v>
      </c>
      <c r="B211" s="32">
        <v>1</v>
      </c>
      <c r="C211" s="32" t="s">
        <v>283</v>
      </c>
      <c r="D211" s="169" t="s">
        <v>282</v>
      </c>
      <c r="E211" s="169" t="s">
        <v>166</v>
      </c>
      <c r="F211" s="32" t="s">
        <v>1178</v>
      </c>
      <c r="G211" s="32">
        <v>51</v>
      </c>
      <c r="H211" s="32" t="s">
        <v>172</v>
      </c>
      <c r="I211" s="32">
        <v>2834</v>
      </c>
      <c r="J211" s="36">
        <v>534.78</v>
      </c>
      <c r="K211" s="32" t="s">
        <v>3958</v>
      </c>
      <c r="L211" s="169" t="s">
        <v>3847</v>
      </c>
      <c r="M211" s="32" t="s">
        <v>1178</v>
      </c>
    </row>
    <row r="212" spans="1:13" x14ac:dyDescent="0.25">
      <c r="A212" s="168">
        <v>46183</v>
      </c>
      <c r="B212" s="32">
        <v>1</v>
      </c>
      <c r="C212" s="32" t="s">
        <v>286</v>
      </c>
      <c r="D212" s="169" t="s">
        <v>506</v>
      </c>
      <c r="E212" s="169" t="s">
        <v>163</v>
      </c>
      <c r="F212" s="32" t="s">
        <v>164</v>
      </c>
      <c r="G212" s="32">
        <v>52</v>
      </c>
      <c r="H212" s="32" t="s">
        <v>175</v>
      </c>
      <c r="I212" s="32">
        <v>4542</v>
      </c>
      <c r="J212" s="36">
        <v>873.88</v>
      </c>
      <c r="K212" s="32" t="s">
        <v>3959</v>
      </c>
      <c r="L212" s="169" t="s">
        <v>21</v>
      </c>
      <c r="M212" s="32" t="s">
        <v>224</v>
      </c>
    </row>
    <row r="213" spans="1:13" x14ac:dyDescent="0.25">
      <c r="A213" s="168">
        <v>46183</v>
      </c>
      <c r="B213" s="32">
        <v>1</v>
      </c>
      <c r="C213" s="32" t="s">
        <v>286</v>
      </c>
      <c r="D213" s="169" t="s">
        <v>506</v>
      </c>
      <c r="E213" s="169" t="s">
        <v>163</v>
      </c>
      <c r="F213" s="32" t="s">
        <v>164</v>
      </c>
      <c r="G213" s="32">
        <v>52</v>
      </c>
      <c r="H213" s="32" t="s">
        <v>175</v>
      </c>
      <c r="I213" s="32">
        <v>448</v>
      </c>
      <c r="J213" s="36">
        <v>861.95</v>
      </c>
      <c r="K213" s="32" t="s">
        <v>3960</v>
      </c>
      <c r="L213" s="169" t="s">
        <v>21</v>
      </c>
      <c r="M213" s="32" t="s">
        <v>224</v>
      </c>
    </row>
    <row r="214" spans="1:13" x14ac:dyDescent="0.25">
      <c r="A214" s="168">
        <v>46183</v>
      </c>
      <c r="B214" s="32">
        <v>1</v>
      </c>
      <c r="C214" s="32" t="s">
        <v>205</v>
      </c>
      <c r="D214" s="169" t="s">
        <v>206</v>
      </c>
      <c r="E214" s="169" t="s">
        <v>276</v>
      </c>
      <c r="F214" s="32" t="s">
        <v>307</v>
      </c>
      <c r="G214" s="32">
        <v>175</v>
      </c>
      <c r="H214" s="32" t="s">
        <v>165</v>
      </c>
      <c r="I214" s="32">
        <v>8036</v>
      </c>
      <c r="J214" s="36">
        <v>4500.16</v>
      </c>
      <c r="K214" s="32" t="s">
        <v>3961</v>
      </c>
      <c r="L214" s="169" t="s">
        <v>3771</v>
      </c>
      <c r="M214" s="32" t="s">
        <v>307</v>
      </c>
    </row>
    <row r="215" spans="1:13" x14ac:dyDescent="0.25">
      <c r="A215" s="168">
        <v>46183</v>
      </c>
      <c r="B215" s="32">
        <v>1</v>
      </c>
      <c r="C215" s="32" t="s">
        <v>183</v>
      </c>
      <c r="D215" s="169" t="s">
        <v>184</v>
      </c>
      <c r="E215" s="169" t="s">
        <v>163</v>
      </c>
      <c r="F215" s="32" t="s">
        <v>111</v>
      </c>
      <c r="G215" s="32">
        <v>75</v>
      </c>
      <c r="H215" s="32" t="s">
        <v>169</v>
      </c>
      <c r="I215" s="32">
        <v>2762</v>
      </c>
      <c r="J215" s="36">
        <v>766.46</v>
      </c>
      <c r="K215" s="32" t="s">
        <v>3962</v>
      </c>
      <c r="L215" s="169" t="s">
        <v>3742</v>
      </c>
      <c r="M215" s="32" t="s">
        <v>111</v>
      </c>
    </row>
    <row r="216" spans="1:13" x14ac:dyDescent="0.25">
      <c r="A216" s="168">
        <v>46183</v>
      </c>
      <c r="B216" s="32">
        <v>1</v>
      </c>
      <c r="C216" s="32" t="s">
        <v>183</v>
      </c>
      <c r="D216" s="169" t="s">
        <v>184</v>
      </c>
      <c r="E216" s="169" t="s">
        <v>163</v>
      </c>
      <c r="F216" s="32" t="s">
        <v>111</v>
      </c>
      <c r="G216" s="32">
        <v>75</v>
      </c>
      <c r="H216" s="32" t="s">
        <v>169</v>
      </c>
      <c r="I216" s="32">
        <v>2674</v>
      </c>
      <c r="J216" s="36">
        <v>742.04</v>
      </c>
      <c r="K216" s="32" t="s">
        <v>3963</v>
      </c>
      <c r="L216" s="169" t="s">
        <v>3742</v>
      </c>
      <c r="M216" s="32" t="s">
        <v>111</v>
      </c>
    </row>
    <row r="217" spans="1:13" x14ac:dyDescent="0.25">
      <c r="A217" s="168">
        <v>46183</v>
      </c>
      <c r="B217" s="32">
        <v>1</v>
      </c>
      <c r="C217" s="32" t="s">
        <v>179</v>
      </c>
      <c r="D217" s="169" t="s">
        <v>2863</v>
      </c>
      <c r="E217" s="169" t="s">
        <v>166</v>
      </c>
      <c r="F217" s="32" t="s">
        <v>111</v>
      </c>
      <c r="G217" s="32">
        <v>79</v>
      </c>
      <c r="H217" s="32" t="s">
        <v>169</v>
      </c>
      <c r="I217" s="32">
        <v>2757</v>
      </c>
      <c r="J217" s="36">
        <v>805.87</v>
      </c>
      <c r="K217" s="32" t="s">
        <v>3964</v>
      </c>
      <c r="L217" s="169" t="s">
        <v>116</v>
      </c>
      <c r="M217" s="32" t="s">
        <v>111</v>
      </c>
    </row>
    <row r="218" spans="1:13" x14ac:dyDescent="0.25">
      <c r="A218" s="168">
        <v>46183</v>
      </c>
      <c r="B218" s="32">
        <v>1</v>
      </c>
      <c r="C218" s="32" t="s">
        <v>179</v>
      </c>
      <c r="D218" s="169" t="s">
        <v>2863</v>
      </c>
      <c r="E218" s="169" t="s">
        <v>166</v>
      </c>
      <c r="F218" s="32" t="s">
        <v>111</v>
      </c>
      <c r="G218" s="32">
        <v>79</v>
      </c>
      <c r="H218" s="32" t="s">
        <v>169</v>
      </c>
      <c r="I218" s="32">
        <v>276</v>
      </c>
      <c r="J218" s="36">
        <v>806.75</v>
      </c>
      <c r="K218" s="32" t="s">
        <v>3965</v>
      </c>
      <c r="L218" s="169" t="s">
        <v>116</v>
      </c>
      <c r="M218" s="32" t="s">
        <v>111</v>
      </c>
    </row>
    <row r="219" spans="1:13" x14ac:dyDescent="0.25">
      <c r="A219" s="168">
        <v>46183</v>
      </c>
      <c r="B219" s="32">
        <v>1</v>
      </c>
      <c r="C219" s="32" t="s">
        <v>1129</v>
      </c>
      <c r="D219" s="169" t="s">
        <v>2396</v>
      </c>
      <c r="E219" s="169" t="s">
        <v>163</v>
      </c>
      <c r="F219" s="32" t="s">
        <v>111</v>
      </c>
      <c r="G219" s="32">
        <v>75</v>
      </c>
      <c r="H219" s="32" t="s">
        <v>185</v>
      </c>
      <c r="I219" s="32">
        <v>2785</v>
      </c>
      <c r="J219" s="36">
        <v>772.84</v>
      </c>
      <c r="K219" s="32" t="s">
        <v>3966</v>
      </c>
      <c r="L219" s="169" t="s">
        <v>3738</v>
      </c>
      <c r="M219" s="32" t="s">
        <v>111</v>
      </c>
    </row>
    <row r="220" spans="1:13" x14ac:dyDescent="0.25">
      <c r="A220" s="168">
        <v>46183</v>
      </c>
      <c r="B220" s="32">
        <v>1</v>
      </c>
      <c r="C220" s="32" t="s">
        <v>1129</v>
      </c>
      <c r="D220" s="169" t="s">
        <v>2396</v>
      </c>
      <c r="E220" s="169" t="s">
        <v>163</v>
      </c>
      <c r="F220" s="32" t="s">
        <v>164</v>
      </c>
      <c r="G220" s="32">
        <v>52</v>
      </c>
      <c r="H220" s="32" t="s">
        <v>175</v>
      </c>
      <c r="I220" s="32">
        <v>2723</v>
      </c>
      <c r="J220" s="36">
        <v>523.91</v>
      </c>
      <c r="K220" s="32" t="s">
        <v>3967</v>
      </c>
      <c r="L220" s="169" t="s">
        <v>21</v>
      </c>
      <c r="M220" s="32" t="s">
        <v>224</v>
      </c>
    </row>
    <row r="221" spans="1:13" x14ac:dyDescent="0.25">
      <c r="A221" s="168">
        <v>46183</v>
      </c>
      <c r="B221" s="32">
        <v>1</v>
      </c>
      <c r="C221" s="32" t="s">
        <v>275</v>
      </c>
      <c r="D221" s="169" t="s">
        <v>178</v>
      </c>
      <c r="E221" s="169" t="s">
        <v>166</v>
      </c>
      <c r="F221" s="32" t="s">
        <v>164</v>
      </c>
      <c r="G221" s="32">
        <v>58</v>
      </c>
      <c r="H221" s="32" t="s">
        <v>165</v>
      </c>
      <c r="I221" s="32">
        <v>4564</v>
      </c>
      <c r="J221" s="36">
        <v>979.43</v>
      </c>
      <c r="K221" s="32" t="s">
        <v>3968</v>
      </c>
      <c r="L221" s="169" t="s">
        <v>27</v>
      </c>
      <c r="M221" s="32" t="s">
        <v>224</v>
      </c>
    </row>
    <row r="222" spans="1:13" x14ac:dyDescent="0.25">
      <c r="A222" s="168">
        <v>46183</v>
      </c>
      <c r="B222" s="32">
        <v>1</v>
      </c>
      <c r="C222" s="32" t="s">
        <v>193</v>
      </c>
      <c r="D222" s="169" t="s">
        <v>285</v>
      </c>
      <c r="E222" s="169" t="s">
        <v>163</v>
      </c>
      <c r="F222" s="32" t="s">
        <v>111</v>
      </c>
      <c r="G222" s="32">
        <v>75</v>
      </c>
      <c r="H222" s="32" t="s">
        <v>185</v>
      </c>
      <c r="I222" s="32">
        <v>2806</v>
      </c>
      <c r="J222" s="36">
        <v>778.67</v>
      </c>
      <c r="K222" s="32" t="s">
        <v>3969</v>
      </c>
      <c r="L222" s="169" t="s">
        <v>3738</v>
      </c>
      <c r="M222" s="32" t="s">
        <v>111</v>
      </c>
    </row>
    <row r="223" spans="1:13" x14ac:dyDescent="0.25">
      <c r="A223" s="168">
        <v>46183</v>
      </c>
      <c r="B223" s="32">
        <v>1</v>
      </c>
      <c r="C223" s="32" t="s">
        <v>193</v>
      </c>
      <c r="D223" s="169" t="s">
        <v>285</v>
      </c>
      <c r="E223" s="169" t="s">
        <v>163</v>
      </c>
      <c r="F223" s="32" t="s">
        <v>111</v>
      </c>
      <c r="G223" s="32">
        <v>75</v>
      </c>
      <c r="H223" s="32" t="s">
        <v>185</v>
      </c>
      <c r="I223" s="32">
        <v>2864</v>
      </c>
      <c r="J223" s="36">
        <v>794.76</v>
      </c>
      <c r="K223" s="32" t="s">
        <v>3970</v>
      </c>
      <c r="L223" s="169" t="s">
        <v>3738</v>
      </c>
      <c r="M223" s="32" t="s">
        <v>111</v>
      </c>
    </row>
    <row r="224" spans="1:13" x14ac:dyDescent="0.25">
      <c r="A224" s="168">
        <v>46183</v>
      </c>
      <c r="B224" s="32">
        <v>1</v>
      </c>
      <c r="C224" s="32" t="s">
        <v>173</v>
      </c>
      <c r="D224" s="169" t="s">
        <v>174</v>
      </c>
      <c r="E224" s="169" t="s">
        <v>166</v>
      </c>
      <c r="F224" s="32" t="s">
        <v>111</v>
      </c>
      <c r="G224" s="32">
        <v>79</v>
      </c>
      <c r="H224" s="32" t="s">
        <v>185</v>
      </c>
      <c r="I224" s="32">
        <v>2551</v>
      </c>
      <c r="J224" s="36">
        <v>745.66</v>
      </c>
      <c r="K224" s="32" t="s">
        <v>3971</v>
      </c>
      <c r="L224" s="169" t="s">
        <v>123</v>
      </c>
      <c r="M224" s="32" t="s">
        <v>111</v>
      </c>
    </row>
    <row r="225" spans="1:13" x14ac:dyDescent="0.25">
      <c r="A225" s="168">
        <v>46183</v>
      </c>
      <c r="B225" s="32">
        <v>1</v>
      </c>
      <c r="C225" s="32" t="s">
        <v>186</v>
      </c>
      <c r="D225" s="169" t="s">
        <v>187</v>
      </c>
      <c r="E225" s="169" t="s">
        <v>276</v>
      </c>
      <c r="F225" s="32" t="s">
        <v>2033</v>
      </c>
      <c r="G225" s="32">
        <v>323</v>
      </c>
      <c r="H225" s="32" t="s">
        <v>172</v>
      </c>
      <c r="I225" s="32">
        <v>649</v>
      </c>
      <c r="J225" s="36">
        <v>6708.06</v>
      </c>
      <c r="K225" s="32" t="s">
        <v>3972</v>
      </c>
      <c r="L225" s="169" t="s">
        <v>3735</v>
      </c>
      <c r="M225" s="32" t="s">
        <v>15</v>
      </c>
    </row>
    <row r="226" spans="1:13" x14ac:dyDescent="0.25">
      <c r="A226" s="168">
        <v>46184</v>
      </c>
      <c r="B226" s="32">
        <v>1</v>
      </c>
      <c r="C226" s="32" t="s">
        <v>208</v>
      </c>
      <c r="D226" s="169" t="s">
        <v>209</v>
      </c>
      <c r="E226" s="169" t="s">
        <v>190</v>
      </c>
      <c r="F226" s="32" t="s">
        <v>191</v>
      </c>
      <c r="G226" s="32">
        <v>217</v>
      </c>
      <c r="H226" s="32" t="s">
        <v>165</v>
      </c>
      <c r="I226" s="32">
        <v>550</v>
      </c>
      <c r="J226" s="36">
        <v>4415.95</v>
      </c>
      <c r="K226" s="32" t="s">
        <v>3973</v>
      </c>
      <c r="L226" s="169" t="s">
        <v>19</v>
      </c>
      <c r="M226" s="32" t="s">
        <v>3780</v>
      </c>
    </row>
    <row r="227" spans="1:13" x14ac:dyDescent="0.25">
      <c r="A227" s="168">
        <v>46184</v>
      </c>
      <c r="B227" s="32">
        <v>1</v>
      </c>
      <c r="C227" s="32" t="s">
        <v>167</v>
      </c>
      <c r="D227" s="169" t="s">
        <v>168</v>
      </c>
      <c r="E227" s="169" t="s">
        <v>163</v>
      </c>
      <c r="F227" s="32" t="s">
        <v>111</v>
      </c>
      <c r="G227" s="32">
        <v>75</v>
      </c>
      <c r="H227" s="32" t="s">
        <v>185</v>
      </c>
      <c r="I227" s="32">
        <v>2728</v>
      </c>
      <c r="J227" s="36">
        <v>757.02</v>
      </c>
      <c r="K227" s="32" t="s">
        <v>3974</v>
      </c>
      <c r="L227" s="169" t="s">
        <v>3738</v>
      </c>
      <c r="M227" s="32" t="s">
        <v>111</v>
      </c>
    </row>
    <row r="228" spans="1:13" x14ac:dyDescent="0.25">
      <c r="A228" s="168">
        <v>46184</v>
      </c>
      <c r="B228" s="32">
        <v>1</v>
      </c>
      <c r="C228" s="32" t="s">
        <v>167</v>
      </c>
      <c r="D228" s="169" t="s">
        <v>168</v>
      </c>
      <c r="E228" s="169" t="s">
        <v>163</v>
      </c>
      <c r="F228" s="32" t="s">
        <v>164</v>
      </c>
      <c r="G228" s="32">
        <v>52</v>
      </c>
      <c r="H228" s="32" t="s">
        <v>175</v>
      </c>
      <c r="I228" s="32">
        <v>2787</v>
      </c>
      <c r="J228" s="36">
        <v>536.22</v>
      </c>
      <c r="K228" s="32" t="s">
        <v>3975</v>
      </c>
      <c r="L228" s="169" t="s">
        <v>21</v>
      </c>
      <c r="M228" s="32" t="s">
        <v>224</v>
      </c>
    </row>
    <row r="229" spans="1:13" x14ac:dyDescent="0.25">
      <c r="A229" s="168">
        <v>46184</v>
      </c>
      <c r="B229" s="32">
        <v>1</v>
      </c>
      <c r="C229" s="32" t="s">
        <v>342</v>
      </c>
      <c r="D229" s="169" t="s">
        <v>171</v>
      </c>
      <c r="E229" s="169" t="s">
        <v>163</v>
      </c>
      <c r="F229" s="32" t="s">
        <v>164</v>
      </c>
      <c r="G229" s="32">
        <v>52</v>
      </c>
      <c r="H229" s="32" t="s">
        <v>185</v>
      </c>
      <c r="I229" s="32">
        <v>4499</v>
      </c>
      <c r="J229" s="36">
        <v>865.61</v>
      </c>
      <c r="K229" s="32" t="s">
        <v>3976</v>
      </c>
      <c r="L229" s="169" t="s">
        <v>20</v>
      </c>
      <c r="M229" s="32" t="s">
        <v>224</v>
      </c>
    </row>
    <row r="230" spans="1:13" x14ac:dyDescent="0.25">
      <c r="A230" s="168">
        <v>46184</v>
      </c>
      <c r="B230" s="32">
        <v>1</v>
      </c>
      <c r="C230" s="32" t="s">
        <v>199</v>
      </c>
      <c r="D230" s="169" t="s">
        <v>180</v>
      </c>
      <c r="E230" s="169" t="s">
        <v>163</v>
      </c>
      <c r="F230" s="32" t="s">
        <v>111</v>
      </c>
      <c r="G230" s="32">
        <v>75</v>
      </c>
      <c r="H230" s="32" t="s">
        <v>185</v>
      </c>
      <c r="I230" s="32">
        <v>2855</v>
      </c>
      <c r="J230" s="36">
        <v>792.26</v>
      </c>
      <c r="K230" s="32" t="s">
        <v>3977</v>
      </c>
      <c r="L230" s="169" t="s">
        <v>3738</v>
      </c>
      <c r="M230" s="32" t="s">
        <v>111</v>
      </c>
    </row>
    <row r="231" spans="1:13" x14ac:dyDescent="0.25">
      <c r="A231" s="168">
        <v>46184</v>
      </c>
      <c r="B231" s="32">
        <v>1</v>
      </c>
      <c r="C231" s="32" t="s">
        <v>202</v>
      </c>
      <c r="D231" s="169" t="s">
        <v>214</v>
      </c>
      <c r="E231" s="169" t="s">
        <v>166</v>
      </c>
      <c r="F231" s="32" t="s">
        <v>191</v>
      </c>
      <c r="G231" s="32">
        <v>243</v>
      </c>
      <c r="H231" s="32" t="s">
        <v>165</v>
      </c>
      <c r="I231" s="32">
        <v>6456</v>
      </c>
      <c r="J231" s="36">
        <v>5804.59</v>
      </c>
      <c r="K231" s="32" t="s">
        <v>3978</v>
      </c>
      <c r="L231" s="169" t="s">
        <v>36</v>
      </c>
      <c r="M231" s="32" t="s">
        <v>3780</v>
      </c>
    </row>
    <row r="232" spans="1:13" x14ac:dyDescent="0.25">
      <c r="A232" s="168">
        <v>46184</v>
      </c>
      <c r="B232" s="32">
        <v>1</v>
      </c>
      <c r="C232" s="32" t="s">
        <v>181</v>
      </c>
      <c r="D232" s="169" t="s">
        <v>182</v>
      </c>
      <c r="E232" s="169" t="s">
        <v>166</v>
      </c>
      <c r="F232" s="32" t="s">
        <v>164</v>
      </c>
      <c r="G232" s="32">
        <v>58</v>
      </c>
      <c r="H232" s="32" t="s">
        <v>172</v>
      </c>
      <c r="I232" s="32">
        <v>2894</v>
      </c>
      <c r="J232" s="36">
        <v>621.04999999999995</v>
      </c>
      <c r="K232" s="32" t="s">
        <v>3979</v>
      </c>
      <c r="L232" s="169" t="s">
        <v>44</v>
      </c>
      <c r="M232" s="32" t="s">
        <v>224</v>
      </c>
    </row>
    <row r="233" spans="1:13" x14ac:dyDescent="0.25">
      <c r="A233" s="168">
        <v>46184</v>
      </c>
      <c r="B233" s="32">
        <v>1</v>
      </c>
      <c r="C233" s="32" t="s">
        <v>270</v>
      </c>
      <c r="D233" s="169" t="s">
        <v>288</v>
      </c>
      <c r="E233" s="169" t="s">
        <v>3980</v>
      </c>
      <c r="F233" s="32" t="s">
        <v>2868</v>
      </c>
      <c r="G233" s="32">
        <v>550</v>
      </c>
      <c r="H233" s="32" t="s">
        <v>3981</v>
      </c>
      <c r="I233" s="32">
        <v>149</v>
      </c>
      <c r="J233" s="36">
        <v>2622.4</v>
      </c>
      <c r="K233" s="32" t="s">
        <v>3982</v>
      </c>
      <c r="L233" s="169" t="s">
        <v>3983</v>
      </c>
      <c r="M233" s="32" t="s">
        <v>157</v>
      </c>
    </row>
    <row r="234" spans="1:13" x14ac:dyDescent="0.25">
      <c r="A234" s="168">
        <v>46184</v>
      </c>
      <c r="B234" s="32">
        <v>1</v>
      </c>
      <c r="C234" s="32" t="s">
        <v>199</v>
      </c>
      <c r="D234" s="169" t="s">
        <v>180</v>
      </c>
      <c r="E234" s="169" t="s">
        <v>163</v>
      </c>
      <c r="F234" s="32" t="s">
        <v>111</v>
      </c>
      <c r="G234" s="32">
        <v>75</v>
      </c>
      <c r="H234" s="32" t="s">
        <v>185</v>
      </c>
      <c r="I234" s="32">
        <v>2824</v>
      </c>
      <c r="J234" s="36">
        <v>783.66</v>
      </c>
      <c r="K234" s="32" t="s">
        <v>3984</v>
      </c>
      <c r="L234" s="169" t="s">
        <v>3738</v>
      </c>
      <c r="M234" s="32" t="s">
        <v>111</v>
      </c>
    </row>
    <row r="235" spans="1:13" x14ac:dyDescent="0.25">
      <c r="A235" s="168">
        <v>46184</v>
      </c>
      <c r="B235" s="32">
        <v>1</v>
      </c>
      <c r="C235" s="32" t="s">
        <v>203</v>
      </c>
      <c r="D235" s="169" t="s">
        <v>204</v>
      </c>
      <c r="E235" s="169" t="s">
        <v>190</v>
      </c>
      <c r="F235" s="32" t="s">
        <v>191</v>
      </c>
      <c r="G235" s="32">
        <v>217</v>
      </c>
      <c r="H235" s="32" t="s">
        <v>165</v>
      </c>
      <c r="I235" s="32">
        <v>4942</v>
      </c>
      <c r="J235" s="36">
        <v>3967.93</v>
      </c>
      <c r="K235" s="32" t="s">
        <v>3985</v>
      </c>
      <c r="L235" s="169" t="s">
        <v>19</v>
      </c>
      <c r="M235" s="32" t="s">
        <v>3780</v>
      </c>
    </row>
    <row r="236" spans="1:13" x14ac:dyDescent="0.25">
      <c r="A236" s="168">
        <v>46184</v>
      </c>
      <c r="B236" s="32">
        <v>1</v>
      </c>
      <c r="C236" s="32" t="s">
        <v>176</v>
      </c>
      <c r="D236" s="169" t="s">
        <v>177</v>
      </c>
      <c r="E236" s="169" t="s">
        <v>190</v>
      </c>
      <c r="F236" s="32" t="s">
        <v>191</v>
      </c>
      <c r="G236" s="32">
        <v>217</v>
      </c>
      <c r="H236" s="32" t="s">
        <v>165</v>
      </c>
      <c r="I236" s="32">
        <v>472</v>
      </c>
      <c r="J236" s="36">
        <v>3789.69</v>
      </c>
      <c r="K236" s="32" t="s">
        <v>3986</v>
      </c>
      <c r="L236" s="169" t="s">
        <v>19</v>
      </c>
      <c r="M236" s="32" t="s">
        <v>3780</v>
      </c>
    </row>
    <row r="237" spans="1:13" x14ac:dyDescent="0.25">
      <c r="A237" s="168">
        <v>46184</v>
      </c>
      <c r="B237" s="32">
        <v>1</v>
      </c>
      <c r="C237" s="32" t="s">
        <v>196</v>
      </c>
      <c r="D237" s="169" t="s">
        <v>197</v>
      </c>
      <c r="E237" s="169" t="s">
        <v>166</v>
      </c>
      <c r="F237" s="32" t="s">
        <v>191</v>
      </c>
      <c r="G237" s="32">
        <v>243</v>
      </c>
      <c r="H237" s="32" t="s">
        <v>165</v>
      </c>
      <c r="I237" s="32">
        <v>6632</v>
      </c>
      <c r="J237" s="36">
        <v>5962.83</v>
      </c>
      <c r="K237" s="32" t="s">
        <v>3987</v>
      </c>
      <c r="L237" s="169" t="s">
        <v>36</v>
      </c>
      <c r="M237" s="32" t="s">
        <v>3780</v>
      </c>
    </row>
    <row r="238" spans="1:13" x14ac:dyDescent="0.25">
      <c r="A238" s="168">
        <v>46184</v>
      </c>
      <c r="B238" s="32">
        <v>1</v>
      </c>
      <c r="C238" s="32" t="s">
        <v>205</v>
      </c>
      <c r="D238" s="169" t="s">
        <v>206</v>
      </c>
      <c r="E238" s="169" t="s">
        <v>276</v>
      </c>
      <c r="F238" s="32" t="s">
        <v>307</v>
      </c>
      <c r="G238" s="32">
        <v>175</v>
      </c>
      <c r="H238" s="32" t="s">
        <v>165</v>
      </c>
      <c r="I238" s="32">
        <v>6488</v>
      </c>
      <c r="J238" s="36">
        <v>3633.28</v>
      </c>
      <c r="K238" s="32" t="s">
        <v>3988</v>
      </c>
      <c r="L238" s="169" t="s">
        <v>3771</v>
      </c>
      <c r="M238" s="32" t="s">
        <v>307</v>
      </c>
    </row>
    <row r="239" spans="1:13" x14ac:dyDescent="0.25">
      <c r="A239" s="168">
        <v>46184</v>
      </c>
      <c r="B239" s="32">
        <v>1</v>
      </c>
      <c r="C239" s="32" t="s">
        <v>283</v>
      </c>
      <c r="D239" s="169" t="s">
        <v>282</v>
      </c>
      <c r="E239" s="169" t="s">
        <v>166</v>
      </c>
      <c r="F239" s="32" t="s">
        <v>1178</v>
      </c>
      <c r="G239" s="32">
        <v>51</v>
      </c>
      <c r="H239" s="32" t="s">
        <v>172</v>
      </c>
      <c r="I239" s="32">
        <v>2714</v>
      </c>
      <c r="J239" s="36">
        <v>512.13</v>
      </c>
      <c r="K239" s="32" t="s">
        <v>3989</v>
      </c>
      <c r="L239" s="169" t="s">
        <v>3847</v>
      </c>
      <c r="M239" s="32" t="s">
        <v>1178</v>
      </c>
    </row>
    <row r="240" spans="1:13" x14ac:dyDescent="0.25">
      <c r="A240" s="168">
        <v>46184</v>
      </c>
      <c r="B240" s="32">
        <v>1</v>
      </c>
      <c r="C240" s="32" t="s">
        <v>283</v>
      </c>
      <c r="D240" s="169" t="s">
        <v>282</v>
      </c>
      <c r="E240" s="169" t="s">
        <v>166</v>
      </c>
      <c r="F240" s="32" t="s">
        <v>1178</v>
      </c>
      <c r="G240" s="32">
        <v>51</v>
      </c>
      <c r="H240" s="32" t="s">
        <v>172</v>
      </c>
      <c r="I240" s="32">
        <v>282</v>
      </c>
      <c r="J240" s="36">
        <v>532.13</v>
      </c>
      <c r="K240" s="32" t="s">
        <v>3990</v>
      </c>
      <c r="L240" s="169" t="s">
        <v>3847</v>
      </c>
      <c r="M240" s="32" t="s">
        <v>1178</v>
      </c>
    </row>
    <row r="241" spans="1:13" x14ac:dyDescent="0.25">
      <c r="A241" s="168">
        <v>46184</v>
      </c>
      <c r="B241" s="32">
        <v>1</v>
      </c>
      <c r="C241" s="32" t="s">
        <v>167</v>
      </c>
      <c r="D241" s="169" t="s">
        <v>168</v>
      </c>
      <c r="E241" s="169" t="s">
        <v>163</v>
      </c>
      <c r="F241" s="32" t="s">
        <v>164</v>
      </c>
      <c r="G241" s="32">
        <v>52</v>
      </c>
      <c r="H241" s="32" t="s">
        <v>175</v>
      </c>
      <c r="I241" s="32">
        <v>2655</v>
      </c>
      <c r="J241" s="36">
        <v>510.82</v>
      </c>
      <c r="K241" s="32" t="s">
        <v>3991</v>
      </c>
      <c r="L241" s="169" t="s">
        <v>21</v>
      </c>
      <c r="M241" s="32" t="s">
        <v>224</v>
      </c>
    </row>
    <row r="242" spans="1:13" x14ac:dyDescent="0.25">
      <c r="A242" s="168">
        <v>46184</v>
      </c>
      <c r="B242" s="32">
        <v>1</v>
      </c>
      <c r="C242" s="32" t="s">
        <v>173</v>
      </c>
      <c r="D242" s="169" t="s">
        <v>174</v>
      </c>
      <c r="E242" s="169" t="s">
        <v>166</v>
      </c>
      <c r="F242" s="32" t="s">
        <v>111</v>
      </c>
      <c r="G242" s="32">
        <v>79</v>
      </c>
      <c r="H242" s="32" t="s">
        <v>169</v>
      </c>
      <c r="I242" s="32">
        <v>2448</v>
      </c>
      <c r="J242" s="36">
        <v>715.55</v>
      </c>
      <c r="K242" s="32" t="s">
        <v>3992</v>
      </c>
      <c r="L242" s="169" t="s">
        <v>116</v>
      </c>
      <c r="M242" s="32" t="s">
        <v>111</v>
      </c>
    </row>
    <row r="243" spans="1:13" x14ac:dyDescent="0.25">
      <c r="A243" s="168">
        <v>46184</v>
      </c>
      <c r="B243" s="32">
        <v>1</v>
      </c>
      <c r="C243" s="32" t="s">
        <v>173</v>
      </c>
      <c r="D243" s="169" t="s">
        <v>174</v>
      </c>
      <c r="E243" s="169" t="s">
        <v>166</v>
      </c>
      <c r="F243" s="32" t="s">
        <v>111</v>
      </c>
      <c r="G243" s="32">
        <v>79</v>
      </c>
      <c r="H243" s="32" t="s">
        <v>169</v>
      </c>
      <c r="I243" s="32">
        <v>2452</v>
      </c>
      <c r="J243" s="36">
        <v>716.72</v>
      </c>
      <c r="K243" s="32" t="s">
        <v>3993</v>
      </c>
      <c r="L243" s="169" t="s">
        <v>116</v>
      </c>
      <c r="M243" s="32" t="s">
        <v>111</v>
      </c>
    </row>
    <row r="244" spans="1:13" x14ac:dyDescent="0.25">
      <c r="A244" s="168">
        <v>46184</v>
      </c>
      <c r="B244" s="32">
        <v>1</v>
      </c>
      <c r="C244" s="32" t="s">
        <v>286</v>
      </c>
      <c r="D244" s="169" t="s">
        <v>506</v>
      </c>
      <c r="E244" s="169" t="s">
        <v>163</v>
      </c>
      <c r="F244" s="32" t="s">
        <v>164</v>
      </c>
      <c r="G244" s="32">
        <v>52</v>
      </c>
      <c r="H244" s="32" t="s">
        <v>175</v>
      </c>
      <c r="I244" s="32">
        <v>4499</v>
      </c>
      <c r="J244" s="36">
        <v>865.61</v>
      </c>
      <c r="K244" s="32" t="s">
        <v>3994</v>
      </c>
      <c r="L244" s="169" t="s">
        <v>21</v>
      </c>
      <c r="M244" s="32" t="s">
        <v>224</v>
      </c>
    </row>
    <row r="245" spans="1:13" x14ac:dyDescent="0.25">
      <c r="A245" s="168">
        <v>46184</v>
      </c>
      <c r="B245" s="32">
        <v>1</v>
      </c>
      <c r="C245" s="32" t="s">
        <v>286</v>
      </c>
      <c r="D245" s="169" t="s">
        <v>506</v>
      </c>
      <c r="E245" s="169" t="s">
        <v>166</v>
      </c>
      <c r="F245" s="32" t="s">
        <v>164</v>
      </c>
      <c r="G245" s="32">
        <v>58</v>
      </c>
      <c r="H245" s="32" t="s">
        <v>165</v>
      </c>
      <c r="I245" s="32">
        <v>4582</v>
      </c>
      <c r="J245" s="36">
        <v>983.3</v>
      </c>
      <c r="K245" s="32" t="s">
        <v>3995</v>
      </c>
      <c r="L245" s="169" t="s">
        <v>27</v>
      </c>
      <c r="M245" s="32" t="s">
        <v>224</v>
      </c>
    </row>
    <row r="246" spans="1:13" x14ac:dyDescent="0.25">
      <c r="A246" s="168">
        <v>46184</v>
      </c>
      <c r="B246" s="32">
        <v>1</v>
      </c>
      <c r="C246" s="32" t="s">
        <v>192</v>
      </c>
      <c r="D246" s="169" t="s">
        <v>287</v>
      </c>
      <c r="E246" s="169" t="s">
        <v>166</v>
      </c>
      <c r="F246" s="32" t="s">
        <v>191</v>
      </c>
      <c r="G246" s="32">
        <v>243</v>
      </c>
      <c r="H246" s="32" t="s">
        <v>165</v>
      </c>
      <c r="I246" s="32">
        <v>5964</v>
      </c>
      <c r="J246" s="36">
        <v>5362.23</v>
      </c>
      <c r="K246" s="32" t="s">
        <v>3996</v>
      </c>
      <c r="L246" s="169" t="s">
        <v>36</v>
      </c>
      <c r="M246" s="32" t="s">
        <v>3780</v>
      </c>
    </row>
    <row r="247" spans="1:13" x14ac:dyDescent="0.25">
      <c r="A247" s="168">
        <v>46184</v>
      </c>
      <c r="B247" s="32">
        <v>1</v>
      </c>
      <c r="C247" s="32" t="s">
        <v>275</v>
      </c>
      <c r="D247" s="169" t="s">
        <v>178</v>
      </c>
      <c r="E247" s="169" t="s">
        <v>166</v>
      </c>
      <c r="F247" s="32" t="s">
        <v>191</v>
      </c>
      <c r="G247" s="32">
        <v>243</v>
      </c>
      <c r="H247" s="32" t="s">
        <v>165</v>
      </c>
      <c r="I247" s="32">
        <v>4506</v>
      </c>
      <c r="J247" s="36">
        <v>4051.34</v>
      </c>
      <c r="K247" s="32" t="s">
        <v>3997</v>
      </c>
      <c r="L247" s="169" t="s">
        <v>36</v>
      </c>
      <c r="M247" s="32" t="s">
        <v>3780</v>
      </c>
    </row>
    <row r="248" spans="1:13" x14ac:dyDescent="0.25">
      <c r="A248" s="168">
        <v>46184</v>
      </c>
      <c r="B248" s="32">
        <v>1</v>
      </c>
      <c r="C248" s="32" t="s">
        <v>186</v>
      </c>
      <c r="D248" s="169" t="s">
        <v>187</v>
      </c>
      <c r="E248" s="169" t="s">
        <v>276</v>
      </c>
      <c r="F248" s="32" t="s">
        <v>2865</v>
      </c>
      <c r="G248" s="32">
        <v>37</v>
      </c>
      <c r="H248" s="32" t="s">
        <v>175</v>
      </c>
      <c r="I248" s="32">
        <v>633</v>
      </c>
      <c r="J248" s="36">
        <v>866.58</v>
      </c>
      <c r="K248" s="32" t="s">
        <v>3998</v>
      </c>
      <c r="L248" s="169" t="s">
        <v>119</v>
      </c>
      <c r="M248" s="32" t="s">
        <v>15</v>
      </c>
    </row>
    <row r="249" spans="1:13" x14ac:dyDescent="0.25">
      <c r="A249" s="168">
        <v>46184</v>
      </c>
      <c r="B249" s="32">
        <v>1</v>
      </c>
      <c r="C249" s="32" t="s">
        <v>1948</v>
      </c>
      <c r="D249" s="169" t="s">
        <v>1949</v>
      </c>
      <c r="E249" s="169" t="s">
        <v>2868</v>
      </c>
      <c r="F249" s="32" t="s">
        <v>2881</v>
      </c>
      <c r="G249" s="32">
        <v>62</v>
      </c>
      <c r="H249" s="32" t="s">
        <v>2869</v>
      </c>
      <c r="I249" s="32">
        <v>441</v>
      </c>
      <c r="J249" s="36">
        <v>1011.65</v>
      </c>
      <c r="K249" s="32" t="s">
        <v>3999</v>
      </c>
      <c r="L249" s="169" t="s">
        <v>3825</v>
      </c>
      <c r="M249" s="32" t="s">
        <v>157</v>
      </c>
    </row>
    <row r="250" spans="1:13" x14ac:dyDescent="0.25">
      <c r="A250" s="168">
        <v>46184</v>
      </c>
      <c r="B250" s="32">
        <v>1</v>
      </c>
      <c r="C250" s="32" t="s">
        <v>183</v>
      </c>
      <c r="D250" s="169" t="s">
        <v>184</v>
      </c>
      <c r="E250" s="169" t="s">
        <v>163</v>
      </c>
      <c r="F250" s="32" t="s">
        <v>111</v>
      </c>
      <c r="G250" s="32">
        <v>75</v>
      </c>
      <c r="H250" s="32" t="s">
        <v>169</v>
      </c>
      <c r="I250" s="32">
        <v>2859</v>
      </c>
      <c r="J250" s="36">
        <v>793.37</v>
      </c>
      <c r="K250" s="32" t="s">
        <v>4000</v>
      </c>
      <c r="L250" s="169" t="s">
        <v>3742</v>
      </c>
      <c r="M250" s="32" t="s">
        <v>111</v>
      </c>
    </row>
    <row r="251" spans="1:13" x14ac:dyDescent="0.25">
      <c r="A251" s="168">
        <v>46184</v>
      </c>
      <c r="B251" s="32">
        <v>1</v>
      </c>
      <c r="C251" s="32" t="s">
        <v>183</v>
      </c>
      <c r="D251" s="169" t="s">
        <v>184</v>
      </c>
      <c r="E251" s="169" t="s">
        <v>163</v>
      </c>
      <c r="F251" s="32" t="s">
        <v>111</v>
      </c>
      <c r="G251" s="32">
        <v>75</v>
      </c>
      <c r="H251" s="32" t="s">
        <v>169</v>
      </c>
      <c r="I251" s="32">
        <v>264</v>
      </c>
      <c r="J251" s="36">
        <v>732.6</v>
      </c>
      <c r="K251" s="32" t="s">
        <v>4001</v>
      </c>
      <c r="L251" s="169" t="s">
        <v>3742</v>
      </c>
      <c r="M251" s="32" t="s">
        <v>111</v>
      </c>
    </row>
    <row r="252" spans="1:13" x14ac:dyDescent="0.25">
      <c r="A252" s="168">
        <v>46184</v>
      </c>
      <c r="B252" s="32">
        <v>1</v>
      </c>
      <c r="C252" s="32" t="s">
        <v>179</v>
      </c>
      <c r="D252" s="169" t="s">
        <v>2863</v>
      </c>
      <c r="E252" s="169" t="s">
        <v>166</v>
      </c>
      <c r="F252" s="32" t="s">
        <v>111</v>
      </c>
      <c r="G252" s="32">
        <v>79</v>
      </c>
      <c r="H252" s="32" t="s">
        <v>169</v>
      </c>
      <c r="I252" s="32">
        <v>2627</v>
      </c>
      <c r="J252" s="36">
        <v>767.87</v>
      </c>
      <c r="K252" s="32" t="s">
        <v>4002</v>
      </c>
      <c r="L252" s="169" t="s">
        <v>116</v>
      </c>
      <c r="M252" s="32" t="s">
        <v>111</v>
      </c>
    </row>
    <row r="253" spans="1:13" x14ac:dyDescent="0.25">
      <c r="A253" s="168">
        <v>46184</v>
      </c>
      <c r="B253" s="32">
        <v>1</v>
      </c>
      <c r="C253" s="32" t="s">
        <v>179</v>
      </c>
      <c r="D253" s="169" t="s">
        <v>2863</v>
      </c>
      <c r="E253" s="169" t="s">
        <v>166</v>
      </c>
      <c r="F253" s="32" t="s">
        <v>111</v>
      </c>
      <c r="G253" s="32">
        <v>79</v>
      </c>
      <c r="H253" s="32" t="s">
        <v>169</v>
      </c>
      <c r="I253" s="32">
        <v>2898</v>
      </c>
      <c r="J253" s="36">
        <v>847.09</v>
      </c>
      <c r="K253" s="32" t="s">
        <v>4003</v>
      </c>
      <c r="L253" s="169" t="s">
        <v>116</v>
      </c>
      <c r="M253" s="32" t="s">
        <v>111</v>
      </c>
    </row>
    <row r="254" spans="1:13" x14ac:dyDescent="0.25">
      <c r="A254" s="168">
        <v>46184</v>
      </c>
      <c r="B254" s="32">
        <v>1</v>
      </c>
      <c r="C254" s="32" t="s">
        <v>1129</v>
      </c>
      <c r="D254" s="169" t="s">
        <v>2396</v>
      </c>
      <c r="E254" s="169" t="s">
        <v>163</v>
      </c>
      <c r="F254" s="32" t="s">
        <v>164</v>
      </c>
      <c r="G254" s="32">
        <v>52</v>
      </c>
      <c r="H254" s="32" t="s">
        <v>175</v>
      </c>
      <c r="I254" s="32">
        <v>2599</v>
      </c>
      <c r="J254" s="36">
        <v>500.05</v>
      </c>
      <c r="K254" s="32" t="s">
        <v>4004</v>
      </c>
      <c r="L254" s="169" t="s">
        <v>21</v>
      </c>
      <c r="M254" s="32" t="s">
        <v>224</v>
      </c>
    </row>
    <row r="255" spans="1:13" x14ac:dyDescent="0.25">
      <c r="A255" s="168">
        <v>46185</v>
      </c>
      <c r="B255" s="32">
        <v>1</v>
      </c>
      <c r="C255" s="32" t="s">
        <v>208</v>
      </c>
      <c r="D255" s="169" t="s">
        <v>209</v>
      </c>
      <c r="E255" s="169" t="s">
        <v>190</v>
      </c>
      <c r="F255" s="32" t="s">
        <v>191</v>
      </c>
      <c r="G255" s="32">
        <v>217</v>
      </c>
      <c r="H255" s="32" t="s">
        <v>165</v>
      </c>
      <c r="I255" s="32">
        <v>570</v>
      </c>
      <c r="J255" s="36">
        <v>4576.53</v>
      </c>
      <c r="K255" s="32" t="s">
        <v>4005</v>
      </c>
      <c r="L255" s="169" t="s">
        <v>19</v>
      </c>
      <c r="M255" s="32" t="s">
        <v>3780</v>
      </c>
    </row>
    <row r="256" spans="1:13" x14ac:dyDescent="0.25">
      <c r="A256" s="168">
        <v>46185</v>
      </c>
      <c r="B256" s="32">
        <v>1</v>
      </c>
      <c r="C256" s="32" t="s">
        <v>199</v>
      </c>
      <c r="D256" s="169" t="s">
        <v>180</v>
      </c>
      <c r="E256" s="169" t="s">
        <v>163</v>
      </c>
      <c r="F256" s="32" t="s">
        <v>111</v>
      </c>
      <c r="G256" s="32">
        <v>75</v>
      </c>
      <c r="H256" s="32" t="s">
        <v>185</v>
      </c>
      <c r="I256" s="32">
        <v>2793</v>
      </c>
      <c r="J256" s="36">
        <v>775.06</v>
      </c>
      <c r="K256" s="32" t="s">
        <v>4006</v>
      </c>
      <c r="L256" s="169" t="s">
        <v>3738</v>
      </c>
      <c r="M256" s="32" t="s">
        <v>111</v>
      </c>
    </row>
    <row r="257" spans="1:13" x14ac:dyDescent="0.25">
      <c r="A257" s="168">
        <v>46185</v>
      </c>
      <c r="B257" s="32">
        <v>1</v>
      </c>
      <c r="C257" s="32" t="s">
        <v>167</v>
      </c>
      <c r="D257" s="169" t="s">
        <v>168</v>
      </c>
      <c r="E257" s="169" t="s">
        <v>163</v>
      </c>
      <c r="F257" s="32" t="s">
        <v>111</v>
      </c>
      <c r="G257" s="32">
        <v>75</v>
      </c>
      <c r="H257" s="32" t="s">
        <v>185</v>
      </c>
      <c r="I257" s="32">
        <v>2692</v>
      </c>
      <c r="J257" s="36">
        <v>747.03</v>
      </c>
      <c r="K257" s="32" t="s">
        <v>4007</v>
      </c>
      <c r="L257" s="169" t="s">
        <v>3738</v>
      </c>
      <c r="M257" s="32" t="s">
        <v>111</v>
      </c>
    </row>
    <row r="258" spans="1:13" x14ac:dyDescent="0.25">
      <c r="A258" s="168">
        <v>46185</v>
      </c>
      <c r="B258" s="32">
        <v>1</v>
      </c>
      <c r="C258" s="32" t="s">
        <v>342</v>
      </c>
      <c r="D258" s="169" t="s">
        <v>171</v>
      </c>
      <c r="E258" s="169" t="s">
        <v>163</v>
      </c>
      <c r="F258" s="32" t="s">
        <v>164</v>
      </c>
      <c r="G258" s="32">
        <v>52</v>
      </c>
      <c r="H258" s="32" t="s">
        <v>185</v>
      </c>
      <c r="I258" s="32">
        <v>4542</v>
      </c>
      <c r="J258" s="36">
        <v>873.88</v>
      </c>
      <c r="K258" s="32" t="s">
        <v>4008</v>
      </c>
      <c r="L258" s="169" t="s">
        <v>20</v>
      </c>
      <c r="M258" s="32" t="s">
        <v>224</v>
      </c>
    </row>
    <row r="259" spans="1:13" x14ac:dyDescent="0.25">
      <c r="A259" s="168">
        <v>46185</v>
      </c>
      <c r="B259" s="32">
        <v>1</v>
      </c>
      <c r="C259" s="32" t="s">
        <v>181</v>
      </c>
      <c r="D259" s="169" t="s">
        <v>182</v>
      </c>
      <c r="E259" s="169" t="s">
        <v>166</v>
      </c>
      <c r="F259" s="32" t="s">
        <v>164</v>
      </c>
      <c r="G259" s="32">
        <v>58</v>
      </c>
      <c r="H259" s="32" t="s">
        <v>172</v>
      </c>
      <c r="I259" s="32">
        <v>273</v>
      </c>
      <c r="J259" s="36">
        <v>585.86</v>
      </c>
      <c r="K259" s="32" t="s">
        <v>4009</v>
      </c>
      <c r="L259" s="169" t="s">
        <v>44</v>
      </c>
      <c r="M259" s="32" t="s">
        <v>224</v>
      </c>
    </row>
    <row r="260" spans="1:13" x14ac:dyDescent="0.25">
      <c r="A260" s="168">
        <v>46185</v>
      </c>
      <c r="B260" s="32">
        <v>1</v>
      </c>
      <c r="C260" s="32" t="s">
        <v>202</v>
      </c>
      <c r="D260" s="169" t="s">
        <v>214</v>
      </c>
      <c r="E260" s="169" t="s">
        <v>190</v>
      </c>
      <c r="F260" s="32" t="s">
        <v>191</v>
      </c>
      <c r="G260" s="32">
        <v>217</v>
      </c>
      <c r="H260" s="32" t="s">
        <v>165</v>
      </c>
      <c r="I260" s="32">
        <v>6674</v>
      </c>
      <c r="J260" s="36">
        <v>5358.55</v>
      </c>
      <c r="K260" s="32" t="s">
        <v>4010</v>
      </c>
      <c r="L260" s="169" t="s">
        <v>19</v>
      </c>
      <c r="M260" s="32" t="s">
        <v>3780</v>
      </c>
    </row>
    <row r="261" spans="1:13" x14ac:dyDescent="0.25">
      <c r="A261" s="168">
        <v>46185</v>
      </c>
      <c r="B261" s="32">
        <v>1</v>
      </c>
      <c r="C261" s="32" t="s">
        <v>167</v>
      </c>
      <c r="D261" s="169" t="s">
        <v>168</v>
      </c>
      <c r="E261" s="169" t="s">
        <v>163</v>
      </c>
      <c r="F261" s="32" t="s">
        <v>111</v>
      </c>
      <c r="G261" s="32">
        <v>75</v>
      </c>
      <c r="H261" s="32" t="s">
        <v>185</v>
      </c>
      <c r="I261" s="32">
        <v>2767</v>
      </c>
      <c r="J261" s="36">
        <v>767.84</v>
      </c>
      <c r="K261" s="32" t="s">
        <v>4011</v>
      </c>
      <c r="L261" s="169" t="s">
        <v>3738</v>
      </c>
      <c r="M261" s="32" t="s">
        <v>111</v>
      </c>
    </row>
    <row r="262" spans="1:13" x14ac:dyDescent="0.25">
      <c r="A262" s="168">
        <v>46185</v>
      </c>
      <c r="B262" s="32">
        <v>1</v>
      </c>
      <c r="C262" s="32" t="s">
        <v>199</v>
      </c>
      <c r="D262" s="169" t="s">
        <v>180</v>
      </c>
      <c r="E262" s="169" t="s">
        <v>163</v>
      </c>
      <c r="F262" s="32" t="s">
        <v>111</v>
      </c>
      <c r="G262" s="32">
        <v>75</v>
      </c>
      <c r="H262" s="32" t="s">
        <v>185</v>
      </c>
      <c r="I262" s="32">
        <v>2918</v>
      </c>
      <c r="J262" s="36">
        <v>809.75</v>
      </c>
      <c r="K262" s="32" t="s">
        <v>4012</v>
      </c>
      <c r="L262" s="169" t="s">
        <v>3738</v>
      </c>
      <c r="M262" s="32" t="s">
        <v>111</v>
      </c>
    </row>
    <row r="263" spans="1:13" x14ac:dyDescent="0.25">
      <c r="A263" s="168">
        <v>46185</v>
      </c>
      <c r="B263" s="32">
        <v>1</v>
      </c>
      <c r="C263" s="32" t="s">
        <v>173</v>
      </c>
      <c r="D263" s="169" t="s">
        <v>174</v>
      </c>
      <c r="E263" s="169" t="s">
        <v>166</v>
      </c>
      <c r="F263" s="32" t="s">
        <v>111</v>
      </c>
      <c r="G263" s="32">
        <v>79</v>
      </c>
      <c r="H263" s="32" t="s">
        <v>172</v>
      </c>
      <c r="I263" s="32">
        <v>302</v>
      </c>
      <c r="J263" s="36">
        <v>882.75</v>
      </c>
      <c r="K263" s="32" t="s">
        <v>4013</v>
      </c>
      <c r="L263" s="169" t="s">
        <v>117</v>
      </c>
      <c r="M263" s="32" t="s">
        <v>111</v>
      </c>
    </row>
    <row r="264" spans="1:13" x14ac:dyDescent="0.25">
      <c r="A264" s="168">
        <v>46185</v>
      </c>
      <c r="B264" s="32">
        <v>1</v>
      </c>
      <c r="C264" s="32" t="s">
        <v>186</v>
      </c>
      <c r="D264" s="169" t="s">
        <v>187</v>
      </c>
      <c r="E264" s="169" t="s">
        <v>276</v>
      </c>
      <c r="F264" s="32" t="s">
        <v>2865</v>
      </c>
      <c r="G264" s="32">
        <v>37</v>
      </c>
      <c r="H264" s="32" t="s">
        <v>165</v>
      </c>
      <c r="I264" s="32">
        <v>711</v>
      </c>
      <c r="J264" s="36">
        <v>973.36</v>
      </c>
      <c r="K264" s="32" t="s">
        <v>4014</v>
      </c>
      <c r="L264" s="169" t="s">
        <v>118</v>
      </c>
      <c r="M264" s="32" t="s">
        <v>15</v>
      </c>
    </row>
    <row r="265" spans="1:13" x14ac:dyDescent="0.25">
      <c r="A265" s="168">
        <v>46185</v>
      </c>
      <c r="B265" s="32">
        <v>1</v>
      </c>
      <c r="C265" s="32" t="s">
        <v>342</v>
      </c>
      <c r="D265" s="169" t="s">
        <v>171</v>
      </c>
      <c r="E265" s="169" t="s">
        <v>163</v>
      </c>
      <c r="F265" s="32" t="s">
        <v>164</v>
      </c>
      <c r="G265" s="32">
        <v>52</v>
      </c>
      <c r="H265" s="32" t="s">
        <v>185</v>
      </c>
      <c r="I265" s="32">
        <v>4559</v>
      </c>
      <c r="J265" s="36">
        <v>877.15</v>
      </c>
      <c r="K265" s="32" t="s">
        <v>4015</v>
      </c>
      <c r="L265" s="169" t="s">
        <v>20</v>
      </c>
      <c r="M265" s="32" t="s">
        <v>224</v>
      </c>
    </row>
    <row r="266" spans="1:13" x14ac:dyDescent="0.25">
      <c r="A266" s="168">
        <v>46185</v>
      </c>
      <c r="B266" s="32">
        <v>1</v>
      </c>
      <c r="C266" s="32" t="s">
        <v>181</v>
      </c>
      <c r="D266" s="169" t="s">
        <v>182</v>
      </c>
      <c r="E266" s="169" t="s">
        <v>166</v>
      </c>
      <c r="F266" s="32" t="s">
        <v>164</v>
      </c>
      <c r="G266" s="32">
        <v>58</v>
      </c>
      <c r="H266" s="32" t="s">
        <v>172</v>
      </c>
      <c r="I266" s="32">
        <v>2802</v>
      </c>
      <c r="J266" s="36">
        <v>601.30999999999995</v>
      </c>
      <c r="K266" s="32" t="s">
        <v>4016</v>
      </c>
      <c r="L266" s="169" t="s">
        <v>44</v>
      </c>
      <c r="M266" s="32" t="s">
        <v>224</v>
      </c>
    </row>
    <row r="267" spans="1:13" x14ac:dyDescent="0.25">
      <c r="A267" s="168">
        <v>46185</v>
      </c>
      <c r="B267" s="32">
        <v>1</v>
      </c>
      <c r="C267" s="32" t="s">
        <v>167</v>
      </c>
      <c r="D267" s="169" t="s">
        <v>168</v>
      </c>
      <c r="E267" s="169" t="s">
        <v>163</v>
      </c>
      <c r="F267" s="32" t="s">
        <v>111</v>
      </c>
      <c r="G267" s="32">
        <v>75</v>
      </c>
      <c r="H267" s="32" t="s">
        <v>185</v>
      </c>
      <c r="I267" s="32">
        <v>2728</v>
      </c>
      <c r="J267" s="36">
        <v>757.02</v>
      </c>
      <c r="K267" s="32" t="s">
        <v>4017</v>
      </c>
      <c r="L267" s="169" t="s">
        <v>3738</v>
      </c>
      <c r="M267" s="32" t="s">
        <v>111</v>
      </c>
    </row>
    <row r="268" spans="1:13" x14ac:dyDescent="0.25">
      <c r="A268" s="168">
        <v>46185</v>
      </c>
      <c r="B268" s="32">
        <v>1</v>
      </c>
      <c r="C268" s="32" t="s">
        <v>196</v>
      </c>
      <c r="D268" s="169" t="s">
        <v>197</v>
      </c>
      <c r="E268" s="169" t="s">
        <v>190</v>
      </c>
      <c r="F268" s="32" t="s">
        <v>191</v>
      </c>
      <c r="G268" s="32">
        <v>217</v>
      </c>
      <c r="H268" s="32" t="s">
        <v>165</v>
      </c>
      <c r="I268" s="32">
        <v>6764</v>
      </c>
      <c r="J268" s="36">
        <v>5430.82</v>
      </c>
      <c r="K268" s="32" t="s">
        <v>4018</v>
      </c>
      <c r="L268" s="169" t="s">
        <v>19</v>
      </c>
      <c r="M268" s="32" t="s">
        <v>3780</v>
      </c>
    </row>
    <row r="269" spans="1:13" x14ac:dyDescent="0.25">
      <c r="A269" s="168">
        <v>46185</v>
      </c>
      <c r="B269" s="32">
        <v>1</v>
      </c>
      <c r="C269" s="32" t="s">
        <v>183</v>
      </c>
      <c r="D269" s="169" t="s">
        <v>184</v>
      </c>
      <c r="E269" s="169" t="s">
        <v>163</v>
      </c>
      <c r="F269" s="32" t="s">
        <v>111</v>
      </c>
      <c r="G269" s="32">
        <v>75</v>
      </c>
      <c r="H269" s="32" t="s">
        <v>169</v>
      </c>
      <c r="I269" s="32">
        <v>2817</v>
      </c>
      <c r="J269" s="36">
        <v>781.72</v>
      </c>
      <c r="K269" s="32" t="s">
        <v>4019</v>
      </c>
      <c r="L269" s="169" t="s">
        <v>3742</v>
      </c>
      <c r="M269" s="32" t="s">
        <v>111</v>
      </c>
    </row>
    <row r="270" spans="1:13" x14ac:dyDescent="0.25">
      <c r="A270" s="168">
        <v>46185</v>
      </c>
      <c r="B270" s="32">
        <v>1</v>
      </c>
      <c r="C270" s="32" t="s">
        <v>183</v>
      </c>
      <c r="D270" s="169" t="s">
        <v>184</v>
      </c>
      <c r="E270" s="169" t="s">
        <v>163</v>
      </c>
      <c r="F270" s="32" t="s">
        <v>111</v>
      </c>
      <c r="G270" s="32">
        <v>75</v>
      </c>
      <c r="H270" s="32" t="s">
        <v>169</v>
      </c>
      <c r="I270" s="32">
        <v>2753</v>
      </c>
      <c r="J270" s="36">
        <v>763.96</v>
      </c>
      <c r="K270" s="32" t="s">
        <v>4020</v>
      </c>
      <c r="L270" s="169" t="s">
        <v>3742</v>
      </c>
      <c r="M270" s="32" t="s">
        <v>111</v>
      </c>
    </row>
    <row r="271" spans="1:13" x14ac:dyDescent="0.25">
      <c r="A271" s="168">
        <v>46185</v>
      </c>
      <c r="B271" s="32">
        <v>1</v>
      </c>
      <c r="C271" s="32" t="s">
        <v>203</v>
      </c>
      <c r="D271" s="169" t="s">
        <v>204</v>
      </c>
      <c r="E271" s="169" t="s">
        <v>190</v>
      </c>
      <c r="F271" s="32" t="s">
        <v>191</v>
      </c>
      <c r="G271" s="32">
        <v>217</v>
      </c>
      <c r="H271" s="32" t="s">
        <v>165</v>
      </c>
      <c r="I271" s="32">
        <v>5468</v>
      </c>
      <c r="J271" s="36">
        <v>4390.26</v>
      </c>
      <c r="K271" s="32" t="s">
        <v>4021</v>
      </c>
      <c r="L271" s="169" t="s">
        <v>19</v>
      </c>
      <c r="M271" s="32" t="s">
        <v>3780</v>
      </c>
    </row>
    <row r="272" spans="1:13" x14ac:dyDescent="0.25">
      <c r="A272" s="168">
        <v>46185</v>
      </c>
      <c r="B272" s="32">
        <v>1</v>
      </c>
      <c r="C272" s="32" t="s">
        <v>210</v>
      </c>
      <c r="D272" s="169" t="s">
        <v>211</v>
      </c>
      <c r="E272" s="169" t="s">
        <v>190</v>
      </c>
      <c r="F272" s="32" t="s">
        <v>191</v>
      </c>
      <c r="G272" s="32">
        <v>217</v>
      </c>
      <c r="H272" s="32" t="s">
        <v>165</v>
      </c>
      <c r="I272" s="32">
        <v>5274</v>
      </c>
      <c r="J272" s="36">
        <v>4234.49</v>
      </c>
      <c r="K272" s="32" t="s">
        <v>4022</v>
      </c>
      <c r="L272" s="169" t="s">
        <v>19</v>
      </c>
      <c r="M272" s="32" t="s">
        <v>3780</v>
      </c>
    </row>
    <row r="273" spans="1:13" x14ac:dyDescent="0.25">
      <c r="A273" s="168">
        <v>46185</v>
      </c>
      <c r="B273" s="32">
        <v>1</v>
      </c>
      <c r="C273" s="32" t="s">
        <v>176</v>
      </c>
      <c r="D273" s="169" t="s">
        <v>177</v>
      </c>
      <c r="E273" s="169" t="s">
        <v>190</v>
      </c>
      <c r="F273" s="32" t="s">
        <v>191</v>
      </c>
      <c r="G273" s="32">
        <v>217</v>
      </c>
      <c r="H273" s="32" t="s">
        <v>165</v>
      </c>
      <c r="I273" s="32">
        <v>5196</v>
      </c>
      <c r="J273" s="36">
        <v>4171.87</v>
      </c>
      <c r="K273" s="32" t="s">
        <v>4023</v>
      </c>
      <c r="L273" s="169" t="s">
        <v>19</v>
      </c>
      <c r="M273" s="32" t="s">
        <v>3780</v>
      </c>
    </row>
    <row r="274" spans="1:13" x14ac:dyDescent="0.25">
      <c r="A274" s="168">
        <v>46185</v>
      </c>
      <c r="B274" s="32">
        <v>1</v>
      </c>
      <c r="C274" s="32" t="s">
        <v>286</v>
      </c>
      <c r="D274" s="169" t="s">
        <v>506</v>
      </c>
      <c r="E274" s="169" t="s">
        <v>166</v>
      </c>
      <c r="F274" s="32" t="s">
        <v>164</v>
      </c>
      <c r="G274" s="32">
        <v>58</v>
      </c>
      <c r="H274" s="32" t="s">
        <v>165</v>
      </c>
      <c r="I274" s="32">
        <v>456</v>
      </c>
      <c r="J274" s="36">
        <v>978.58</v>
      </c>
      <c r="K274" s="32" t="s">
        <v>4024</v>
      </c>
      <c r="L274" s="169" t="s">
        <v>27</v>
      </c>
      <c r="M274" s="32" t="s">
        <v>224</v>
      </c>
    </row>
    <row r="275" spans="1:13" x14ac:dyDescent="0.25">
      <c r="A275" s="168">
        <v>46185</v>
      </c>
      <c r="B275" s="32">
        <v>1</v>
      </c>
      <c r="C275" s="32" t="s">
        <v>286</v>
      </c>
      <c r="D275" s="169" t="s">
        <v>506</v>
      </c>
      <c r="E275" s="169" t="s">
        <v>166</v>
      </c>
      <c r="F275" s="32" t="s">
        <v>164</v>
      </c>
      <c r="G275" s="32">
        <v>58</v>
      </c>
      <c r="H275" s="32" t="s">
        <v>165</v>
      </c>
      <c r="I275" s="32">
        <v>4654</v>
      </c>
      <c r="J275" s="36">
        <v>998.75</v>
      </c>
      <c r="K275" s="32" t="s">
        <v>4025</v>
      </c>
      <c r="L275" s="169" t="s">
        <v>27</v>
      </c>
      <c r="M275" s="32" t="s">
        <v>224</v>
      </c>
    </row>
    <row r="276" spans="1:13" x14ac:dyDescent="0.25">
      <c r="A276" s="168">
        <v>46185</v>
      </c>
      <c r="B276" s="32">
        <v>1</v>
      </c>
      <c r="C276" s="32" t="s">
        <v>173</v>
      </c>
      <c r="D276" s="169" t="s">
        <v>174</v>
      </c>
      <c r="E276" s="169" t="s">
        <v>166</v>
      </c>
      <c r="F276" s="32" t="s">
        <v>111</v>
      </c>
      <c r="G276" s="32">
        <v>79</v>
      </c>
      <c r="H276" s="32" t="s">
        <v>169</v>
      </c>
      <c r="I276" s="32">
        <v>2778</v>
      </c>
      <c r="J276" s="36">
        <v>812.01</v>
      </c>
      <c r="K276" s="32" t="s">
        <v>4026</v>
      </c>
      <c r="L276" s="169" t="s">
        <v>116</v>
      </c>
      <c r="M276" s="32" t="s">
        <v>111</v>
      </c>
    </row>
    <row r="277" spans="1:13" x14ac:dyDescent="0.25">
      <c r="A277" s="168">
        <v>46185</v>
      </c>
      <c r="B277" s="32">
        <v>1</v>
      </c>
      <c r="C277" s="32" t="s">
        <v>275</v>
      </c>
      <c r="D277" s="169" t="s">
        <v>178</v>
      </c>
      <c r="E277" s="169" t="s">
        <v>166</v>
      </c>
      <c r="F277" s="32" t="s">
        <v>191</v>
      </c>
      <c r="G277" s="32">
        <v>243</v>
      </c>
      <c r="H277" s="32" t="s">
        <v>165</v>
      </c>
      <c r="I277" s="32">
        <v>4556</v>
      </c>
      <c r="J277" s="36">
        <v>4096.3</v>
      </c>
      <c r="K277" s="32" t="s">
        <v>4027</v>
      </c>
      <c r="L277" s="169" t="s">
        <v>36</v>
      </c>
      <c r="M277" s="32" t="s">
        <v>3780</v>
      </c>
    </row>
    <row r="278" spans="1:13" x14ac:dyDescent="0.25">
      <c r="A278" s="168">
        <v>46185</v>
      </c>
      <c r="B278" s="32">
        <v>1</v>
      </c>
      <c r="C278" s="32" t="s">
        <v>186</v>
      </c>
      <c r="D278" s="169" t="s">
        <v>187</v>
      </c>
      <c r="E278" s="169" t="s">
        <v>276</v>
      </c>
      <c r="F278" s="32" t="s">
        <v>307</v>
      </c>
      <c r="G278" s="32">
        <v>175</v>
      </c>
      <c r="H278" s="32" t="s">
        <v>195</v>
      </c>
      <c r="I278" s="32">
        <v>716</v>
      </c>
      <c r="J278" s="36">
        <v>4009.6</v>
      </c>
      <c r="K278" s="32" t="s">
        <v>4028</v>
      </c>
      <c r="L278" s="169" t="s">
        <v>4029</v>
      </c>
      <c r="M278" s="32" t="s">
        <v>307</v>
      </c>
    </row>
    <row r="279" spans="1:13" x14ac:dyDescent="0.25">
      <c r="A279" s="168">
        <v>46185</v>
      </c>
      <c r="B279" s="32">
        <v>1</v>
      </c>
      <c r="C279" s="32" t="s">
        <v>192</v>
      </c>
      <c r="D279" s="169" t="s">
        <v>287</v>
      </c>
      <c r="E279" s="169" t="s">
        <v>190</v>
      </c>
      <c r="F279" s="32" t="s">
        <v>191</v>
      </c>
      <c r="G279" s="32">
        <v>217</v>
      </c>
      <c r="H279" s="32" t="s">
        <v>165</v>
      </c>
      <c r="I279" s="32">
        <v>641</v>
      </c>
      <c r="J279" s="36">
        <v>5146.59</v>
      </c>
      <c r="K279" s="32" t="s">
        <v>4030</v>
      </c>
      <c r="L279" s="169" t="s">
        <v>19</v>
      </c>
      <c r="M279" s="32" t="s">
        <v>3780</v>
      </c>
    </row>
    <row r="280" spans="1:13" x14ac:dyDescent="0.25">
      <c r="A280" s="168">
        <v>46185</v>
      </c>
      <c r="B280" s="32">
        <v>1</v>
      </c>
      <c r="C280" s="32" t="s">
        <v>179</v>
      </c>
      <c r="D280" s="169" t="s">
        <v>2863</v>
      </c>
      <c r="E280" s="169" t="s">
        <v>166</v>
      </c>
      <c r="F280" s="32" t="s">
        <v>111</v>
      </c>
      <c r="G280" s="32">
        <v>79</v>
      </c>
      <c r="H280" s="32" t="s">
        <v>169</v>
      </c>
      <c r="I280" s="32">
        <v>2796</v>
      </c>
      <c r="J280" s="36">
        <v>817.27</v>
      </c>
      <c r="K280" s="32" t="s">
        <v>4031</v>
      </c>
      <c r="L280" s="169" t="s">
        <v>116</v>
      </c>
      <c r="M280" s="32" t="s">
        <v>111</v>
      </c>
    </row>
    <row r="281" spans="1:13" x14ac:dyDescent="0.25">
      <c r="A281" s="168">
        <v>46185</v>
      </c>
      <c r="B281" s="32">
        <v>1</v>
      </c>
      <c r="C281" s="32" t="s">
        <v>179</v>
      </c>
      <c r="D281" s="169" t="s">
        <v>2863</v>
      </c>
      <c r="E281" s="169" t="s">
        <v>166</v>
      </c>
      <c r="F281" s="32" t="s">
        <v>111</v>
      </c>
      <c r="G281" s="32">
        <v>79</v>
      </c>
      <c r="H281" s="32" t="s">
        <v>169</v>
      </c>
      <c r="I281" s="32">
        <v>2613</v>
      </c>
      <c r="J281" s="36">
        <v>763.78</v>
      </c>
      <c r="K281" s="32" t="s">
        <v>4032</v>
      </c>
      <c r="L281" s="169" t="s">
        <v>116</v>
      </c>
      <c r="M281" s="32" t="s">
        <v>111</v>
      </c>
    </row>
    <row r="282" spans="1:13" x14ac:dyDescent="0.25">
      <c r="A282" s="168">
        <v>46185</v>
      </c>
      <c r="B282" s="32">
        <v>1</v>
      </c>
      <c r="C282" s="32" t="s">
        <v>296</v>
      </c>
      <c r="D282" s="169" t="s">
        <v>1536</v>
      </c>
      <c r="E282" s="169" t="s">
        <v>276</v>
      </c>
      <c r="F282" s="32" t="s">
        <v>2865</v>
      </c>
      <c r="G282" s="32">
        <v>37</v>
      </c>
      <c r="H282" s="32" t="s">
        <v>165</v>
      </c>
      <c r="I282" s="32">
        <v>4206</v>
      </c>
      <c r="J282" s="36">
        <v>575.79999999999995</v>
      </c>
      <c r="K282" s="32" t="s">
        <v>4033</v>
      </c>
      <c r="L282" s="169" t="s">
        <v>118</v>
      </c>
      <c r="M282" s="32" t="s">
        <v>15</v>
      </c>
    </row>
    <row r="283" spans="1:13" x14ac:dyDescent="0.25">
      <c r="A283" s="168">
        <v>46186</v>
      </c>
      <c r="B283" s="32">
        <v>1</v>
      </c>
      <c r="C283" s="32" t="s">
        <v>342</v>
      </c>
      <c r="D283" s="169" t="s">
        <v>171</v>
      </c>
      <c r="E283" s="169" t="s">
        <v>163</v>
      </c>
      <c r="F283" s="32" t="s">
        <v>164</v>
      </c>
      <c r="G283" s="32">
        <v>52</v>
      </c>
      <c r="H283" s="32" t="s">
        <v>185</v>
      </c>
      <c r="I283" s="32">
        <v>4555</v>
      </c>
      <c r="J283" s="36">
        <v>876.38</v>
      </c>
      <c r="K283" s="32" t="s">
        <v>4034</v>
      </c>
      <c r="L283" s="169" t="s">
        <v>20</v>
      </c>
      <c r="M283" s="32" t="s">
        <v>224</v>
      </c>
    </row>
    <row r="284" spans="1:13" x14ac:dyDescent="0.25">
      <c r="A284" s="168">
        <v>46186</v>
      </c>
      <c r="B284" s="32">
        <v>1</v>
      </c>
      <c r="C284" s="32" t="s">
        <v>199</v>
      </c>
      <c r="D284" s="169" t="s">
        <v>180</v>
      </c>
      <c r="E284" s="169" t="s">
        <v>163</v>
      </c>
      <c r="F284" s="32" t="s">
        <v>111</v>
      </c>
      <c r="G284" s="32">
        <v>75</v>
      </c>
      <c r="H284" s="32" t="s">
        <v>185</v>
      </c>
      <c r="I284" s="32">
        <v>2747</v>
      </c>
      <c r="J284" s="36">
        <v>762.29</v>
      </c>
      <c r="K284" s="32" t="s">
        <v>4035</v>
      </c>
      <c r="L284" s="169" t="s">
        <v>3738</v>
      </c>
      <c r="M284" s="32" t="s">
        <v>111</v>
      </c>
    </row>
    <row r="285" spans="1:13" x14ac:dyDescent="0.25">
      <c r="A285" s="168">
        <v>46186</v>
      </c>
      <c r="B285" s="32">
        <v>1</v>
      </c>
      <c r="C285" s="32" t="s">
        <v>167</v>
      </c>
      <c r="D285" s="169" t="s">
        <v>168</v>
      </c>
      <c r="E285" s="169" t="s">
        <v>163</v>
      </c>
      <c r="F285" s="32" t="s">
        <v>111</v>
      </c>
      <c r="G285" s="32">
        <v>75</v>
      </c>
      <c r="H285" s="32" t="s">
        <v>185</v>
      </c>
      <c r="I285" s="32">
        <v>265</v>
      </c>
      <c r="J285" s="36">
        <v>735.38</v>
      </c>
      <c r="K285" s="32" t="s">
        <v>4036</v>
      </c>
      <c r="L285" s="169" t="s">
        <v>3738</v>
      </c>
      <c r="M285" s="32" t="s">
        <v>111</v>
      </c>
    </row>
    <row r="286" spans="1:13" x14ac:dyDescent="0.25">
      <c r="A286" s="168">
        <v>46186</v>
      </c>
      <c r="B286" s="32">
        <v>1</v>
      </c>
      <c r="C286" s="32" t="s">
        <v>167</v>
      </c>
      <c r="D286" s="169" t="s">
        <v>168</v>
      </c>
      <c r="E286" s="169" t="s">
        <v>163</v>
      </c>
      <c r="F286" s="32" t="s">
        <v>164</v>
      </c>
      <c r="G286" s="32">
        <v>52</v>
      </c>
      <c r="H286" s="32" t="s">
        <v>175</v>
      </c>
      <c r="I286" s="32">
        <v>2691</v>
      </c>
      <c r="J286" s="36">
        <v>517.75</v>
      </c>
      <c r="K286" s="32" t="s">
        <v>4037</v>
      </c>
      <c r="L286" s="169" t="s">
        <v>21</v>
      </c>
      <c r="M286" s="32" t="s">
        <v>224</v>
      </c>
    </row>
    <row r="287" spans="1:13" x14ac:dyDescent="0.25">
      <c r="A287" s="168">
        <v>46186</v>
      </c>
      <c r="B287" s="32">
        <v>1</v>
      </c>
      <c r="C287" s="32" t="s">
        <v>205</v>
      </c>
      <c r="D287" s="169" t="s">
        <v>206</v>
      </c>
      <c r="E287" s="169" t="s">
        <v>276</v>
      </c>
      <c r="F287" s="32" t="s">
        <v>307</v>
      </c>
      <c r="G287" s="32">
        <v>175</v>
      </c>
      <c r="H287" s="32" t="s">
        <v>195</v>
      </c>
      <c r="I287" s="32">
        <v>677</v>
      </c>
      <c r="J287" s="36">
        <v>3791.2</v>
      </c>
      <c r="K287" s="32" t="s">
        <v>4038</v>
      </c>
      <c r="L287" s="169" t="s">
        <v>4029</v>
      </c>
      <c r="M287" s="32" t="s">
        <v>307</v>
      </c>
    </row>
    <row r="288" spans="1:13" x14ac:dyDescent="0.25">
      <c r="A288" s="168">
        <v>46186</v>
      </c>
      <c r="B288" s="32">
        <v>1</v>
      </c>
      <c r="C288" s="32" t="s">
        <v>203</v>
      </c>
      <c r="D288" s="169" t="s">
        <v>204</v>
      </c>
      <c r="E288" s="169" t="s">
        <v>190</v>
      </c>
      <c r="F288" s="32" t="s">
        <v>198</v>
      </c>
      <c r="G288" s="32">
        <v>70</v>
      </c>
      <c r="H288" s="32" t="s">
        <v>165</v>
      </c>
      <c r="I288" s="32">
        <v>5382</v>
      </c>
      <c r="J288" s="36">
        <v>1393.94</v>
      </c>
      <c r="K288" s="32" t="s">
        <v>4039</v>
      </c>
      <c r="L288" s="169" t="s">
        <v>30</v>
      </c>
      <c r="M288" s="32" t="s">
        <v>224</v>
      </c>
    </row>
    <row r="289" spans="1:13" x14ac:dyDescent="0.25">
      <c r="A289" s="168">
        <v>46186</v>
      </c>
      <c r="B289" s="32">
        <v>1</v>
      </c>
      <c r="C289" s="32" t="s">
        <v>210</v>
      </c>
      <c r="D289" s="169" t="s">
        <v>211</v>
      </c>
      <c r="E289" s="169" t="s">
        <v>190</v>
      </c>
      <c r="F289" s="32" t="s">
        <v>198</v>
      </c>
      <c r="G289" s="32">
        <v>70</v>
      </c>
      <c r="H289" s="32" t="s">
        <v>165</v>
      </c>
      <c r="I289" s="32">
        <v>4764</v>
      </c>
      <c r="J289" s="36">
        <v>1233.8800000000001</v>
      </c>
      <c r="K289" s="32" t="s">
        <v>4040</v>
      </c>
      <c r="L289" s="169" t="s">
        <v>30</v>
      </c>
      <c r="M289" s="32" t="s">
        <v>224</v>
      </c>
    </row>
    <row r="290" spans="1:13" x14ac:dyDescent="0.25">
      <c r="A290" s="168">
        <v>46186</v>
      </c>
      <c r="B290" s="32">
        <v>1</v>
      </c>
      <c r="C290" s="32" t="s">
        <v>167</v>
      </c>
      <c r="D290" s="169" t="s">
        <v>168</v>
      </c>
      <c r="E290" s="169" t="s">
        <v>163</v>
      </c>
      <c r="F290" s="32" t="s">
        <v>164</v>
      </c>
      <c r="G290" s="32">
        <v>52</v>
      </c>
      <c r="H290" s="32" t="s">
        <v>175</v>
      </c>
      <c r="I290" s="32">
        <v>2959</v>
      </c>
      <c r="J290" s="36">
        <v>569.30999999999995</v>
      </c>
      <c r="K290" s="32" t="s">
        <v>4041</v>
      </c>
      <c r="L290" s="169" t="s">
        <v>21</v>
      </c>
      <c r="M290" s="32" t="s">
        <v>224</v>
      </c>
    </row>
    <row r="291" spans="1:13" x14ac:dyDescent="0.25">
      <c r="A291" s="168">
        <v>46186</v>
      </c>
      <c r="B291" s="32">
        <v>1</v>
      </c>
      <c r="C291" s="32" t="s">
        <v>186</v>
      </c>
      <c r="D291" s="169" t="s">
        <v>187</v>
      </c>
      <c r="E291" s="169" t="s">
        <v>276</v>
      </c>
      <c r="F291" s="32" t="s">
        <v>307</v>
      </c>
      <c r="G291" s="32">
        <v>175</v>
      </c>
      <c r="H291" s="32" t="s">
        <v>165</v>
      </c>
      <c r="I291" s="32">
        <v>646</v>
      </c>
      <c r="J291" s="36">
        <v>3617.6</v>
      </c>
      <c r="K291" s="32" t="s">
        <v>4042</v>
      </c>
      <c r="L291" s="169" t="s">
        <v>3771</v>
      </c>
      <c r="M291" s="32" t="s">
        <v>307</v>
      </c>
    </row>
    <row r="292" spans="1:13" x14ac:dyDescent="0.25">
      <c r="A292" s="168">
        <v>46186</v>
      </c>
      <c r="B292" s="32">
        <v>1</v>
      </c>
      <c r="C292" s="32" t="s">
        <v>183</v>
      </c>
      <c r="D292" s="169" t="s">
        <v>184</v>
      </c>
      <c r="E292" s="169" t="s">
        <v>163</v>
      </c>
      <c r="F292" s="32" t="s">
        <v>4043</v>
      </c>
      <c r="G292" s="32">
        <v>57</v>
      </c>
      <c r="H292" s="32" t="s">
        <v>175</v>
      </c>
      <c r="I292" s="32">
        <v>2797</v>
      </c>
      <c r="J292" s="36">
        <v>589.89</v>
      </c>
      <c r="K292" s="32" t="s">
        <v>3993</v>
      </c>
      <c r="L292" s="169" t="s">
        <v>4044</v>
      </c>
      <c r="M292" s="32" t="s">
        <v>280</v>
      </c>
    </row>
    <row r="293" spans="1:13" x14ac:dyDescent="0.25">
      <c r="A293" s="168">
        <v>46186</v>
      </c>
      <c r="B293" s="32">
        <v>1</v>
      </c>
      <c r="C293" s="32" t="s">
        <v>183</v>
      </c>
      <c r="D293" s="169" t="s">
        <v>184</v>
      </c>
      <c r="E293" s="169" t="s">
        <v>163</v>
      </c>
      <c r="F293" s="32" t="s">
        <v>111</v>
      </c>
      <c r="G293" s="32">
        <v>75</v>
      </c>
      <c r="H293" s="32" t="s">
        <v>169</v>
      </c>
      <c r="I293" s="32">
        <v>2859</v>
      </c>
      <c r="J293" s="36">
        <v>793.37</v>
      </c>
      <c r="K293" s="32" t="s">
        <v>4045</v>
      </c>
      <c r="L293" s="169" t="s">
        <v>3742</v>
      </c>
      <c r="M293" s="32" t="s">
        <v>111</v>
      </c>
    </row>
    <row r="294" spans="1:13" x14ac:dyDescent="0.25">
      <c r="A294" s="168">
        <v>46186</v>
      </c>
      <c r="B294" s="32">
        <v>1</v>
      </c>
      <c r="C294" s="32" t="s">
        <v>286</v>
      </c>
      <c r="D294" s="169" t="s">
        <v>506</v>
      </c>
      <c r="E294" s="169" t="s">
        <v>166</v>
      </c>
      <c r="F294" s="32" t="s">
        <v>164</v>
      </c>
      <c r="G294" s="32">
        <v>58</v>
      </c>
      <c r="H294" s="32" t="s">
        <v>165</v>
      </c>
      <c r="I294" s="32">
        <v>4576</v>
      </c>
      <c r="J294" s="36">
        <v>982.01</v>
      </c>
      <c r="K294" s="32" t="s">
        <v>4046</v>
      </c>
      <c r="L294" s="169" t="s">
        <v>27</v>
      </c>
      <c r="M294" s="32" t="s">
        <v>224</v>
      </c>
    </row>
    <row r="295" spans="1:13" x14ac:dyDescent="0.25">
      <c r="A295" s="168">
        <v>46186</v>
      </c>
      <c r="B295" s="32">
        <v>1</v>
      </c>
      <c r="C295" s="32" t="s">
        <v>219</v>
      </c>
      <c r="D295" s="169" t="s">
        <v>220</v>
      </c>
      <c r="E295" s="169" t="s">
        <v>163</v>
      </c>
      <c r="F295" s="32" t="s">
        <v>164</v>
      </c>
      <c r="G295" s="32">
        <v>52</v>
      </c>
      <c r="H295" s="32" t="s">
        <v>175</v>
      </c>
      <c r="I295" s="32">
        <v>577</v>
      </c>
      <c r="J295" s="36">
        <v>1110.1500000000001</v>
      </c>
      <c r="K295" s="32" t="s">
        <v>4047</v>
      </c>
      <c r="L295" s="169" t="s">
        <v>21</v>
      </c>
      <c r="M295" s="32" t="s">
        <v>224</v>
      </c>
    </row>
    <row r="296" spans="1:13" x14ac:dyDescent="0.25">
      <c r="A296" s="168">
        <v>46186</v>
      </c>
      <c r="B296" s="32">
        <v>1</v>
      </c>
      <c r="C296" s="32" t="s">
        <v>200</v>
      </c>
      <c r="D296" s="169" t="s">
        <v>201</v>
      </c>
      <c r="E296" s="169" t="s">
        <v>163</v>
      </c>
      <c r="F296" s="32" t="s">
        <v>164</v>
      </c>
      <c r="G296" s="32">
        <v>52</v>
      </c>
      <c r="H296" s="32" t="s">
        <v>175</v>
      </c>
      <c r="I296" s="32">
        <v>4833</v>
      </c>
      <c r="J296" s="36">
        <v>929.87</v>
      </c>
      <c r="K296" s="32" t="s">
        <v>4048</v>
      </c>
      <c r="L296" s="169" t="s">
        <v>21</v>
      </c>
      <c r="M296" s="32" t="s">
        <v>224</v>
      </c>
    </row>
    <row r="297" spans="1:13" x14ac:dyDescent="0.25">
      <c r="A297" s="168">
        <v>46186</v>
      </c>
      <c r="B297" s="32">
        <v>1</v>
      </c>
      <c r="C297" s="32" t="s">
        <v>173</v>
      </c>
      <c r="D297" s="169" t="s">
        <v>174</v>
      </c>
      <c r="E297" s="169" t="s">
        <v>166</v>
      </c>
      <c r="F297" s="32" t="s">
        <v>164</v>
      </c>
      <c r="G297" s="32">
        <v>58</v>
      </c>
      <c r="H297" s="32" t="s">
        <v>165</v>
      </c>
      <c r="I297" s="32">
        <v>450</v>
      </c>
      <c r="J297" s="36">
        <v>965.7</v>
      </c>
      <c r="K297" s="32" t="s">
        <v>4049</v>
      </c>
      <c r="L297" s="169" t="s">
        <v>27</v>
      </c>
      <c r="M297" s="32" t="s">
        <v>224</v>
      </c>
    </row>
    <row r="298" spans="1:13" x14ac:dyDescent="0.25">
      <c r="A298" s="168">
        <v>46186</v>
      </c>
      <c r="B298" s="32">
        <v>1</v>
      </c>
      <c r="C298" s="32" t="s">
        <v>173</v>
      </c>
      <c r="D298" s="169" t="s">
        <v>174</v>
      </c>
      <c r="E298" s="169" t="s">
        <v>163</v>
      </c>
      <c r="F298" s="32" t="s">
        <v>164</v>
      </c>
      <c r="G298" s="32">
        <v>52</v>
      </c>
      <c r="H298" s="32" t="s">
        <v>175</v>
      </c>
      <c r="I298" s="32">
        <v>250</v>
      </c>
      <c r="J298" s="36">
        <v>481</v>
      </c>
      <c r="K298" s="32" t="s">
        <v>4050</v>
      </c>
      <c r="L298" s="169" t="s">
        <v>21</v>
      </c>
      <c r="M298" s="32" t="s">
        <v>224</v>
      </c>
    </row>
    <row r="299" spans="1:13" x14ac:dyDescent="0.25">
      <c r="A299" s="168">
        <v>46186</v>
      </c>
      <c r="B299" s="32">
        <v>1</v>
      </c>
      <c r="C299" s="32" t="s">
        <v>173</v>
      </c>
      <c r="D299" s="169" t="s">
        <v>174</v>
      </c>
      <c r="E299" s="169" t="s">
        <v>166</v>
      </c>
      <c r="F299" s="32" t="s">
        <v>111</v>
      </c>
      <c r="G299" s="32">
        <v>79</v>
      </c>
      <c r="H299" s="32" t="s">
        <v>169</v>
      </c>
      <c r="I299" s="32">
        <v>2581</v>
      </c>
      <c r="J299" s="36">
        <v>754.43</v>
      </c>
      <c r="K299" s="32" t="s">
        <v>4051</v>
      </c>
      <c r="L299" s="169" t="s">
        <v>116</v>
      </c>
      <c r="M299" s="32" t="s">
        <v>111</v>
      </c>
    </row>
    <row r="300" spans="1:13" x14ac:dyDescent="0.25">
      <c r="A300" s="168">
        <v>46186</v>
      </c>
      <c r="B300" s="32">
        <v>1</v>
      </c>
      <c r="C300" s="32" t="s">
        <v>173</v>
      </c>
      <c r="D300" s="169" t="s">
        <v>174</v>
      </c>
      <c r="E300" s="169" t="s">
        <v>163</v>
      </c>
      <c r="F300" s="32" t="s">
        <v>164</v>
      </c>
      <c r="G300" s="32">
        <v>52</v>
      </c>
      <c r="H300" s="32" t="s">
        <v>165</v>
      </c>
      <c r="I300" s="32">
        <v>3883</v>
      </c>
      <c r="J300" s="36">
        <v>747.09</v>
      </c>
      <c r="K300" s="32" t="s">
        <v>4052</v>
      </c>
      <c r="L300" s="169" t="s">
        <v>31</v>
      </c>
      <c r="M300" s="32" t="s">
        <v>224</v>
      </c>
    </row>
    <row r="301" spans="1:13" x14ac:dyDescent="0.25">
      <c r="A301" s="168">
        <v>46187</v>
      </c>
      <c r="B301" s="32">
        <v>1</v>
      </c>
      <c r="C301" s="32" t="s">
        <v>270</v>
      </c>
      <c r="D301" s="169" t="s">
        <v>288</v>
      </c>
      <c r="E301" s="169" t="s">
        <v>3980</v>
      </c>
      <c r="F301" s="32" t="s">
        <v>2868</v>
      </c>
      <c r="G301" s="32">
        <v>550</v>
      </c>
      <c r="H301" s="32" t="s">
        <v>3981</v>
      </c>
      <c r="I301" s="32">
        <v>138</v>
      </c>
      <c r="J301" s="36">
        <v>2428.8000000000002</v>
      </c>
      <c r="K301" s="32" t="s">
        <v>4053</v>
      </c>
      <c r="L301" s="169" t="s">
        <v>3983</v>
      </c>
      <c r="M301" s="32" t="s">
        <v>157</v>
      </c>
    </row>
    <row r="302" spans="1:13" x14ac:dyDescent="0.25">
      <c r="A302" s="168">
        <v>46188</v>
      </c>
      <c r="B302" s="32">
        <v>1</v>
      </c>
      <c r="C302" s="32" t="s">
        <v>342</v>
      </c>
      <c r="D302" s="169" t="s">
        <v>171</v>
      </c>
      <c r="E302" s="169" t="s">
        <v>163</v>
      </c>
      <c r="F302" s="32" t="s">
        <v>164</v>
      </c>
      <c r="G302" s="32">
        <v>52</v>
      </c>
      <c r="H302" s="32" t="s">
        <v>185</v>
      </c>
      <c r="I302" s="32">
        <v>4485</v>
      </c>
      <c r="J302" s="36">
        <v>862.91</v>
      </c>
      <c r="K302" s="32" t="s">
        <v>4054</v>
      </c>
      <c r="L302" s="169" t="s">
        <v>20</v>
      </c>
      <c r="M302" s="32" t="s">
        <v>224</v>
      </c>
    </row>
    <row r="303" spans="1:13" x14ac:dyDescent="0.25">
      <c r="A303" s="168">
        <v>46188</v>
      </c>
      <c r="B303" s="32">
        <v>1</v>
      </c>
      <c r="C303" s="32" t="s">
        <v>167</v>
      </c>
      <c r="D303" s="169" t="s">
        <v>168</v>
      </c>
      <c r="E303" s="169" t="s">
        <v>163</v>
      </c>
      <c r="F303" s="32" t="s">
        <v>111</v>
      </c>
      <c r="G303" s="32">
        <v>75</v>
      </c>
      <c r="H303" s="32" t="s">
        <v>185</v>
      </c>
      <c r="I303" s="32">
        <v>2779</v>
      </c>
      <c r="J303" s="36">
        <v>771.17</v>
      </c>
      <c r="K303" s="32" t="s">
        <v>4055</v>
      </c>
      <c r="L303" s="169" t="s">
        <v>3738</v>
      </c>
      <c r="M303" s="32" t="s">
        <v>111</v>
      </c>
    </row>
    <row r="304" spans="1:13" x14ac:dyDescent="0.25">
      <c r="A304" s="168">
        <v>46188</v>
      </c>
      <c r="B304" s="32">
        <v>1</v>
      </c>
      <c r="C304" s="32" t="s">
        <v>167</v>
      </c>
      <c r="D304" s="169" t="s">
        <v>168</v>
      </c>
      <c r="E304" s="169" t="s">
        <v>163</v>
      </c>
      <c r="F304" s="32" t="s">
        <v>111</v>
      </c>
      <c r="G304" s="32">
        <v>75</v>
      </c>
      <c r="H304" s="32" t="s">
        <v>185</v>
      </c>
      <c r="I304" s="32">
        <v>2674</v>
      </c>
      <c r="J304" s="36">
        <v>742.04</v>
      </c>
      <c r="K304" s="32" t="s">
        <v>4056</v>
      </c>
      <c r="L304" s="169" t="s">
        <v>3738</v>
      </c>
      <c r="M304" s="32" t="s">
        <v>111</v>
      </c>
    </row>
    <row r="305" spans="1:13" x14ac:dyDescent="0.25">
      <c r="A305" s="168">
        <v>46188</v>
      </c>
      <c r="B305" s="32">
        <v>1</v>
      </c>
      <c r="C305" s="32" t="s">
        <v>202</v>
      </c>
      <c r="D305" s="169" t="s">
        <v>214</v>
      </c>
      <c r="E305" s="169" t="s">
        <v>190</v>
      </c>
      <c r="F305" s="32" t="s">
        <v>212</v>
      </c>
      <c r="G305" s="32">
        <v>376</v>
      </c>
      <c r="H305" s="32" t="s">
        <v>165</v>
      </c>
      <c r="I305" s="32">
        <v>7502</v>
      </c>
      <c r="J305" s="36">
        <v>9026.41</v>
      </c>
      <c r="K305" s="32" t="s">
        <v>4057</v>
      </c>
      <c r="L305" s="169" t="s">
        <v>22</v>
      </c>
      <c r="M305" s="32" t="s">
        <v>223</v>
      </c>
    </row>
    <row r="306" spans="1:13" x14ac:dyDescent="0.25">
      <c r="A306" s="168">
        <v>46188</v>
      </c>
      <c r="B306" s="32">
        <v>1</v>
      </c>
      <c r="C306" s="32" t="s">
        <v>199</v>
      </c>
      <c r="D306" s="169" t="s">
        <v>180</v>
      </c>
      <c r="E306" s="169" t="s">
        <v>163</v>
      </c>
      <c r="F306" s="32" t="s">
        <v>111</v>
      </c>
      <c r="G306" s="32">
        <v>75</v>
      </c>
      <c r="H306" s="32" t="s">
        <v>185</v>
      </c>
      <c r="I306" s="32">
        <v>2778</v>
      </c>
      <c r="J306" s="36">
        <v>770.9</v>
      </c>
      <c r="K306" s="32" t="s">
        <v>4058</v>
      </c>
      <c r="L306" s="169" t="s">
        <v>3738</v>
      </c>
      <c r="M306" s="32" t="s">
        <v>111</v>
      </c>
    </row>
    <row r="307" spans="1:13" x14ac:dyDescent="0.25">
      <c r="A307" s="168">
        <v>46188</v>
      </c>
      <c r="B307" s="32">
        <v>1</v>
      </c>
      <c r="C307" s="32" t="s">
        <v>196</v>
      </c>
      <c r="D307" s="169" t="s">
        <v>197</v>
      </c>
      <c r="E307" s="169" t="s">
        <v>190</v>
      </c>
      <c r="F307" s="32" t="s">
        <v>212</v>
      </c>
      <c r="G307" s="32">
        <v>376</v>
      </c>
      <c r="H307" s="32" t="s">
        <v>165</v>
      </c>
      <c r="I307" s="32">
        <v>6238</v>
      </c>
      <c r="J307" s="36">
        <v>7505.56</v>
      </c>
      <c r="K307" s="32" t="s">
        <v>4059</v>
      </c>
      <c r="L307" s="169" t="s">
        <v>22</v>
      </c>
      <c r="M307" s="32" t="s">
        <v>223</v>
      </c>
    </row>
    <row r="308" spans="1:13" x14ac:dyDescent="0.25">
      <c r="A308" s="168">
        <v>46188</v>
      </c>
      <c r="B308" s="32">
        <v>1</v>
      </c>
      <c r="C308" s="32" t="s">
        <v>199</v>
      </c>
      <c r="D308" s="169" t="s">
        <v>180</v>
      </c>
      <c r="E308" s="169" t="s">
        <v>163</v>
      </c>
      <c r="F308" s="32" t="s">
        <v>111</v>
      </c>
      <c r="G308" s="32">
        <v>75</v>
      </c>
      <c r="H308" s="32" t="s">
        <v>185</v>
      </c>
      <c r="I308" s="32">
        <v>3004</v>
      </c>
      <c r="J308" s="36">
        <v>833.61</v>
      </c>
      <c r="K308" s="32" t="s">
        <v>4060</v>
      </c>
      <c r="L308" s="169" t="s">
        <v>3738</v>
      </c>
      <c r="M308" s="32" t="s">
        <v>111</v>
      </c>
    </row>
    <row r="309" spans="1:13" x14ac:dyDescent="0.25">
      <c r="A309" s="168">
        <v>46188</v>
      </c>
      <c r="B309" s="32">
        <v>1</v>
      </c>
      <c r="C309" s="32" t="s">
        <v>167</v>
      </c>
      <c r="D309" s="169" t="s">
        <v>168</v>
      </c>
      <c r="E309" s="169" t="s">
        <v>163</v>
      </c>
      <c r="F309" s="32" t="s">
        <v>164</v>
      </c>
      <c r="G309" s="32">
        <v>52</v>
      </c>
      <c r="H309" s="32" t="s">
        <v>175</v>
      </c>
      <c r="I309" s="32">
        <v>274</v>
      </c>
      <c r="J309" s="36">
        <v>527.17999999999995</v>
      </c>
      <c r="K309" s="32" t="s">
        <v>4061</v>
      </c>
      <c r="L309" s="169" t="s">
        <v>21</v>
      </c>
      <c r="M309" s="32" t="s">
        <v>224</v>
      </c>
    </row>
    <row r="310" spans="1:13" x14ac:dyDescent="0.25">
      <c r="A310" s="168">
        <v>46188</v>
      </c>
      <c r="B310" s="32">
        <v>1</v>
      </c>
      <c r="C310" s="32" t="s">
        <v>183</v>
      </c>
      <c r="D310" s="169" t="s">
        <v>184</v>
      </c>
      <c r="E310" s="169" t="s">
        <v>163</v>
      </c>
      <c r="F310" s="32" t="s">
        <v>111</v>
      </c>
      <c r="G310" s="32">
        <v>75</v>
      </c>
      <c r="H310" s="32" t="s">
        <v>169</v>
      </c>
      <c r="I310" s="32">
        <v>2561</v>
      </c>
      <c r="J310" s="36">
        <v>710.68</v>
      </c>
      <c r="K310" s="32" t="s">
        <v>4062</v>
      </c>
      <c r="L310" s="169" t="s">
        <v>3742</v>
      </c>
      <c r="M310" s="32" t="s">
        <v>111</v>
      </c>
    </row>
    <row r="311" spans="1:13" x14ac:dyDescent="0.25">
      <c r="A311" s="168">
        <v>46188</v>
      </c>
      <c r="B311" s="32">
        <v>1</v>
      </c>
      <c r="C311" s="32" t="s">
        <v>183</v>
      </c>
      <c r="D311" s="169" t="s">
        <v>184</v>
      </c>
      <c r="E311" s="169" t="s">
        <v>163</v>
      </c>
      <c r="F311" s="32" t="s">
        <v>111</v>
      </c>
      <c r="G311" s="32">
        <v>75</v>
      </c>
      <c r="H311" s="32" t="s">
        <v>185</v>
      </c>
      <c r="I311" s="32">
        <v>269</v>
      </c>
      <c r="J311" s="36">
        <v>746.48</v>
      </c>
      <c r="K311" s="32" t="s">
        <v>4063</v>
      </c>
      <c r="L311" s="169" t="s">
        <v>3738</v>
      </c>
      <c r="M311" s="32" t="s">
        <v>111</v>
      </c>
    </row>
    <row r="312" spans="1:13" x14ac:dyDescent="0.25">
      <c r="A312" s="168">
        <v>46188</v>
      </c>
      <c r="B312" s="32">
        <v>1</v>
      </c>
      <c r="C312" s="32" t="s">
        <v>183</v>
      </c>
      <c r="D312" s="169" t="s">
        <v>184</v>
      </c>
      <c r="E312" s="169" t="s">
        <v>163</v>
      </c>
      <c r="F312" s="32" t="s">
        <v>111</v>
      </c>
      <c r="G312" s="32">
        <v>75</v>
      </c>
      <c r="H312" s="32" t="s">
        <v>169</v>
      </c>
      <c r="I312" s="32">
        <v>2797</v>
      </c>
      <c r="J312" s="36">
        <v>776.17</v>
      </c>
      <c r="K312" s="32" t="s">
        <v>4064</v>
      </c>
      <c r="L312" s="169" t="s">
        <v>3742</v>
      </c>
      <c r="M312" s="32" t="s">
        <v>111</v>
      </c>
    </row>
    <row r="313" spans="1:13" x14ac:dyDescent="0.25">
      <c r="A313" s="168">
        <v>46188</v>
      </c>
      <c r="B313" s="32">
        <v>1</v>
      </c>
      <c r="C313" s="32" t="s">
        <v>188</v>
      </c>
      <c r="D313" s="169" t="s">
        <v>189</v>
      </c>
      <c r="E313" s="169" t="s">
        <v>190</v>
      </c>
      <c r="F313" s="32" t="s">
        <v>4065</v>
      </c>
      <c r="G313" s="32">
        <v>304</v>
      </c>
      <c r="H313" s="32" t="s">
        <v>165</v>
      </c>
      <c r="I313" s="32">
        <v>633</v>
      </c>
      <c r="J313" s="36">
        <v>6157.82</v>
      </c>
      <c r="K313" s="32" t="s">
        <v>4066</v>
      </c>
      <c r="L313" s="169" t="s">
        <v>4067</v>
      </c>
      <c r="M313" s="32" t="s">
        <v>223</v>
      </c>
    </row>
    <row r="314" spans="1:13" x14ac:dyDescent="0.25">
      <c r="A314" s="168">
        <v>46188</v>
      </c>
      <c r="B314" s="32">
        <v>1</v>
      </c>
      <c r="C314" s="32" t="s">
        <v>199</v>
      </c>
      <c r="D314" s="169" t="s">
        <v>180</v>
      </c>
      <c r="E314" s="169" t="s">
        <v>163</v>
      </c>
      <c r="F314" s="32" t="s">
        <v>164</v>
      </c>
      <c r="G314" s="32">
        <v>52</v>
      </c>
      <c r="H314" s="32" t="s">
        <v>175</v>
      </c>
      <c r="I314" s="32">
        <v>2826</v>
      </c>
      <c r="J314" s="36">
        <v>543.72</v>
      </c>
      <c r="K314" s="32" t="s">
        <v>4068</v>
      </c>
      <c r="L314" s="169" t="s">
        <v>21</v>
      </c>
      <c r="M314" s="32" t="s">
        <v>224</v>
      </c>
    </row>
    <row r="315" spans="1:13" x14ac:dyDescent="0.25">
      <c r="A315" s="168">
        <v>46188</v>
      </c>
      <c r="B315" s="32">
        <v>1</v>
      </c>
      <c r="C315" s="32" t="s">
        <v>286</v>
      </c>
      <c r="D315" s="169" t="s">
        <v>506</v>
      </c>
      <c r="E315" s="169" t="s">
        <v>163</v>
      </c>
      <c r="F315" s="32" t="s">
        <v>164</v>
      </c>
      <c r="G315" s="32">
        <v>52</v>
      </c>
      <c r="H315" s="32" t="s">
        <v>165</v>
      </c>
      <c r="I315" s="32">
        <v>45653</v>
      </c>
      <c r="J315" s="36">
        <v>878.36</v>
      </c>
      <c r="K315" s="32" t="s">
        <v>4069</v>
      </c>
      <c r="L315" s="169" t="s">
        <v>31</v>
      </c>
      <c r="M315" s="32" t="s">
        <v>224</v>
      </c>
    </row>
    <row r="316" spans="1:13" x14ac:dyDescent="0.25">
      <c r="A316" s="168">
        <v>46188</v>
      </c>
      <c r="B316" s="32">
        <v>1</v>
      </c>
      <c r="C316" s="32" t="s">
        <v>286</v>
      </c>
      <c r="D316" s="169" t="s">
        <v>506</v>
      </c>
      <c r="E316" s="169" t="s">
        <v>163</v>
      </c>
      <c r="F316" s="32" t="s">
        <v>164</v>
      </c>
      <c r="G316" s="32">
        <v>52</v>
      </c>
      <c r="H316" s="32" t="s">
        <v>165</v>
      </c>
      <c r="I316" s="32">
        <v>4419</v>
      </c>
      <c r="J316" s="36">
        <v>850.22</v>
      </c>
      <c r="K316" s="32" t="s">
        <v>4070</v>
      </c>
      <c r="L316" s="169" t="s">
        <v>31</v>
      </c>
      <c r="M316" s="32" t="s">
        <v>224</v>
      </c>
    </row>
    <row r="317" spans="1:13" x14ac:dyDescent="0.25">
      <c r="A317" s="168">
        <v>46188</v>
      </c>
      <c r="B317" s="32">
        <v>1</v>
      </c>
      <c r="C317" s="32" t="s">
        <v>213</v>
      </c>
      <c r="D317" s="169" t="s">
        <v>1153</v>
      </c>
      <c r="E317" s="169" t="s">
        <v>190</v>
      </c>
      <c r="F317" s="32" t="s">
        <v>198</v>
      </c>
      <c r="G317" s="32">
        <v>70</v>
      </c>
      <c r="H317" s="32" t="s">
        <v>165</v>
      </c>
      <c r="I317" s="32">
        <v>655</v>
      </c>
      <c r="J317" s="36">
        <v>1696.45</v>
      </c>
      <c r="K317" s="32" t="s">
        <v>4071</v>
      </c>
      <c r="L317" s="169" t="s">
        <v>30</v>
      </c>
      <c r="M317" s="32" t="s">
        <v>224</v>
      </c>
    </row>
    <row r="318" spans="1:13" x14ac:dyDescent="0.25">
      <c r="A318" s="168">
        <v>46188</v>
      </c>
      <c r="B318" s="32">
        <v>1</v>
      </c>
      <c r="C318" s="32" t="s">
        <v>192</v>
      </c>
      <c r="D318" s="169" t="s">
        <v>287</v>
      </c>
      <c r="E318" s="169" t="s">
        <v>190</v>
      </c>
      <c r="F318" s="32" t="s">
        <v>212</v>
      </c>
      <c r="G318" s="32">
        <v>376</v>
      </c>
      <c r="H318" s="32" t="s">
        <v>165</v>
      </c>
      <c r="I318" s="32">
        <v>614</v>
      </c>
      <c r="J318" s="36">
        <v>7387.65</v>
      </c>
      <c r="K318" s="32" t="s">
        <v>4072</v>
      </c>
      <c r="L318" s="169" t="s">
        <v>22</v>
      </c>
      <c r="M318" s="32" t="s">
        <v>223</v>
      </c>
    </row>
    <row r="319" spans="1:13" x14ac:dyDescent="0.25">
      <c r="A319" s="168">
        <v>46188</v>
      </c>
      <c r="B319" s="32">
        <v>1</v>
      </c>
      <c r="C319" s="32" t="s">
        <v>179</v>
      </c>
      <c r="D319" s="169" t="s">
        <v>2863</v>
      </c>
      <c r="E319" s="169" t="s">
        <v>166</v>
      </c>
      <c r="F319" s="32" t="s">
        <v>111</v>
      </c>
      <c r="G319" s="32">
        <v>79</v>
      </c>
      <c r="H319" s="32" t="s">
        <v>169</v>
      </c>
      <c r="I319" s="32">
        <v>2801</v>
      </c>
      <c r="J319" s="36">
        <v>818.73</v>
      </c>
      <c r="K319" s="32" t="s">
        <v>4073</v>
      </c>
      <c r="L319" s="169" t="s">
        <v>116</v>
      </c>
      <c r="M319" s="32" t="s">
        <v>111</v>
      </c>
    </row>
    <row r="320" spans="1:13" x14ac:dyDescent="0.25">
      <c r="A320" s="168">
        <v>46188</v>
      </c>
      <c r="B320" s="32">
        <v>1</v>
      </c>
      <c r="C320" s="32" t="s">
        <v>179</v>
      </c>
      <c r="D320" s="169" t="s">
        <v>2863</v>
      </c>
      <c r="E320" s="169" t="s">
        <v>166</v>
      </c>
      <c r="F320" s="32" t="s">
        <v>111</v>
      </c>
      <c r="G320" s="32">
        <v>79</v>
      </c>
      <c r="H320" s="32" t="s">
        <v>169</v>
      </c>
      <c r="I320" s="32">
        <v>2626</v>
      </c>
      <c r="J320" s="36">
        <v>767.58</v>
      </c>
      <c r="K320" s="32" t="s">
        <v>4061</v>
      </c>
      <c r="L320" s="169" t="s">
        <v>116</v>
      </c>
      <c r="M320" s="32" t="s">
        <v>111</v>
      </c>
    </row>
    <row r="321" spans="1:13" x14ac:dyDescent="0.25">
      <c r="A321" s="168">
        <v>46188</v>
      </c>
      <c r="B321" s="32">
        <v>1</v>
      </c>
      <c r="C321" s="32" t="s">
        <v>181</v>
      </c>
      <c r="D321" s="169" t="s">
        <v>182</v>
      </c>
      <c r="E321" s="169" t="s">
        <v>166</v>
      </c>
      <c r="F321" s="32" t="s">
        <v>1178</v>
      </c>
      <c r="G321" s="32">
        <v>51</v>
      </c>
      <c r="H321" s="32" t="s">
        <v>172</v>
      </c>
      <c r="I321" s="32">
        <v>2658</v>
      </c>
      <c r="J321" s="36">
        <v>501.56</v>
      </c>
      <c r="K321" s="32" t="s">
        <v>4074</v>
      </c>
      <c r="L321" s="169" t="s">
        <v>3847</v>
      </c>
      <c r="M321" s="32" t="s">
        <v>1178</v>
      </c>
    </row>
    <row r="322" spans="1:13" x14ac:dyDescent="0.25">
      <c r="A322" s="168">
        <v>46188</v>
      </c>
      <c r="B322" s="32">
        <v>1</v>
      </c>
      <c r="C322" s="32" t="s">
        <v>181</v>
      </c>
      <c r="D322" s="169" t="s">
        <v>182</v>
      </c>
      <c r="E322" s="169" t="s">
        <v>166</v>
      </c>
      <c r="F322" s="32" t="s">
        <v>1178</v>
      </c>
      <c r="G322" s="32">
        <v>51</v>
      </c>
      <c r="H322" s="32" t="s">
        <v>172</v>
      </c>
      <c r="I322" s="32">
        <v>2662</v>
      </c>
      <c r="J322" s="36">
        <v>502.32</v>
      </c>
      <c r="K322" s="32" t="s">
        <v>4075</v>
      </c>
      <c r="L322" s="169" t="s">
        <v>3847</v>
      </c>
      <c r="M322" s="32" t="s">
        <v>1178</v>
      </c>
    </row>
    <row r="323" spans="1:13" x14ac:dyDescent="0.25">
      <c r="A323" s="168">
        <v>46188</v>
      </c>
      <c r="B323" s="32">
        <v>1</v>
      </c>
      <c r="C323" s="32" t="s">
        <v>186</v>
      </c>
      <c r="D323" s="169" t="s">
        <v>187</v>
      </c>
      <c r="E323" s="169" t="s">
        <v>276</v>
      </c>
      <c r="F323" s="32" t="s">
        <v>919</v>
      </c>
      <c r="G323" s="32">
        <v>358</v>
      </c>
      <c r="H323" s="32" t="s">
        <v>185</v>
      </c>
      <c r="I323" s="32">
        <v>6012</v>
      </c>
      <c r="J323" s="36">
        <v>6887.35</v>
      </c>
      <c r="K323" s="32" t="s">
        <v>4076</v>
      </c>
      <c r="L323" s="169" t="s">
        <v>4077</v>
      </c>
      <c r="M323" s="32" t="s">
        <v>15</v>
      </c>
    </row>
    <row r="324" spans="1:13" x14ac:dyDescent="0.25">
      <c r="A324" s="168">
        <v>46188</v>
      </c>
      <c r="B324" s="32">
        <v>1</v>
      </c>
      <c r="C324" s="32" t="s">
        <v>173</v>
      </c>
      <c r="D324" s="169" t="s">
        <v>174</v>
      </c>
      <c r="E324" s="169" t="s">
        <v>166</v>
      </c>
      <c r="F324" s="32" t="s">
        <v>218</v>
      </c>
      <c r="G324" s="32">
        <v>71</v>
      </c>
      <c r="H324" s="32" t="s">
        <v>169</v>
      </c>
      <c r="I324" s="32">
        <v>2451</v>
      </c>
      <c r="J324" s="36">
        <v>643.88</v>
      </c>
      <c r="K324" s="32" t="s">
        <v>4078</v>
      </c>
      <c r="L324" s="169" t="s">
        <v>35</v>
      </c>
      <c r="M324" s="32" t="s">
        <v>108</v>
      </c>
    </row>
    <row r="325" spans="1:13" x14ac:dyDescent="0.25">
      <c r="A325" s="168">
        <v>46188</v>
      </c>
      <c r="B325" s="32">
        <v>1</v>
      </c>
      <c r="C325" s="32" t="s">
        <v>173</v>
      </c>
      <c r="D325" s="169" t="s">
        <v>174</v>
      </c>
      <c r="E325" s="169" t="s">
        <v>166</v>
      </c>
      <c r="F325" s="32" t="s">
        <v>218</v>
      </c>
      <c r="G325" s="32">
        <v>71</v>
      </c>
      <c r="H325" s="32" t="s">
        <v>169</v>
      </c>
      <c r="I325" s="32">
        <v>2616</v>
      </c>
      <c r="J325" s="36">
        <v>687.22</v>
      </c>
      <c r="K325" s="32" t="s">
        <v>4079</v>
      </c>
      <c r="L325" s="169" t="s">
        <v>35</v>
      </c>
      <c r="M325" s="32" t="s">
        <v>108</v>
      </c>
    </row>
    <row r="326" spans="1:13" x14ac:dyDescent="0.25">
      <c r="A326" s="168">
        <v>46188</v>
      </c>
      <c r="B326" s="32">
        <v>1</v>
      </c>
      <c r="C326" s="32" t="s">
        <v>173</v>
      </c>
      <c r="D326" s="169" t="s">
        <v>174</v>
      </c>
      <c r="E326" s="169" t="s">
        <v>166</v>
      </c>
      <c r="F326" s="32" t="s">
        <v>111</v>
      </c>
      <c r="G326" s="32">
        <v>79</v>
      </c>
      <c r="H326" s="32" t="s">
        <v>169</v>
      </c>
      <c r="I326" s="32">
        <v>253</v>
      </c>
      <c r="J326" s="36">
        <v>739.52</v>
      </c>
      <c r="K326" s="32" t="s">
        <v>4080</v>
      </c>
      <c r="L326" s="169" t="s">
        <v>116</v>
      </c>
      <c r="M326" s="32" t="s">
        <v>111</v>
      </c>
    </row>
    <row r="327" spans="1:13" x14ac:dyDescent="0.25">
      <c r="A327" s="168">
        <v>46188</v>
      </c>
      <c r="B327" s="32">
        <v>1</v>
      </c>
      <c r="C327" s="32" t="s">
        <v>1948</v>
      </c>
      <c r="D327" s="169" t="s">
        <v>1949</v>
      </c>
      <c r="E327" s="169" t="s">
        <v>2868</v>
      </c>
      <c r="F327" s="32" t="s">
        <v>2881</v>
      </c>
      <c r="G327" s="32">
        <v>62</v>
      </c>
      <c r="H327" s="32" t="s">
        <v>2869</v>
      </c>
      <c r="I327" s="32">
        <v>274</v>
      </c>
      <c r="J327" s="36">
        <v>628.55999999999995</v>
      </c>
      <c r="K327" s="32" t="s">
        <v>4081</v>
      </c>
      <c r="L327" s="169" t="s">
        <v>3825</v>
      </c>
      <c r="M327" s="32" t="s">
        <v>157</v>
      </c>
    </row>
    <row r="328" spans="1:13" x14ac:dyDescent="0.25">
      <c r="A328" s="168">
        <v>46188</v>
      </c>
      <c r="B328" s="32">
        <v>1</v>
      </c>
      <c r="C328" s="32" t="s">
        <v>1129</v>
      </c>
      <c r="D328" s="169" t="s">
        <v>2396</v>
      </c>
      <c r="E328" s="169" t="s">
        <v>163</v>
      </c>
      <c r="F328" s="32" t="s">
        <v>164</v>
      </c>
      <c r="G328" s="32">
        <v>52</v>
      </c>
      <c r="H328" s="32" t="s">
        <v>165</v>
      </c>
      <c r="I328" s="32">
        <v>2706</v>
      </c>
      <c r="J328" s="36">
        <v>520.63</v>
      </c>
      <c r="K328" s="32" t="s">
        <v>3270</v>
      </c>
      <c r="L328" s="169" t="s">
        <v>31</v>
      </c>
      <c r="M328" s="32" t="s">
        <v>224</v>
      </c>
    </row>
    <row r="329" spans="1:13" x14ac:dyDescent="0.25">
      <c r="A329" s="168">
        <v>46188</v>
      </c>
      <c r="B329" s="32">
        <v>1</v>
      </c>
      <c r="C329" s="32" t="s">
        <v>1129</v>
      </c>
      <c r="D329" s="169" t="s">
        <v>2396</v>
      </c>
      <c r="E329" s="169" t="s">
        <v>163</v>
      </c>
      <c r="F329" s="32" t="s">
        <v>164</v>
      </c>
      <c r="G329" s="32">
        <v>52</v>
      </c>
      <c r="H329" s="32" t="s">
        <v>165</v>
      </c>
      <c r="I329" s="32">
        <v>2644</v>
      </c>
      <c r="J329" s="36">
        <v>508.71</v>
      </c>
      <c r="K329" s="32" t="s">
        <v>3271</v>
      </c>
      <c r="L329" s="169" t="s">
        <v>31</v>
      </c>
      <c r="M329" s="32" t="s">
        <v>224</v>
      </c>
    </row>
    <row r="330" spans="1:13" x14ac:dyDescent="0.25">
      <c r="A330" s="168">
        <v>46188</v>
      </c>
      <c r="B330" s="32">
        <v>1</v>
      </c>
      <c r="C330" s="32" t="s">
        <v>1129</v>
      </c>
      <c r="D330" s="169" t="s">
        <v>2396</v>
      </c>
      <c r="E330" s="169" t="s">
        <v>163</v>
      </c>
      <c r="F330" s="32" t="s">
        <v>111</v>
      </c>
      <c r="G330" s="32">
        <v>75</v>
      </c>
      <c r="H330" s="32" t="s">
        <v>169</v>
      </c>
      <c r="I330" s="32">
        <v>2794</v>
      </c>
      <c r="J330" s="36">
        <v>775.34</v>
      </c>
      <c r="K330" s="32" t="s">
        <v>4082</v>
      </c>
      <c r="L330" s="169" t="s">
        <v>3742</v>
      </c>
      <c r="M330" s="32" t="s">
        <v>111</v>
      </c>
    </row>
    <row r="331" spans="1:13" x14ac:dyDescent="0.25">
      <c r="A331" s="168">
        <v>46188</v>
      </c>
      <c r="B331" s="32">
        <v>1</v>
      </c>
      <c r="C331" s="32" t="s">
        <v>1129</v>
      </c>
      <c r="D331" s="169" t="s">
        <v>2396</v>
      </c>
      <c r="E331" s="169" t="s">
        <v>163</v>
      </c>
      <c r="F331" s="32" t="s">
        <v>111</v>
      </c>
      <c r="G331" s="32">
        <v>75</v>
      </c>
      <c r="H331" s="32" t="s">
        <v>185</v>
      </c>
      <c r="I331" s="32">
        <v>2582</v>
      </c>
      <c r="J331" s="36">
        <v>716.51</v>
      </c>
      <c r="K331" s="32" t="s">
        <v>4083</v>
      </c>
      <c r="L331" s="169" t="s">
        <v>3738</v>
      </c>
      <c r="M331" s="32" t="s">
        <v>111</v>
      </c>
    </row>
    <row r="332" spans="1:13" x14ac:dyDescent="0.25">
      <c r="A332" s="168">
        <v>46189</v>
      </c>
      <c r="B332" s="32">
        <v>1</v>
      </c>
      <c r="C332" s="32" t="s">
        <v>176</v>
      </c>
      <c r="D332" s="169" t="s">
        <v>177</v>
      </c>
      <c r="E332" s="169" t="s">
        <v>190</v>
      </c>
      <c r="F332" s="32" t="s">
        <v>212</v>
      </c>
      <c r="G332" s="32">
        <v>376</v>
      </c>
      <c r="H332" s="32" t="s">
        <v>165</v>
      </c>
      <c r="I332" s="32">
        <v>5234</v>
      </c>
      <c r="J332" s="36">
        <v>6297.55</v>
      </c>
      <c r="K332" s="32" t="s">
        <v>4084</v>
      </c>
      <c r="L332" s="169" t="s">
        <v>22</v>
      </c>
      <c r="M332" s="32" t="s">
        <v>223</v>
      </c>
    </row>
    <row r="333" spans="1:13" x14ac:dyDescent="0.25">
      <c r="A333" s="168">
        <v>46189</v>
      </c>
      <c r="B333" s="32">
        <v>1</v>
      </c>
      <c r="C333" s="32" t="s">
        <v>203</v>
      </c>
      <c r="D333" s="169" t="s">
        <v>204</v>
      </c>
      <c r="E333" s="169" t="s">
        <v>190</v>
      </c>
      <c r="F333" s="32" t="s">
        <v>212</v>
      </c>
      <c r="G333" s="32">
        <v>376</v>
      </c>
      <c r="H333" s="32" t="s">
        <v>165</v>
      </c>
      <c r="I333" s="32">
        <v>5126</v>
      </c>
      <c r="J333" s="36">
        <v>6167.6</v>
      </c>
      <c r="K333" s="32" t="s">
        <v>4085</v>
      </c>
      <c r="L333" s="169" t="s">
        <v>22</v>
      </c>
      <c r="M333" s="32" t="s">
        <v>223</v>
      </c>
    </row>
    <row r="334" spans="1:13" x14ac:dyDescent="0.25">
      <c r="A334" s="168">
        <v>46189</v>
      </c>
      <c r="B334" s="32">
        <v>1</v>
      </c>
      <c r="C334" s="32" t="s">
        <v>219</v>
      </c>
      <c r="D334" s="169" t="s">
        <v>220</v>
      </c>
      <c r="E334" s="169" t="s">
        <v>163</v>
      </c>
      <c r="F334" s="32" t="s">
        <v>164</v>
      </c>
      <c r="G334" s="32">
        <v>52</v>
      </c>
      <c r="H334" s="32" t="s">
        <v>175</v>
      </c>
      <c r="I334" s="32">
        <v>465</v>
      </c>
      <c r="J334" s="36">
        <v>894.66</v>
      </c>
      <c r="K334" s="32" t="s">
        <v>4086</v>
      </c>
      <c r="L334" s="169" t="s">
        <v>21</v>
      </c>
      <c r="M334" s="32" t="s">
        <v>224</v>
      </c>
    </row>
    <row r="335" spans="1:13" x14ac:dyDescent="0.25">
      <c r="A335" s="168">
        <v>46189</v>
      </c>
      <c r="B335" s="32">
        <v>1</v>
      </c>
      <c r="C335" s="32" t="s">
        <v>167</v>
      </c>
      <c r="D335" s="169" t="s">
        <v>168</v>
      </c>
      <c r="E335" s="169" t="s">
        <v>163</v>
      </c>
      <c r="F335" s="32" t="s">
        <v>111</v>
      </c>
      <c r="G335" s="32">
        <v>75</v>
      </c>
      <c r="H335" s="32" t="s">
        <v>185</v>
      </c>
      <c r="I335" s="32">
        <v>2827</v>
      </c>
      <c r="J335" s="36">
        <v>784.49</v>
      </c>
      <c r="K335" s="32" t="s">
        <v>4087</v>
      </c>
      <c r="L335" s="169" t="s">
        <v>3738</v>
      </c>
      <c r="M335" s="32" t="s">
        <v>111</v>
      </c>
    </row>
    <row r="336" spans="1:13" x14ac:dyDescent="0.25">
      <c r="A336" s="168">
        <v>46189</v>
      </c>
      <c r="B336" s="32">
        <v>1</v>
      </c>
      <c r="C336" s="32" t="s">
        <v>208</v>
      </c>
      <c r="D336" s="169" t="s">
        <v>209</v>
      </c>
      <c r="E336" s="169" t="s">
        <v>190</v>
      </c>
      <c r="F336" s="32" t="s">
        <v>212</v>
      </c>
      <c r="G336" s="32">
        <v>376</v>
      </c>
      <c r="H336" s="32" t="s">
        <v>165</v>
      </c>
      <c r="I336" s="32">
        <v>620</v>
      </c>
      <c r="J336" s="36">
        <v>7459.84</v>
      </c>
      <c r="K336" s="32" t="s">
        <v>4088</v>
      </c>
      <c r="L336" s="169" t="s">
        <v>22</v>
      </c>
      <c r="M336" s="32" t="s">
        <v>223</v>
      </c>
    </row>
    <row r="337" spans="1:13" x14ac:dyDescent="0.25">
      <c r="A337" s="168">
        <v>46189</v>
      </c>
      <c r="B337" s="32">
        <v>1</v>
      </c>
      <c r="C337" s="32" t="s">
        <v>200</v>
      </c>
      <c r="D337" s="169" t="s">
        <v>201</v>
      </c>
      <c r="E337" s="169" t="s">
        <v>190</v>
      </c>
      <c r="F337" s="32" t="s">
        <v>212</v>
      </c>
      <c r="G337" s="32">
        <v>376</v>
      </c>
      <c r="H337" s="32" t="s">
        <v>165</v>
      </c>
      <c r="I337" s="32">
        <v>4742</v>
      </c>
      <c r="J337" s="36">
        <v>5705.57</v>
      </c>
      <c r="K337" s="32" t="s">
        <v>4089</v>
      </c>
      <c r="L337" s="169" t="s">
        <v>22</v>
      </c>
      <c r="M337" s="32" t="s">
        <v>223</v>
      </c>
    </row>
    <row r="338" spans="1:13" x14ac:dyDescent="0.25">
      <c r="A338" s="168">
        <v>46189</v>
      </c>
      <c r="B338" s="32">
        <v>1</v>
      </c>
      <c r="C338" s="32" t="s">
        <v>270</v>
      </c>
      <c r="D338" s="169" t="s">
        <v>288</v>
      </c>
      <c r="E338" s="169" t="s">
        <v>3980</v>
      </c>
      <c r="F338" s="32" t="s">
        <v>2868</v>
      </c>
      <c r="G338" s="32">
        <v>550</v>
      </c>
      <c r="H338" s="32" t="s">
        <v>3981</v>
      </c>
      <c r="I338" s="32">
        <v>1388</v>
      </c>
      <c r="J338" s="36">
        <v>2442.88</v>
      </c>
      <c r="K338" s="32" t="s">
        <v>4090</v>
      </c>
      <c r="L338" s="169" t="s">
        <v>3983</v>
      </c>
      <c r="M338" s="32" t="s">
        <v>157</v>
      </c>
    </row>
    <row r="339" spans="1:13" x14ac:dyDescent="0.25">
      <c r="A339" s="168">
        <v>46189</v>
      </c>
      <c r="B339" s="32">
        <v>1</v>
      </c>
      <c r="C339" s="32" t="s">
        <v>181</v>
      </c>
      <c r="D339" s="169" t="s">
        <v>182</v>
      </c>
      <c r="E339" s="169" t="s">
        <v>166</v>
      </c>
      <c r="F339" s="32" t="s">
        <v>1178</v>
      </c>
      <c r="G339" s="32">
        <v>51</v>
      </c>
      <c r="H339" s="32" t="s">
        <v>172</v>
      </c>
      <c r="I339" s="32">
        <v>2468</v>
      </c>
      <c r="J339" s="36">
        <v>465.71</v>
      </c>
      <c r="K339" s="32" t="s">
        <v>4091</v>
      </c>
      <c r="L339" s="169" t="s">
        <v>3847</v>
      </c>
      <c r="M339" s="32" t="s">
        <v>1178</v>
      </c>
    </row>
    <row r="340" spans="1:13" x14ac:dyDescent="0.25">
      <c r="A340" s="168">
        <v>46189</v>
      </c>
      <c r="B340" s="32">
        <v>1</v>
      </c>
      <c r="C340" s="32" t="s">
        <v>199</v>
      </c>
      <c r="D340" s="169" t="s">
        <v>180</v>
      </c>
      <c r="E340" s="169" t="s">
        <v>166</v>
      </c>
      <c r="F340" s="32" t="s">
        <v>111</v>
      </c>
      <c r="G340" s="32">
        <v>79</v>
      </c>
      <c r="H340" s="32" t="s">
        <v>216</v>
      </c>
      <c r="I340" s="32">
        <v>2726</v>
      </c>
      <c r="J340" s="36">
        <v>796.81</v>
      </c>
      <c r="K340" s="32" t="s">
        <v>4092</v>
      </c>
      <c r="L340" s="169" t="s">
        <v>115</v>
      </c>
      <c r="M340" s="32" t="s">
        <v>111</v>
      </c>
    </row>
    <row r="341" spans="1:13" x14ac:dyDescent="0.25">
      <c r="A341" s="168">
        <v>46189</v>
      </c>
      <c r="B341" s="32">
        <v>1</v>
      </c>
      <c r="C341" s="32" t="s">
        <v>167</v>
      </c>
      <c r="D341" s="169" t="s">
        <v>168</v>
      </c>
      <c r="E341" s="169" t="s">
        <v>163</v>
      </c>
      <c r="F341" s="32" t="s">
        <v>111</v>
      </c>
      <c r="G341" s="32">
        <v>75</v>
      </c>
      <c r="H341" s="32" t="s">
        <v>185</v>
      </c>
      <c r="I341" s="32">
        <v>2681</v>
      </c>
      <c r="J341" s="36">
        <v>743.98</v>
      </c>
      <c r="K341" s="32" t="s">
        <v>4093</v>
      </c>
      <c r="L341" s="169" t="s">
        <v>3738</v>
      </c>
      <c r="M341" s="32" t="s">
        <v>111</v>
      </c>
    </row>
    <row r="342" spans="1:13" x14ac:dyDescent="0.25">
      <c r="A342" s="168">
        <v>46189</v>
      </c>
      <c r="B342" s="32">
        <v>1</v>
      </c>
      <c r="C342" s="32" t="s">
        <v>296</v>
      </c>
      <c r="D342" s="169" t="s">
        <v>1536</v>
      </c>
      <c r="E342" s="169" t="s">
        <v>276</v>
      </c>
      <c r="F342" s="32" t="s">
        <v>2865</v>
      </c>
      <c r="G342" s="32">
        <v>37</v>
      </c>
      <c r="H342" s="32" t="s">
        <v>165</v>
      </c>
      <c r="I342" s="32">
        <v>416</v>
      </c>
      <c r="J342" s="36">
        <v>569.5</v>
      </c>
      <c r="K342" s="32" t="s">
        <v>4094</v>
      </c>
      <c r="L342" s="169" t="s">
        <v>118</v>
      </c>
      <c r="M342" s="32" t="s">
        <v>15</v>
      </c>
    </row>
    <row r="343" spans="1:13" x14ac:dyDescent="0.25">
      <c r="A343" s="168">
        <v>46189</v>
      </c>
      <c r="B343" s="32">
        <v>1</v>
      </c>
      <c r="C343" s="32" t="s">
        <v>167</v>
      </c>
      <c r="D343" s="169" t="s">
        <v>168</v>
      </c>
      <c r="E343" s="169" t="s">
        <v>163</v>
      </c>
      <c r="F343" s="32" t="s">
        <v>164</v>
      </c>
      <c r="G343" s="32">
        <v>52</v>
      </c>
      <c r="H343" s="32" t="s">
        <v>175</v>
      </c>
      <c r="I343" s="32">
        <v>2537</v>
      </c>
      <c r="J343" s="36">
        <v>488.12</v>
      </c>
      <c r="K343" s="32" t="s">
        <v>4095</v>
      </c>
      <c r="L343" s="169" t="s">
        <v>21</v>
      </c>
      <c r="M343" s="32" t="s">
        <v>224</v>
      </c>
    </row>
    <row r="344" spans="1:13" x14ac:dyDescent="0.25">
      <c r="A344" s="168">
        <v>46189</v>
      </c>
      <c r="B344" s="32">
        <v>1</v>
      </c>
      <c r="C344" s="32" t="s">
        <v>199</v>
      </c>
      <c r="D344" s="169" t="s">
        <v>180</v>
      </c>
      <c r="E344" s="169" t="s">
        <v>166</v>
      </c>
      <c r="F344" s="32" t="s">
        <v>111</v>
      </c>
      <c r="G344" s="32">
        <v>79</v>
      </c>
      <c r="H344" s="32" t="s">
        <v>216</v>
      </c>
      <c r="I344" s="32">
        <v>3166</v>
      </c>
      <c r="J344" s="36">
        <v>925.42</v>
      </c>
      <c r="K344" s="32" t="s">
        <v>4096</v>
      </c>
      <c r="L344" s="169" t="s">
        <v>115</v>
      </c>
      <c r="M344" s="32" t="s">
        <v>111</v>
      </c>
    </row>
    <row r="345" spans="1:13" x14ac:dyDescent="0.25">
      <c r="A345" s="168">
        <v>46189</v>
      </c>
      <c r="B345" s="32">
        <v>1</v>
      </c>
      <c r="C345" s="32" t="s">
        <v>2866</v>
      </c>
      <c r="D345" s="169" t="s">
        <v>281</v>
      </c>
      <c r="E345" s="169" t="s">
        <v>166</v>
      </c>
      <c r="F345" s="32" t="s">
        <v>164</v>
      </c>
      <c r="G345" s="32">
        <v>58</v>
      </c>
      <c r="H345" s="32" t="s">
        <v>165</v>
      </c>
      <c r="I345" s="32">
        <v>282</v>
      </c>
      <c r="J345" s="36">
        <v>605.16999999999996</v>
      </c>
      <c r="K345" s="32" t="s">
        <v>4097</v>
      </c>
      <c r="L345" s="169" t="s">
        <v>27</v>
      </c>
      <c r="M345" s="32" t="s">
        <v>224</v>
      </c>
    </row>
    <row r="346" spans="1:13" x14ac:dyDescent="0.25">
      <c r="A346" s="168">
        <v>46189</v>
      </c>
      <c r="B346" s="32">
        <v>1</v>
      </c>
      <c r="C346" s="32" t="s">
        <v>296</v>
      </c>
      <c r="D346" s="169" t="s">
        <v>1536</v>
      </c>
      <c r="E346" s="169" t="s">
        <v>276</v>
      </c>
      <c r="F346" s="32" t="s">
        <v>2865</v>
      </c>
      <c r="G346" s="32">
        <v>37</v>
      </c>
      <c r="H346" s="32" t="s">
        <v>165</v>
      </c>
      <c r="I346" s="32">
        <v>4304</v>
      </c>
      <c r="J346" s="36">
        <v>589.22</v>
      </c>
      <c r="K346" s="32" t="s">
        <v>4098</v>
      </c>
      <c r="L346" s="169" t="s">
        <v>118</v>
      </c>
      <c r="M346" s="32" t="s">
        <v>15</v>
      </c>
    </row>
    <row r="347" spans="1:13" x14ac:dyDescent="0.25">
      <c r="A347" s="168">
        <v>46189</v>
      </c>
      <c r="B347" s="32">
        <v>1</v>
      </c>
      <c r="C347" s="32" t="s">
        <v>1129</v>
      </c>
      <c r="D347" s="169" t="s">
        <v>2396</v>
      </c>
      <c r="E347" s="169" t="s">
        <v>166</v>
      </c>
      <c r="F347" s="32" t="s">
        <v>111</v>
      </c>
      <c r="G347" s="32">
        <v>79</v>
      </c>
      <c r="H347" s="32" t="s">
        <v>172</v>
      </c>
      <c r="I347" s="32">
        <v>2564</v>
      </c>
      <c r="J347" s="36">
        <v>749.46</v>
      </c>
      <c r="K347" s="32" t="s">
        <v>4099</v>
      </c>
      <c r="L347" s="169" t="s">
        <v>117</v>
      </c>
      <c r="M347" s="32" t="s">
        <v>111</v>
      </c>
    </row>
    <row r="348" spans="1:13" x14ac:dyDescent="0.25">
      <c r="A348" s="168">
        <v>46189</v>
      </c>
      <c r="B348" s="32">
        <v>1</v>
      </c>
      <c r="C348" s="32" t="s">
        <v>296</v>
      </c>
      <c r="D348" s="169" t="s">
        <v>1536</v>
      </c>
      <c r="E348" s="169" t="s">
        <v>276</v>
      </c>
      <c r="F348" s="32" t="s">
        <v>2865</v>
      </c>
      <c r="G348" s="32">
        <v>37</v>
      </c>
      <c r="H348" s="32" t="s">
        <v>195</v>
      </c>
      <c r="I348" s="32">
        <v>3716</v>
      </c>
      <c r="J348" s="36">
        <v>508.72</v>
      </c>
      <c r="K348" s="32" t="s">
        <v>4100</v>
      </c>
      <c r="L348" s="169" t="s">
        <v>104</v>
      </c>
      <c r="M348" s="32" t="s">
        <v>15</v>
      </c>
    </row>
    <row r="349" spans="1:13" x14ac:dyDescent="0.25">
      <c r="A349" s="168">
        <v>46189</v>
      </c>
      <c r="B349" s="32">
        <v>1</v>
      </c>
      <c r="C349" s="32" t="s">
        <v>205</v>
      </c>
      <c r="D349" s="169" t="s">
        <v>206</v>
      </c>
      <c r="E349" s="169" t="s">
        <v>276</v>
      </c>
      <c r="F349" s="32" t="s">
        <v>2033</v>
      </c>
      <c r="G349" s="32">
        <v>323</v>
      </c>
      <c r="H349" s="32" t="s">
        <v>185</v>
      </c>
      <c r="I349" s="32">
        <v>5296</v>
      </c>
      <c r="J349" s="36">
        <v>5473.95</v>
      </c>
      <c r="K349" s="32" t="s">
        <v>4101</v>
      </c>
      <c r="L349" s="169" t="s">
        <v>3817</v>
      </c>
      <c r="M349" s="32" t="s">
        <v>15</v>
      </c>
    </row>
    <row r="350" spans="1:13" x14ac:dyDescent="0.25">
      <c r="A350" s="168">
        <v>46189</v>
      </c>
      <c r="B350" s="32">
        <v>1</v>
      </c>
      <c r="C350" s="32" t="s">
        <v>183</v>
      </c>
      <c r="D350" s="169" t="s">
        <v>184</v>
      </c>
      <c r="E350" s="169" t="s">
        <v>163</v>
      </c>
      <c r="F350" s="32" t="s">
        <v>111</v>
      </c>
      <c r="G350" s="32">
        <v>75</v>
      </c>
      <c r="H350" s="32" t="s">
        <v>185</v>
      </c>
      <c r="I350" s="32">
        <v>2672</v>
      </c>
      <c r="J350" s="36">
        <v>741.48</v>
      </c>
      <c r="K350" s="32" t="s">
        <v>4102</v>
      </c>
      <c r="L350" s="169" t="s">
        <v>3738</v>
      </c>
      <c r="M350" s="32" t="s">
        <v>111</v>
      </c>
    </row>
    <row r="351" spans="1:13" x14ac:dyDescent="0.25">
      <c r="A351" s="168">
        <v>46189</v>
      </c>
      <c r="B351" s="32">
        <v>1</v>
      </c>
      <c r="C351" s="32" t="s">
        <v>183</v>
      </c>
      <c r="D351" s="169" t="s">
        <v>184</v>
      </c>
      <c r="E351" s="169" t="s">
        <v>163</v>
      </c>
      <c r="F351" s="32" t="s">
        <v>111</v>
      </c>
      <c r="G351" s="32">
        <v>75</v>
      </c>
      <c r="H351" s="32" t="s">
        <v>185</v>
      </c>
      <c r="I351" s="32">
        <v>2817</v>
      </c>
      <c r="J351" s="36">
        <v>781.72</v>
      </c>
      <c r="K351" s="32" t="s">
        <v>4103</v>
      </c>
      <c r="L351" s="169" t="s">
        <v>3738</v>
      </c>
      <c r="M351" s="32" t="s">
        <v>111</v>
      </c>
    </row>
    <row r="352" spans="1:13" x14ac:dyDescent="0.25">
      <c r="A352" s="168">
        <v>46189</v>
      </c>
      <c r="B352" s="32">
        <v>1</v>
      </c>
      <c r="C352" s="32" t="s">
        <v>173</v>
      </c>
      <c r="D352" s="169" t="s">
        <v>174</v>
      </c>
      <c r="E352" s="169" t="s">
        <v>166</v>
      </c>
      <c r="F352" s="32" t="s">
        <v>218</v>
      </c>
      <c r="G352" s="32">
        <v>71</v>
      </c>
      <c r="H352" s="32" t="s">
        <v>169</v>
      </c>
      <c r="I352" s="32">
        <v>2212</v>
      </c>
      <c r="J352" s="36">
        <v>581.09</v>
      </c>
      <c r="K352" s="32" t="s">
        <v>4104</v>
      </c>
      <c r="L352" s="169" t="s">
        <v>35</v>
      </c>
      <c r="M352" s="32" t="s">
        <v>108</v>
      </c>
    </row>
    <row r="353" spans="1:13" x14ac:dyDescent="0.25">
      <c r="A353" s="168">
        <v>46189</v>
      </c>
      <c r="B353" s="32">
        <v>1</v>
      </c>
      <c r="C353" s="32" t="s">
        <v>173</v>
      </c>
      <c r="D353" s="169" t="s">
        <v>174</v>
      </c>
      <c r="E353" s="169" t="s">
        <v>166</v>
      </c>
      <c r="F353" s="32" t="s">
        <v>111</v>
      </c>
      <c r="G353" s="32">
        <v>79</v>
      </c>
      <c r="H353" s="32" t="s">
        <v>169</v>
      </c>
      <c r="I353" s="32">
        <v>266</v>
      </c>
      <c r="J353" s="36">
        <v>777.52</v>
      </c>
      <c r="K353" s="32" t="s">
        <v>4105</v>
      </c>
      <c r="L353" s="169" t="s">
        <v>116</v>
      </c>
      <c r="M353" s="32" t="s">
        <v>111</v>
      </c>
    </row>
    <row r="354" spans="1:13" x14ac:dyDescent="0.25">
      <c r="A354" s="168">
        <v>46189</v>
      </c>
      <c r="B354" s="32">
        <v>1</v>
      </c>
      <c r="C354" s="32" t="s">
        <v>173</v>
      </c>
      <c r="D354" s="169" t="s">
        <v>174</v>
      </c>
      <c r="E354" s="169" t="s">
        <v>166</v>
      </c>
      <c r="F354" s="32" t="s">
        <v>111</v>
      </c>
      <c r="G354" s="32">
        <v>79</v>
      </c>
      <c r="H354" s="32" t="s">
        <v>172</v>
      </c>
      <c r="I354" s="32">
        <v>2682</v>
      </c>
      <c r="J354" s="36">
        <v>783.95</v>
      </c>
      <c r="K354" s="32" t="s">
        <v>4106</v>
      </c>
      <c r="L354" s="169" t="s">
        <v>117</v>
      </c>
      <c r="M354" s="32" t="s">
        <v>111</v>
      </c>
    </row>
    <row r="355" spans="1:13" x14ac:dyDescent="0.25">
      <c r="A355" s="168">
        <v>46189</v>
      </c>
      <c r="B355" s="32">
        <v>1</v>
      </c>
      <c r="C355" s="32" t="s">
        <v>199</v>
      </c>
      <c r="D355" s="169" t="s">
        <v>180</v>
      </c>
      <c r="E355" s="169" t="s">
        <v>163</v>
      </c>
      <c r="F355" s="32" t="s">
        <v>164</v>
      </c>
      <c r="G355" s="32">
        <v>52</v>
      </c>
      <c r="H355" s="32" t="s">
        <v>165</v>
      </c>
      <c r="I355" s="32">
        <v>2759</v>
      </c>
      <c r="J355" s="36">
        <v>530.83000000000004</v>
      </c>
      <c r="K355" s="32" t="s">
        <v>4107</v>
      </c>
      <c r="L355" s="169" t="s">
        <v>31</v>
      </c>
      <c r="M355" s="32" t="s">
        <v>224</v>
      </c>
    </row>
    <row r="356" spans="1:13" x14ac:dyDescent="0.25">
      <c r="A356" s="168">
        <v>46189</v>
      </c>
      <c r="B356" s="32">
        <v>1</v>
      </c>
      <c r="C356" s="32" t="s">
        <v>210</v>
      </c>
      <c r="D356" s="169" t="s">
        <v>211</v>
      </c>
      <c r="E356" s="169" t="s">
        <v>190</v>
      </c>
      <c r="F356" s="32" t="s">
        <v>212</v>
      </c>
      <c r="G356" s="32">
        <v>376</v>
      </c>
      <c r="H356" s="32" t="s">
        <v>165</v>
      </c>
      <c r="I356" s="32">
        <v>5532</v>
      </c>
      <c r="J356" s="36">
        <v>6656.1</v>
      </c>
      <c r="K356" s="32" t="s">
        <v>4108</v>
      </c>
      <c r="L356" s="169" t="s">
        <v>22</v>
      </c>
      <c r="M356" s="32" t="s">
        <v>223</v>
      </c>
    </row>
    <row r="357" spans="1:13" x14ac:dyDescent="0.25">
      <c r="A357" s="168">
        <v>46189</v>
      </c>
      <c r="B357" s="32">
        <v>1</v>
      </c>
      <c r="C357" s="32" t="s">
        <v>181</v>
      </c>
      <c r="D357" s="169" t="s">
        <v>182</v>
      </c>
      <c r="E357" s="169" t="s">
        <v>166</v>
      </c>
      <c r="F357" s="32" t="s">
        <v>111</v>
      </c>
      <c r="G357" s="32">
        <v>79</v>
      </c>
      <c r="H357" s="32" t="s">
        <v>172</v>
      </c>
      <c r="I357" s="32">
        <v>2622</v>
      </c>
      <c r="J357" s="36">
        <v>766.41</v>
      </c>
      <c r="K357" s="32" t="s">
        <v>4109</v>
      </c>
      <c r="L357" s="169" t="s">
        <v>117</v>
      </c>
      <c r="M357" s="32" t="s">
        <v>111</v>
      </c>
    </row>
    <row r="358" spans="1:13" x14ac:dyDescent="0.25">
      <c r="A358" s="168">
        <v>46189</v>
      </c>
      <c r="B358" s="32">
        <v>1</v>
      </c>
      <c r="C358" s="32" t="s">
        <v>193</v>
      </c>
      <c r="D358" s="169" t="s">
        <v>285</v>
      </c>
      <c r="E358" s="169" t="s">
        <v>163</v>
      </c>
      <c r="F358" s="32" t="s">
        <v>111</v>
      </c>
      <c r="G358" s="32">
        <v>75</v>
      </c>
      <c r="H358" s="32" t="s">
        <v>185</v>
      </c>
      <c r="I358" s="32">
        <v>2768</v>
      </c>
      <c r="J358" s="36">
        <v>768.12</v>
      </c>
      <c r="K358" s="32" t="s">
        <v>4110</v>
      </c>
      <c r="L358" s="169" t="s">
        <v>3738</v>
      </c>
      <c r="M358" s="32" t="s">
        <v>111</v>
      </c>
    </row>
    <row r="359" spans="1:13" x14ac:dyDescent="0.25">
      <c r="A359" s="168">
        <v>46189</v>
      </c>
      <c r="B359" s="32">
        <v>1</v>
      </c>
      <c r="C359" s="32" t="s">
        <v>193</v>
      </c>
      <c r="D359" s="169" t="s">
        <v>285</v>
      </c>
      <c r="E359" s="169" t="s">
        <v>166</v>
      </c>
      <c r="F359" s="32" t="s">
        <v>111</v>
      </c>
      <c r="G359" s="32">
        <v>79</v>
      </c>
      <c r="H359" s="32" t="s">
        <v>172</v>
      </c>
      <c r="I359" s="32">
        <v>2768</v>
      </c>
      <c r="J359" s="36">
        <v>809.09</v>
      </c>
      <c r="K359" s="32" t="s">
        <v>4111</v>
      </c>
      <c r="L359" s="169" t="s">
        <v>117</v>
      </c>
      <c r="M359" s="32" t="s">
        <v>111</v>
      </c>
    </row>
    <row r="360" spans="1:13" x14ac:dyDescent="0.25">
      <c r="A360" s="168">
        <v>46189</v>
      </c>
      <c r="B360" s="32">
        <v>1</v>
      </c>
      <c r="C360" s="32" t="s">
        <v>192</v>
      </c>
      <c r="D360" s="169" t="s">
        <v>287</v>
      </c>
      <c r="E360" s="169" t="s">
        <v>190</v>
      </c>
      <c r="F360" s="32" t="s">
        <v>212</v>
      </c>
      <c r="G360" s="32">
        <v>376</v>
      </c>
      <c r="H360" s="32" t="s">
        <v>165</v>
      </c>
      <c r="I360" s="32">
        <v>571</v>
      </c>
      <c r="J360" s="36">
        <v>6870.27</v>
      </c>
      <c r="K360" s="32" t="s">
        <v>4112</v>
      </c>
      <c r="L360" s="169" t="s">
        <v>22</v>
      </c>
      <c r="M360" s="32" t="s">
        <v>223</v>
      </c>
    </row>
    <row r="361" spans="1:13" x14ac:dyDescent="0.25">
      <c r="A361" s="168">
        <v>46189</v>
      </c>
      <c r="B361" s="32">
        <v>1</v>
      </c>
      <c r="C361" s="32" t="s">
        <v>286</v>
      </c>
      <c r="D361" s="169" t="s">
        <v>506</v>
      </c>
      <c r="E361" s="169" t="s">
        <v>166</v>
      </c>
      <c r="F361" s="32" t="s">
        <v>164</v>
      </c>
      <c r="G361" s="32">
        <v>58</v>
      </c>
      <c r="H361" s="32" t="s">
        <v>175</v>
      </c>
      <c r="I361" s="32">
        <v>4694</v>
      </c>
      <c r="J361" s="36">
        <v>1007.33</v>
      </c>
      <c r="K361" s="32" t="s">
        <v>4113</v>
      </c>
      <c r="L361" s="169" t="s">
        <v>86</v>
      </c>
      <c r="M361" s="32" t="s">
        <v>224</v>
      </c>
    </row>
    <row r="362" spans="1:13" x14ac:dyDescent="0.25">
      <c r="A362" s="168">
        <v>46189</v>
      </c>
      <c r="B362" s="32">
        <v>1</v>
      </c>
      <c r="C362" s="32" t="s">
        <v>286</v>
      </c>
      <c r="D362" s="169" t="s">
        <v>506</v>
      </c>
      <c r="E362" s="169" t="s">
        <v>166</v>
      </c>
      <c r="F362" s="32" t="s">
        <v>164</v>
      </c>
      <c r="G362" s="32">
        <v>58</v>
      </c>
      <c r="H362" s="32" t="s">
        <v>165</v>
      </c>
      <c r="I362" s="32">
        <v>4622</v>
      </c>
      <c r="J362" s="36">
        <v>991.88</v>
      </c>
      <c r="K362" s="32" t="s">
        <v>4114</v>
      </c>
      <c r="L362" s="169" t="s">
        <v>27</v>
      </c>
      <c r="M362" s="32" t="s">
        <v>224</v>
      </c>
    </row>
    <row r="363" spans="1:13" x14ac:dyDescent="0.25">
      <c r="A363" s="168">
        <v>46189</v>
      </c>
      <c r="B363" s="32">
        <v>1</v>
      </c>
      <c r="C363" s="32" t="s">
        <v>179</v>
      </c>
      <c r="D363" s="169" t="s">
        <v>2863</v>
      </c>
      <c r="E363" s="169" t="s">
        <v>166</v>
      </c>
      <c r="F363" s="32" t="s">
        <v>111</v>
      </c>
      <c r="G363" s="32">
        <v>79</v>
      </c>
      <c r="H363" s="32" t="s">
        <v>216</v>
      </c>
      <c r="I363" s="32">
        <v>2738</v>
      </c>
      <c r="J363" s="36">
        <v>800.32</v>
      </c>
      <c r="K363" s="32" t="s">
        <v>4115</v>
      </c>
      <c r="L363" s="169" t="s">
        <v>115</v>
      </c>
      <c r="M363" s="32" t="s">
        <v>111</v>
      </c>
    </row>
    <row r="364" spans="1:13" x14ac:dyDescent="0.25">
      <c r="A364" s="168">
        <v>46189</v>
      </c>
      <c r="B364" s="32">
        <v>1</v>
      </c>
      <c r="C364" s="32" t="s">
        <v>179</v>
      </c>
      <c r="D364" s="169" t="s">
        <v>2863</v>
      </c>
      <c r="E364" s="169" t="s">
        <v>166</v>
      </c>
      <c r="F364" s="32" t="s">
        <v>164</v>
      </c>
      <c r="G364" s="32">
        <v>58</v>
      </c>
      <c r="H364" s="32" t="s">
        <v>165</v>
      </c>
      <c r="I364" s="32">
        <v>264</v>
      </c>
      <c r="J364" s="36">
        <v>566.54</v>
      </c>
      <c r="K364" s="32" t="s">
        <v>4116</v>
      </c>
      <c r="L364" s="169" t="s">
        <v>27</v>
      </c>
      <c r="M364" s="32" t="s">
        <v>224</v>
      </c>
    </row>
    <row r="365" spans="1:13" x14ac:dyDescent="0.25">
      <c r="A365" s="168">
        <v>46189</v>
      </c>
      <c r="B365" s="32">
        <v>1</v>
      </c>
      <c r="C365" s="32" t="s">
        <v>186</v>
      </c>
      <c r="D365" s="169" t="s">
        <v>187</v>
      </c>
      <c r="E365" s="169" t="s">
        <v>276</v>
      </c>
      <c r="F365" s="32" t="s">
        <v>919</v>
      </c>
      <c r="G365" s="32">
        <v>358</v>
      </c>
      <c r="H365" s="32" t="s">
        <v>221</v>
      </c>
      <c r="I365" s="32">
        <v>668</v>
      </c>
      <c r="J365" s="36">
        <v>7652.61</v>
      </c>
      <c r="K365" s="32" t="s">
        <v>4117</v>
      </c>
      <c r="L365" s="169" t="s">
        <v>4118</v>
      </c>
      <c r="M365" s="32" t="s">
        <v>15</v>
      </c>
    </row>
    <row r="366" spans="1:13" x14ac:dyDescent="0.25">
      <c r="A366" s="168">
        <v>46189</v>
      </c>
      <c r="B366" s="32">
        <v>1</v>
      </c>
      <c r="C366" s="32" t="s">
        <v>1129</v>
      </c>
      <c r="D366" s="169" t="s">
        <v>2396</v>
      </c>
      <c r="E366" s="169" t="s">
        <v>166</v>
      </c>
      <c r="F366" s="32" t="s">
        <v>111</v>
      </c>
      <c r="G366" s="32">
        <v>79</v>
      </c>
      <c r="H366" s="32" t="s">
        <v>172</v>
      </c>
      <c r="I366" s="32">
        <v>2564</v>
      </c>
      <c r="J366" s="36">
        <v>749.46</v>
      </c>
      <c r="K366" s="32" t="s">
        <v>4119</v>
      </c>
      <c r="L366" s="169" t="s">
        <v>117</v>
      </c>
      <c r="M366" s="32" t="s">
        <v>111</v>
      </c>
    </row>
    <row r="367" spans="1:13" x14ac:dyDescent="0.25">
      <c r="A367" s="168">
        <v>46190</v>
      </c>
      <c r="B367" s="32">
        <v>1</v>
      </c>
      <c r="C367" s="32" t="s">
        <v>283</v>
      </c>
      <c r="D367" s="169" t="s">
        <v>282</v>
      </c>
      <c r="E367" s="169" t="s">
        <v>166</v>
      </c>
      <c r="F367" s="32" t="s">
        <v>1178</v>
      </c>
      <c r="G367" s="32">
        <v>51</v>
      </c>
      <c r="H367" s="32" t="s">
        <v>169</v>
      </c>
      <c r="I367" s="32">
        <v>2658</v>
      </c>
      <c r="J367" s="36">
        <v>501.56</v>
      </c>
      <c r="K367" s="32" t="s">
        <v>4120</v>
      </c>
      <c r="L367" s="169" t="s">
        <v>3744</v>
      </c>
      <c r="M367" s="32" t="s">
        <v>1178</v>
      </c>
    </row>
    <row r="368" spans="1:13" x14ac:dyDescent="0.25">
      <c r="A368" s="168">
        <v>46190</v>
      </c>
      <c r="B368" s="32">
        <v>1</v>
      </c>
      <c r="C368" s="32" t="s">
        <v>188</v>
      </c>
      <c r="D368" s="169" t="s">
        <v>189</v>
      </c>
      <c r="E368" s="169" t="s">
        <v>190</v>
      </c>
      <c r="F368" s="32" t="s">
        <v>4065</v>
      </c>
      <c r="G368" s="32">
        <v>304</v>
      </c>
      <c r="H368" s="32" t="s">
        <v>165</v>
      </c>
      <c r="I368" s="32">
        <v>635</v>
      </c>
      <c r="J368" s="36">
        <v>6177.28</v>
      </c>
      <c r="K368" s="32" t="s">
        <v>4121</v>
      </c>
      <c r="L368" s="169" t="s">
        <v>4067</v>
      </c>
      <c r="M368" s="32" t="s">
        <v>223</v>
      </c>
    </row>
    <row r="369" spans="1:13" x14ac:dyDescent="0.25">
      <c r="A369" s="168">
        <v>46190</v>
      </c>
      <c r="B369" s="32">
        <v>1</v>
      </c>
      <c r="C369" s="32" t="s">
        <v>203</v>
      </c>
      <c r="D369" s="169" t="s">
        <v>204</v>
      </c>
      <c r="E369" s="169" t="s">
        <v>190</v>
      </c>
      <c r="F369" s="32" t="s">
        <v>198</v>
      </c>
      <c r="G369" s="32">
        <v>70</v>
      </c>
      <c r="H369" s="32" t="s">
        <v>165</v>
      </c>
      <c r="I369" s="32">
        <v>5358</v>
      </c>
      <c r="J369" s="36">
        <v>1387.72</v>
      </c>
      <c r="K369" s="32" t="s">
        <v>4122</v>
      </c>
      <c r="L369" s="169" t="s">
        <v>30</v>
      </c>
      <c r="M369" s="32" t="s">
        <v>224</v>
      </c>
    </row>
    <row r="370" spans="1:13" x14ac:dyDescent="0.25">
      <c r="A370" s="168">
        <v>46190</v>
      </c>
      <c r="B370" s="32">
        <v>1</v>
      </c>
      <c r="C370" s="32" t="s">
        <v>167</v>
      </c>
      <c r="D370" s="169" t="s">
        <v>168</v>
      </c>
      <c r="E370" s="169" t="s">
        <v>163</v>
      </c>
      <c r="F370" s="32" t="s">
        <v>164</v>
      </c>
      <c r="G370" s="32">
        <v>52</v>
      </c>
      <c r="H370" s="32" t="s">
        <v>175</v>
      </c>
      <c r="I370" s="32">
        <v>2693</v>
      </c>
      <c r="J370" s="36">
        <v>518.13</v>
      </c>
      <c r="K370" s="32" t="s">
        <v>4123</v>
      </c>
      <c r="L370" s="169" t="s">
        <v>21</v>
      </c>
      <c r="M370" s="32" t="s">
        <v>224</v>
      </c>
    </row>
    <row r="371" spans="1:13" x14ac:dyDescent="0.25">
      <c r="A371" s="168">
        <v>46190</v>
      </c>
      <c r="B371" s="32">
        <v>1</v>
      </c>
      <c r="C371" s="32" t="s">
        <v>167</v>
      </c>
      <c r="D371" s="169" t="s">
        <v>168</v>
      </c>
      <c r="E371" s="169" t="s">
        <v>166</v>
      </c>
      <c r="F371" s="32" t="s">
        <v>111</v>
      </c>
      <c r="G371" s="32">
        <v>79</v>
      </c>
      <c r="H371" s="32" t="s">
        <v>172</v>
      </c>
      <c r="I371" s="32">
        <v>275</v>
      </c>
      <c r="J371" s="36">
        <v>803.83</v>
      </c>
      <c r="K371" s="32" t="s">
        <v>4124</v>
      </c>
      <c r="L371" s="169" t="s">
        <v>117</v>
      </c>
      <c r="M371" s="32" t="s">
        <v>111</v>
      </c>
    </row>
    <row r="372" spans="1:13" x14ac:dyDescent="0.25">
      <c r="A372" s="168">
        <v>46190</v>
      </c>
      <c r="B372" s="32">
        <v>1</v>
      </c>
      <c r="C372" s="32" t="s">
        <v>199</v>
      </c>
      <c r="D372" s="169" t="s">
        <v>180</v>
      </c>
      <c r="E372" s="169" t="s">
        <v>166</v>
      </c>
      <c r="F372" s="32" t="s">
        <v>111</v>
      </c>
      <c r="G372" s="32">
        <v>79</v>
      </c>
      <c r="H372" s="32" t="s">
        <v>172</v>
      </c>
      <c r="I372" s="32">
        <v>3202</v>
      </c>
      <c r="J372" s="36">
        <v>935.94</v>
      </c>
      <c r="K372" s="32" t="s">
        <v>4125</v>
      </c>
      <c r="L372" s="169" t="s">
        <v>117</v>
      </c>
      <c r="M372" s="32" t="s">
        <v>111</v>
      </c>
    </row>
    <row r="373" spans="1:13" x14ac:dyDescent="0.25">
      <c r="A373" s="168">
        <v>46190</v>
      </c>
      <c r="B373" s="32">
        <v>1</v>
      </c>
      <c r="C373" s="32" t="s">
        <v>167</v>
      </c>
      <c r="D373" s="169" t="s">
        <v>168</v>
      </c>
      <c r="E373" s="169" t="s">
        <v>166</v>
      </c>
      <c r="F373" s="32" t="s">
        <v>164</v>
      </c>
      <c r="G373" s="32">
        <v>58</v>
      </c>
      <c r="H373" s="32" t="s">
        <v>195</v>
      </c>
      <c r="I373" s="32">
        <v>2696</v>
      </c>
      <c r="J373" s="36">
        <v>578.55999999999995</v>
      </c>
      <c r="K373" s="32" t="s">
        <v>4126</v>
      </c>
      <c r="L373" s="169" t="s">
        <v>91</v>
      </c>
      <c r="M373" s="32" t="s">
        <v>224</v>
      </c>
    </row>
    <row r="374" spans="1:13" x14ac:dyDescent="0.25">
      <c r="A374" s="168">
        <v>46190</v>
      </c>
      <c r="B374" s="32">
        <v>1</v>
      </c>
      <c r="C374" s="32" t="s">
        <v>283</v>
      </c>
      <c r="D374" s="169" t="s">
        <v>282</v>
      </c>
      <c r="E374" s="169" t="s">
        <v>166</v>
      </c>
      <c r="F374" s="32" t="s">
        <v>1178</v>
      </c>
      <c r="G374" s="32">
        <v>51</v>
      </c>
      <c r="H374" s="32" t="s">
        <v>169</v>
      </c>
      <c r="I374" s="32">
        <v>274</v>
      </c>
      <c r="J374" s="36">
        <v>517.04</v>
      </c>
      <c r="K374" s="32" t="s">
        <v>4127</v>
      </c>
      <c r="L374" s="169" t="s">
        <v>3744</v>
      </c>
      <c r="M374" s="32" t="s">
        <v>1178</v>
      </c>
    </row>
    <row r="375" spans="1:13" x14ac:dyDescent="0.25">
      <c r="A375" s="168">
        <v>46190</v>
      </c>
      <c r="B375" s="32">
        <v>1</v>
      </c>
      <c r="C375" s="32" t="s">
        <v>181</v>
      </c>
      <c r="D375" s="169" t="s">
        <v>182</v>
      </c>
      <c r="E375" s="169" t="s">
        <v>276</v>
      </c>
      <c r="F375" s="32" t="s">
        <v>4128</v>
      </c>
      <c r="G375" s="32">
        <v>321</v>
      </c>
      <c r="H375" s="32" t="s">
        <v>172</v>
      </c>
      <c r="I375" s="32">
        <v>2214</v>
      </c>
      <c r="J375" s="36">
        <v>2274.2199999999998</v>
      </c>
      <c r="K375" s="32" t="s">
        <v>4129</v>
      </c>
      <c r="L375" s="169" t="s">
        <v>4130</v>
      </c>
      <c r="M375" s="32" t="s">
        <v>15</v>
      </c>
    </row>
    <row r="376" spans="1:13" x14ac:dyDescent="0.25">
      <c r="A376" s="168">
        <v>46190</v>
      </c>
      <c r="B376" s="32">
        <v>1</v>
      </c>
      <c r="C376" s="32" t="s">
        <v>199</v>
      </c>
      <c r="D376" s="169" t="s">
        <v>180</v>
      </c>
      <c r="E376" s="169" t="s">
        <v>166</v>
      </c>
      <c r="F376" s="32" t="s">
        <v>164</v>
      </c>
      <c r="G376" s="32">
        <v>58</v>
      </c>
      <c r="H376" s="32" t="s">
        <v>165</v>
      </c>
      <c r="I376" s="32">
        <v>286</v>
      </c>
      <c r="J376" s="36">
        <v>613.76</v>
      </c>
      <c r="K376" s="32" t="s">
        <v>4131</v>
      </c>
      <c r="L376" s="169" t="s">
        <v>27</v>
      </c>
      <c r="M376" s="32" t="s">
        <v>224</v>
      </c>
    </row>
    <row r="377" spans="1:13" x14ac:dyDescent="0.25">
      <c r="A377" s="168">
        <v>46190</v>
      </c>
      <c r="B377" s="32">
        <v>1</v>
      </c>
      <c r="C377" s="32" t="s">
        <v>176</v>
      </c>
      <c r="D377" s="169" t="s">
        <v>177</v>
      </c>
      <c r="E377" s="169" t="s">
        <v>190</v>
      </c>
      <c r="F377" s="32" t="s">
        <v>212</v>
      </c>
      <c r="G377" s="32">
        <v>376</v>
      </c>
      <c r="H377" s="32" t="s">
        <v>165</v>
      </c>
      <c r="I377" s="32">
        <v>6034</v>
      </c>
      <c r="J377" s="36">
        <v>7260.11</v>
      </c>
      <c r="K377" s="32" t="s">
        <v>4132</v>
      </c>
      <c r="L377" s="169" t="s">
        <v>22</v>
      </c>
      <c r="M377" s="32" t="s">
        <v>223</v>
      </c>
    </row>
    <row r="378" spans="1:13" x14ac:dyDescent="0.25">
      <c r="A378" s="168">
        <v>46190</v>
      </c>
      <c r="B378" s="32">
        <v>1</v>
      </c>
      <c r="C378" s="32" t="s">
        <v>1129</v>
      </c>
      <c r="D378" s="169" t="s">
        <v>2396</v>
      </c>
      <c r="E378" s="169" t="s">
        <v>166</v>
      </c>
      <c r="F378" s="32" t="s">
        <v>111</v>
      </c>
      <c r="G378" s="32">
        <v>79</v>
      </c>
      <c r="H378" s="32" t="s">
        <v>172</v>
      </c>
      <c r="I378" s="32">
        <v>285</v>
      </c>
      <c r="J378" s="36">
        <v>833.06</v>
      </c>
      <c r="K378" s="32" t="s">
        <v>4133</v>
      </c>
      <c r="L378" s="169" t="s">
        <v>117</v>
      </c>
      <c r="M378" s="32" t="s">
        <v>111</v>
      </c>
    </row>
    <row r="379" spans="1:13" x14ac:dyDescent="0.25">
      <c r="A379" s="168">
        <v>46190</v>
      </c>
      <c r="B379" s="32">
        <v>1</v>
      </c>
      <c r="C379" s="32" t="s">
        <v>1129</v>
      </c>
      <c r="D379" s="169" t="s">
        <v>2396</v>
      </c>
      <c r="E379" s="169" t="s">
        <v>166</v>
      </c>
      <c r="F379" s="32" t="s">
        <v>164</v>
      </c>
      <c r="G379" s="32">
        <v>58</v>
      </c>
      <c r="H379" s="32" t="s">
        <v>165</v>
      </c>
      <c r="I379" s="32">
        <v>2514</v>
      </c>
      <c r="J379" s="36">
        <v>539.5</v>
      </c>
      <c r="K379" s="32" t="s">
        <v>4134</v>
      </c>
      <c r="L379" s="169" t="s">
        <v>27</v>
      </c>
      <c r="M379" s="32" t="s">
        <v>224</v>
      </c>
    </row>
    <row r="380" spans="1:13" x14ac:dyDescent="0.25">
      <c r="A380" s="168">
        <v>46190</v>
      </c>
      <c r="B380" s="32">
        <v>1</v>
      </c>
      <c r="C380" s="32" t="s">
        <v>202</v>
      </c>
      <c r="D380" s="169" t="s">
        <v>214</v>
      </c>
      <c r="E380" s="169" t="s">
        <v>190</v>
      </c>
      <c r="F380" s="32" t="s">
        <v>212</v>
      </c>
      <c r="G380" s="32">
        <v>376</v>
      </c>
      <c r="H380" s="32" t="s">
        <v>165</v>
      </c>
      <c r="I380" s="32">
        <v>6256</v>
      </c>
      <c r="J380" s="36">
        <v>7527.22</v>
      </c>
      <c r="K380" s="32" t="s">
        <v>4135</v>
      </c>
      <c r="L380" s="169" t="s">
        <v>22</v>
      </c>
      <c r="M380" s="32" t="s">
        <v>223</v>
      </c>
    </row>
    <row r="381" spans="1:13" x14ac:dyDescent="0.25">
      <c r="A381" s="168">
        <v>46190</v>
      </c>
      <c r="B381" s="32">
        <v>1</v>
      </c>
      <c r="C381" s="32" t="s">
        <v>286</v>
      </c>
      <c r="D381" s="169" t="s">
        <v>506</v>
      </c>
      <c r="E381" s="169" t="s">
        <v>166</v>
      </c>
      <c r="F381" s="32" t="s">
        <v>164</v>
      </c>
      <c r="G381" s="32">
        <v>58</v>
      </c>
      <c r="H381" s="32" t="s">
        <v>165</v>
      </c>
      <c r="I381" s="32">
        <v>4516</v>
      </c>
      <c r="J381" s="36">
        <v>969.13</v>
      </c>
      <c r="K381" s="32" t="s">
        <v>4136</v>
      </c>
      <c r="L381" s="169" t="s">
        <v>27</v>
      </c>
      <c r="M381" s="32" t="s">
        <v>224</v>
      </c>
    </row>
    <row r="382" spans="1:13" x14ac:dyDescent="0.25">
      <c r="A382" s="168">
        <v>46190</v>
      </c>
      <c r="B382" s="32">
        <v>1</v>
      </c>
      <c r="C382" s="32" t="s">
        <v>181</v>
      </c>
      <c r="D382" s="169" t="s">
        <v>182</v>
      </c>
      <c r="E382" s="169" t="s">
        <v>166</v>
      </c>
      <c r="F382" s="32" t="s">
        <v>111</v>
      </c>
      <c r="G382" s="32">
        <v>79</v>
      </c>
      <c r="H382" s="32" t="s">
        <v>169</v>
      </c>
      <c r="I382" s="32">
        <v>2498</v>
      </c>
      <c r="J382" s="36">
        <v>730.17</v>
      </c>
      <c r="K382" s="32" t="s">
        <v>4137</v>
      </c>
      <c r="L382" s="169" t="s">
        <v>116</v>
      </c>
      <c r="M382" s="32" t="s">
        <v>111</v>
      </c>
    </row>
    <row r="383" spans="1:13" x14ac:dyDescent="0.25">
      <c r="A383" s="168">
        <v>46190</v>
      </c>
      <c r="B383" s="32">
        <v>1</v>
      </c>
      <c r="C383" s="32" t="s">
        <v>199</v>
      </c>
      <c r="D383" s="169" t="s">
        <v>180</v>
      </c>
      <c r="E383" s="169" t="s">
        <v>166</v>
      </c>
      <c r="F383" s="32" t="s">
        <v>164</v>
      </c>
      <c r="G383" s="32">
        <v>58</v>
      </c>
      <c r="H383" s="32" t="s">
        <v>165</v>
      </c>
      <c r="I383" s="32">
        <v>2788</v>
      </c>
      <c r="J383" s="36">
        <v>598.29999999999995</v>
      </c>
      <c r="K383" s="32" t="s">
        <v>4138</v>
      </c>
      <c r="L383" s="169" t="s">
        <v>27</v>
      </c>
      <c r="M383" s="32" t="s">
        <v>224</v>
      </c>
    </row>
    <row r="384" spans="1:13" x14ac:dyDescent="0.25">
      <c r="A384" s="168">
        <v>46190</v>
      </c>
      <c r="B384" s="32">
        <v>1</v>
      </c>
      <c r="C384" s="32" t="s">
        <v>205</v>
      </c>
      <c r="D384" s="169" t="s">
        <v>206</v>
      </c>
      <c r="E384" s="169" t="s">
        <v>276</v>
      </c>
      <c r="F384" s="32" t="s">
        <v>919</v>
      </c>
      <c r="G384" s="32">
        <v>358</v>
      </c>
      <c r="H384" s="32" t="s">
        <v>185</v>
      </c>
      <c r="I384" s="32">
        <v>6324</v>
      </c>
      <c r="J384" s="36">
        <v>7244.77</v>
      </c>
      <c r="K384" s="32" t="s">
        <v>4139</v>
      </c>
      <c r="L384" s="169" t="s">
        <v>4077</v>
      </c>
      <c r="M384" s="32" t="s">
        <v>15</v>
      </c>
    </row>
    <row r="385" spans="1:13" x14ac:dyDescent="0.25">
      <c r="A385" s="168">
        <v>46190</v>
      </c>
      <c r="B385" s="32">
        <v>1</v>
      </c>
      <c r="C385" s="32" t="s">
        <v>183</v>
      </c>
      <c r="D385" s="169" t="s">
        <v>184</v>
      </c>
      <c r="E385" s="169" t="s">
        <v>166</v>
      </c>
      <c r="F385" s="32" t="s">
        <v>111</v>
      </c>
      <c r="G385" s="32">
        <v>79</v>
      </c>
      <c r="H385" s="32" t="s">
        <v>172</v>
      </c>
      <c r="I385" s="32">
        <v>2966</v>
      </c>
      <c r="J385" s="36">
        <v>866.96</v>
      </c>
      <c r="K385" s="32" t="s">
        <v>4140</v>
      </c>
      <c r="L385" s="169" t="s">
        <v>117</v>
      </c>
      <c r="M385" s="32" t="s">
        <v>111</v>
      </c>
    </row>
    <row r="386" spans="1:13" x14ac:dyDescent="0.25">
      <c r="A386" s="168">
        <v>46190</v>
      </c>
      <c r="B386" s="32">
        <v>1</v>
      </c>
      <c r="C386" s="32" t="s">
        <v>183</v>
      </c>
      <c r="D386" s="169" t="s">
        <v>184</v>
      </c>
      <c r="E386" s="169" t="s">
        <v>166</v>
      </c>
      <c r="F386" s="32" t="s">
        <v>1178</v>
      </c>
      <c r="G386" s="32">
        <v>51</v>
      </c>
      <c r="H386" s="32" t="s">
        <v>172</v>
      </c>
      <c r="I386" s="32">
        <v>2762</v>
      </c>
      <c r="J386" s="36">
        <v>521.19000000000005</v>
      </c>
      <c r="K386" s="32" t="s">
        <v>4141</v>
      </c>
      <c r="L386" s="169" t="s">
        <v>3847</v>
      </c>
      <c r="M386" s="32" t="s">
        <v>1178</v>
      </c>
    </row>
    <row r="387" spans="1:13" x14ac:dyDescent="0.25">
      <c r="A387" s="168">
        <v>46190</v>
      </c>
      <c r="B387" s="32">
        <v>1</v>
      </c>
      <c r="C387" s="32" t="s">
        <v>183</v>
      </c>
      <c r="D387" s="169" t="s">
        <v>184</v>
      </c>
      <c r="E387" s="169" t="s">
        <v>163</v>
      </c>
      <c r="F387" s="32" t="s">
        <v>164</v>
      </c>
      <c r="G387" s="32">
        <v>52</v>
      </c>
      <c r="H387" s="32" t="s">
        <v>175</v>
      </c>
      <c r="I387" s="32">
        <v>2797</v>
      </c>
      <c r="J387" s="36">
        <v>538.14</v>
      </c>
      <c r="K387" s="32" t="s">
        <v>4064</v>
      </c>
      <c r="L387" s="169" t="s">
        <v>21</v>
      </c>
      <c r="M387" s="32" t="s">
        <v>224</v>
      </c>
    </row>
    <row r="388" spans="1:13" x14ac:dyDescent="0.25">
      <c r="A388" s="168">
        <v>46190</v>
      </c>
      <c r="B388" s="32">
        <v>1</v>
      </c>
      <c r="C388" s="32" t="s">
        <v>200</v>
      </c>
      <c r="D388" s="169" t="s">
        <v>201</v>
      </c>
      <c r="E388" s="169" t="s">
        <v>190</v>
      </c>
      <c r="F388" s="32" t="s">
        <v>212</v>
      </c>
      <c r="G388" s="32">
        <v>376</v>
      </c>
      <c r="H388" s="32" t="s">
        <v>165</v>
      </c>
      <c r="I388" s="32">
        <v>5198</v>
      </c>
      <c r="J388" s="36">
        <v>6254.23</v>
      </c>
      <c r="K388" s="32" t="s">
        <v>4142</v>
      </c>
      <c r="L388" s="169" t="s">
        <v>22</v>
      </c>
      <c r="M388" s="32" t="s">
        <v>223</v>
      </c>
    </row>
    <row r="389" spans="1:13" x14ac:dyDescent="0.25">
      <c r="A389" s="168">
        <v>46190</v>
      </c>
      <c r="B389" s="32">
        <v>1</v>
      </c>
      <c r="C389" s="32" t="s">
        <v>286</v>
      </c>
      <c r="D389" s="169" t="s">
        <v>506</v>
      </c>
      <c r="E389" s="169" t="s">
        <v>190</v>
      </c>
      <c r="F389" s="32" t="s">
        <v>198</v>
      </c>
      <c r="G389" s="32">
        <v>70</v>
      </c>
      <c r="H389" s="32" t="s">
        <v>165</v>
      </c>
      <c r="I389" s="32">
        <v>476</v>
      </c>
      <c r="J389" s="36">
        <v>1232.8399999999999</v>
      </c>
      <c r="K389" s="32" t="s">
        <v>4143</v>
      </c>
      <c r="L389" s="169" t="s">
        <v>30</v>
      </c>
      <c r="M389" s="32" t="s">
        <v>224</v>
      </c>
    </row>
    <row r="390" spans="1:13" x14ac:dyDescent="0.25">
      <c r="A390" s="168">
        <v>46190</v>
      </c>
      <c r="B390" s="32">
        <v>1</v>
      </c>
      <c r="C390" s="32" t="s">
        <v>208</v>
      </c>
      <c r="D390" s="169" t="s">
        <v>209</v>
      </c>
      <c r="E390" s="169" t="s">
        <v>190</v>
      </c>
      <c r="F390" s="32" t="s">
        <v>212</v>
      </c>
      <c r="G390" s="32">
        <v>376</v>
      </c>
      <c r="H390" s="32" t="s">
        <v>165</v>
      </c>
      <c r="I390" s="32">
        <v>670</v>
      </c>
      <c r="J390" s="36">
        <v>8061.44</v>
      </c>
      <c r="K390" s="32" t="s">
        <v>4144</v>
      </c>
      <c r="L390" s="169" t="s">
        <v>22</v>
      </c>
      <c r="M390" s="32" t="s">
        <v>223</v>
      </c>
    </row>
    <row r="391" spans="1:13" x14ac:dyDescent="0.25">
      <c r="A391" s="168">
        <v>46190</v>
      </c>
      <c r="B391" s="32">
        <v>1</v>
      </c>
      <c r="C391" s="32" t="s">
        <v>219</v>
      </c>
      <c r="D391" s="169" t="s">
        <v>220</v>
      </c>
      <c r="E391" s="169" t="s">
        <v>163</v>
      </c>
      <c r="F391" s="32" t="s">
        <v>164</v>
      </c>
      <c r="G391" s="32">
        <v>52</v>
      </c>
      <c r="H391" s="32" t="s">
        <v>175</v>
      </c>
      <c r="I391" s="32">
        <v>523</v>
      </c>
      <c r="J391" s="36">
        <v>1006.25</v>
      </c>
      <c r="K391" s="32" t="s">
        <v>4145</v>
      </c>
      <c r="L391" s="169" t="s">
        <v>21</v>
      </c>
      <c r="M391" s="32" t="s">
        <v>224</v>
      </c>
    </row>
    <row r="392" spans="1:13" x14ac:dyDescent="0.25">
      <c r="A392" s="168">
        <v>46190</v>
      </c>
      <c r="B392" s="32">
        <v>1</v>
      </c>
      <c r="C392" s="32" t="s">
        <v>219</v>
      </c>
      <c r="D392" s="169" t="s">
        <v>220</v>
      </c>
      <c r="E392" s="169" t="s">
        <v>163</v>
      </c>
      <c r="F392" s="32" t="s">
        <v>164</v>
      </c>
      <c r="G392" s="32">
        <v>52</v>
      </c>
      <c r="H392" s="32" t="s">
        <v>165</v>
      </c>
      <c r="I392" s="32">
        <v>452</v>
      </c>
      <c r="J392" s="36">
        <v>869.65</v>
      </c>
      <c r="K392" s="32" t="s">
        <v>4146</v>
      </c>
      <c r="L392" s="169" t="s">
        <v>31</v>
      </c>
      <c r="M392" s="32" t="s">
        <v>224</v>
      </c>
    </row>
    <row r="393" spans="1:13" x14ac:dyDescent="0.25">
      <c r="A393" s="168">
        <v>46190</v>
      </c>
      <c r="B393" s="32">
        <v>1</v>
      </c>
      <c r="C393" s="32" t="s">
        <v>193</v>
      </c>
      <c r="D393" s="169" t="s">
        <v>285</v>
      </c>
      <c r="E393" s="169" t="s">
        <v>163</v>
      </c>
      <c r="F393" s="32" t="s">
        <v>164</v>
      </c>
      <c r="G393" s="32">
        <v>52</v>
      </c>
      <c r="H393" s="32" t="s">
        <v>165</v>
      </c>
      <c r="I393" s="32">
        <v>2622</v>
      </c>
      <c r="J393" s="36">
        <v>504.47</v>
      </c>
      <c r="K393" s="32" t="s">
        <v>4111</v>
      </c>
      <c r="L393" s="169" t="s">
        <v>31</v>
      </c>
      <c r="M393" s="32" t="s">
        <v>224</v>
      </c>
    </row>
    <row r="394" spans="1:13" x14ac:dyDescent="0.25">
      <c r="A394" s="168">
        <v>46190</v>
      </c>
      <c r="B394" s="32">
        <v>1</v>
      </c>
      <c r="C394" s="32" t="s">
        <v>193</v>
      </c>
      <c r="D394" s="169" t="s">
        <v>285</v>
      </c>
      <c r="E394" s="169" t="s">
        <v>166</v>
      </c>
      <c r="F394" s="32" t="s">
        <v>164</v>
      </c>
      <c r="G394" s="32">
        <v>58</v>
      </c>
      <c r="H394" s="32" t="s">
        <v>165</v>
      </c>
      <c r="I394" s="32">
        <v>2442</v>
      </c>
      <c r="J394" s="36">
        <v>524.04999999999995</v>
      </c>
      <c r="K394" s="32" t="s">
        <v>4147</v>
      </c>
      <c r="L394" s="169" t="s">
        <v>27</v>
      </c>
      <c r="M394" s="32" t="s">
        <v>224</v>
      </c>
    </row>
    <row r="395" spans="1:13" x14ac:dyDescent="0.25">
      <c r="A395" s="168">
        <v>46190</v>
      </c>
      <c r="B395" s="32">
        <v>1</v>
      </c>
      <c r="C395" s="32" t="s">
        <v>196</v>
      </c>
      <c r="D395" s="169" t="s">
        <v>197</v>
      </c>
      <c r="E395" s="169" t="s">
        <v>190</v>
      </c>
      <c r="F395" s="32" t="s">
        <v>212</v>
      </c>
      <c r="G395" s="32">
        <v>376</v>
      </c>
      <c r="H395" s="32" t="s">
        <v>165</v>
      </c>
      <c r="I395" s="32">
        <v>6655</v>
      </c>
      <c r="J395" s="36">
        <v>8007.3</v>
      </c>
      <c r="K395" s="32" t="s">
        <v>4148</v>
      </c>
      <c r="L395" s="169" t="s">
        <v>22</v>
      </c>
      <c r="M395" s="32" t="s">
        <v>223</v>
      </c>
    </row>
    <row r="396" spans="1:13" x14ac:dyDescent="0.25">
      <c r="A396" s="168">
        <v>46190</v>
      </c>
      <c r="B396" s="32">
        <v>1</v>
      </c>
      <c r="C396" s="32" t="s">
        <v>173</v>
      </c>
      <c r="D396" s="169" t="s">
        <v>174</v>
      </c>
      <c r="E396" s="169" t="s">
        <v>166</v>
      </c>
      <c r="F396" s="32" t="s">
        <v>164</v>
      </c>
      <c r="G396" s="32">
        <v>58</v>
      </c>
      <c r="H396" s="32" t="s">
        <v>165</v>
      </c>
      <c r="I396" s="32">
        <v>2616</v>
      </c>
      <c r="J396" s="36">
        <v>561.39</v>
      </c>
      <c r="K396" s="32" t="s">
        <v>4149</v>
      </c>
      <c r="L396" s="169" t="s">
        <v>27</v>
      </c>
      <c r="M396" s="32" t="s">
        <v>224</v>
      </c>
    </row>
    <row r="397" spans="1:13" x14ac:dyDescent="0.25">
      <c r="A397" s="168">
        <v>46190</v>
      </c>
      <c r="B397" s="32">
        <v>1</v>
      </c>
      <c r="C397" s="32" t="s">
        <v>173</v>
      </c>
      <c r="D397" s="169" t="s">
        <v>174</v>
      </c>
      <c r="E397" s="169" t="s">
        <v>166</v>
      </c>
      <c r="F397" s="32" t="s">
        <v>164</v>
      </c>
      <c r="G397" s="32">
        <v>58</v>
      </c>
      <c r="H397" s="32" t="s">
        <v>165</v>
      </c>
      <c r="I397" s="32">
        <v>2474</v>
      </c>
      <c r="J397" s="36">
        <v>530.91999999999996</v>
      </c>
      <c r="K397" s="32" t="s">
        <v>4150</v>
      </c>
      <c r="L397" s="169" t="s">
        <v>27</v>
      </c>
      <c r="M397" s="32" t="s">
        <v>224</v>
      </c>
    </row>
    <row r="398" spans="1:13" x14ac:dyDescent="0.25">
      <c r="A398" s="168">
        <v>46190</v>
      </c>
      <c r="B398" s="32">
        <v>1</v>
      </c>
      <c r="C398" s="32" t="s">
        <v>173</v>
      </c>
      <c r="D398" s="169" t="s">
        <v>174</v>
      </c>
      <c r="E398" s="169" t="s">
        <v>166</v>
      </c>
      <c r="F398" s="32" t="s">
        <v>164</v>
      </c>
      <c r="G398" s="32">
        <v>58</v>
      </c>
      <c r="H398" s="32" t="s">
        <v>165</v>
      </c>
      <c r="I398" s="32">
        <v>2579</v>
      </c>
      <c r="J398" s="36">
        <v>553.45000000000005</v>
      </c>
      <c r="K398" s="32" t="s">
        <v>4151</v>
      </c>
      <c r="L398" s="169" t="s">
        <v>27</v>
      </c>
      <c r="M398" s="32" t="s">
        <v>224</v>
      </c>
    </row>
    <row r="399" spans="1:13" x14ac:dyDescent="0.25">
      <c r="A399" s="168">
        <v>46190</v>
      </c>
      <c r="B399" s="32">
        <v>1</v>
      </c>
      <c r="C399" s="32" t="s">
        <v>173</v>
      </c>
      <c r="D399" s="169" t="s">
        <v>174</v>
      </c>
      <c r="E399" s="169" t="s">
        <v>166</v>
      </c>
      <c r="F399" s="32" t="s">
        <v>164</v>
      </c>
      <c r="G399" s="32">
        <v>58</v>
      </c>
      <c r="H399" s="32" t="s">
        <v>175</v>
      </c>
      <c r="I399" s="32">
        <v>2872</v>
      </c>
      <c r="J399" s="36">
        <v>616.33000000000004</v>
      </c>
      <c r="K399" s="32" t="s">
        <v>4152</v>
      </c>
      <c r="L399" s="169" t="s">
        <v>86</v>
      </c>
      <c r="M399" s="32" t="s">
        <v>224</v>
      </c>
    </row>
    <row r="400" spans="1:13" x14ac:dyDescent="0.25">
      <c r="A400" s="168">
        <v>46190</v>
      </c>
      <c r="B400" s="32">
        <v>1</v>
      </c>
      <c r="C400" s="32" t="s">
        <v>179</v>
      </c>
      <c r="D400" s="169" t="s">
        <v>2863</v>
      </c>
      <c r="E400" s="169" t="s">
        <v>166</v>
      </c>
      <c r="F400" s="32" t="s">
        <v>164</v>
      </c>
      <c r="G400" s="32">
        <v>58</v>
      </c>
      <c r="H400" s="32" t="s">
        <v>175</v>
      </c>
      <c r="I400" s="32">
        <v>280</v>
      </c>
      <c r="J400" s="36">
        <v>600.88</v>
      </c>
      <c r="K400" s="32" t="s">
        <v>4153</v>
      </c>
      <c r="L400" s="169" t="s">
        <v>86</v>
      </c>
      <c r="M400" s="32" t="s">
        <v>224</v>
      </c>
    </row>
    <row r="401" spans="1:13" x14ac:dyDescent="0.25">
      <c r="A401" s="168">
        <v>46190</v>
      </c>
      <c r="B401" s="32">
        <v>1</v>
      </c>
      <c r="C401" s="32" t="s">
        <v>179</v>
      </c>
      <c r="D401" s="169" t="s">
        <v>2863</v>
      </c>
      <c r="E401" s="169" t="s">
        <v>166</v>
      </c>
      <c r="F401" s="32" t="s">
        <v>164</v>
      </c>
      <c r="G401" s="32">
        <v>58</v>
      </c>
      <c r="H401" s="32" t="s">
        <v>175</v>
      </c>
      <c r="I401" s="32">
        <v>2812</v>
      </c>
      <c r="J401" s="36">
        <v>603.46</v>
      </c>
      <c r="K401" s="32" t="s">
        <v>4154</v>
      </c>
      <c r="L401" s="169" t="s">
        <v>86</v>
      </c>
      <c r="M401" s="32" t="s">
        <v>224</v>
      </c>
    </row>
    <row r="402" spans="1:13" x14ac:dyDescent="0.25">
      <c r="A402" s="168">
        <v>46190</v>
      </c>
      <c r="B402" s="32">
        <v>1</v>
      </c>
      <c r="C402" s="32" t="s">
        <v>179</v>
      </c>
      <c r="D402" s="169" t="s">
        <v>2863</v>
      </c>
      <c r="E402" s="169" t="s">
        <v>166</v>
      </c>
      <c r="F402" s="32" t="s">
        <v>164</v>
      </c>
      <c r="G402" s="32">
        <v>58</v>
      </c>
      <c r="H402" s="32" t="s">
        <v>175</v>
      </c>
      <c r="I402" s="32">
        <v>2952</v>
      </c>
      <c r="J402" s="36">
        <v>633.5</v>
      </c>
      <c r="K402" s="32" t="s">
        <v>4155</v>
      </c>
      <c r="L402" s="169" t="s">
        <v>86</v>
      </c>
      <c r="M402" s="32" t="s">
        <v>224</v>
      </c>
    </row>
    <row r="403" spans="1:13" x14ac:dyDescent="0.25">
      <c r="A403" s="168">
        <v>46190</v>
      </c>
      <c r="B403" s="32">
        <v>1</v>
      </c>
      <c r="C403" s="32" t="s">
        <v>210</v>
      </c>
      <c r="D403" s="169" t="s">
        <v>211</v>
      </c>
      <c r="E403" s="169" t="s">
        <v>190</v>
      </c>
      <c r="F403" s="32" t="s">
        <v>212</v>
      </c>
      <c r="G403" s="32">
        <v>376</v>
      </c>
      <c r="H403" s="32" t="s">
        <v>165</v>
      </c>
      <c r="I403" s="32">
        <v>6096</v>
      </c>
      <c r="J403" s="36">
        <v>7334.71</v>
      </c>
      <c r="K403" s="32" t="s">
        <v>4156</v>
      </c>
      <c r="L403" s="169" t="s">
        <v>22</v>
      </c>
      <c r="M403" s="32" t="s">
        <v>223</v>
      </c>
    </row>
    <row r="404" spans="1:13" x14ac:dyDescent="0.25">
      <c r="A404" s="168">
        <v>46190</v>
      </c>
      <c r="B404" s="32">
        <v>1</v>
      </c>
      <c r="C404" s="32" t="s">
        <v>1948</v>
      </c>
      <c r="D404" s="169" t="s">
        <v>1949</v>
      </c>
      <c r="E404" s="169" t="s">
        <v>190</v>
      </c>
      <c r="F404" s="32" t="s">
        <v>212</v>
      </c>
      <c r="G404" s="32">
        <v>376</v>
      </c>
      <c r="H404" s="32" t="s">
        <v>165</v>
      </c>
      <c r="I404" s="32">
        <v>519</v>
      </c>
      <c r="J404" s="36">
        <v>6244.61</v>
      </c>
      <c r="K404" s="32" t="s">
        <v>4157</v>
      </c>
      <c r="L404" s="169" t="s">
        <v>22</v>
      </c>
      <c r="M404" s="32" t="s">
        <v>223</v>
      </c>
    </row>
    <row r="405" spans="1:13" x14ac:dyDescent="0.25">
      <c r="A405" s="168">
        <v>46191</v>
      </c>
      <c r="B405" s="32">
        <v>1</v>
      </c>
      <c r="C405" s="32" t="s">
        <v>203</v>
      </c>
      <c r="D405" s="169" t="s">
        <v>204</v>
      </c>
      <c r="E405" s="169" t="s">
        <v>190</v>
      </c>
      <c r="F405" s="32" t="s">
        <v>212</v>
      </c>
      <c r="G405" s="32">
        <v>376</v>
      </c>
      <c r="H405" s="32" t="s">
        <v>165</v>
      </c>
      <c r="I405" s="32">
        <v>546</v>
      </c>
      <c r="J405" s="36">
        <v>6569.47</v>
      </c>
      <c r="K405" s="32" t="s">
        <v>4158</v>
      </c>
      <c r="L405" s="169" t="s">
        <v>22</v>
      </c>
      <c r="M405" s="32" t="s">
        <v>223</v>
      </c>
    </row>
    <row r="406" spans="1:13" x14ac:dyDescent="0.25">
      <c r="A406" s="168">
        <v>46191</v>
      </c>
      <c r="B406" s="32">
        <v>1</v>
      </c>
      <c r="C406" s="32" t="s">
        <v>192</v>
      </c>
      <c r="D406" s="169" t="s">
        <v>287</v>
      </c>
      <c r="E406" s="169" t="s">
        <v>163</v>
      </c>
      <c r="F406" s="32" t="s">
        <v>164</v>
      </c>
      <c r="G406" s="32">
        <v>52</v>
      </c>
      <c r="H406" s="32" t="s">
        <v>165</v>
      </c>
      <c r="I406" s="32">
        <v>6501</v>
      </c>
      <c r="J406" s="36">
        <v>1250.79</v>
      </c>
      <c r="K406" s="32" t="s">
        <v>4159</v>
      </c>
      <c r="L406" s="169" t="s">
        <v>31</v>
      </c>
      <c r="M406" s="32" t="s">
        <v>224</v>
      </c>
    </row>
    <row r="407" spans="1:13" x14ac:dyDescent="0.25">
      <c r="A407" s="168">
        <v>46191</v>
      </c>
      <c r="B407" s="32">
        <v>1</v>
      </c>
      <c r="C407" s="32" t="s">
        <v>167</v>
      </c>
      <c r="D407" s="169" t="s">
        <v>168</v>
      </c>
      <c r="E407" s="169" t="s">
        <v>163</v>
      </c>
      <c r="F407" s="32" t="s">
        <v>164</v>
      </c>
      <c r="G407" s="32">
        <v>52</v>
      </c>
      <c r="H407" s="32" t="s">
        <v>175</v>
      </c>
      <c r="I407" s="32">
        <v>2658</v>
      </c>
      <c r="J407" s="36">
        <v>511.4</v>
      </c>
      <c r="K407" s="32" t="s">
        <v>4160</v>
      </c>
      <c r="L407" s="169" t="s">
        <v>21</v>
      </c>
      <c r="M407" s="32" t="s">
        <v>224</v>
      </c>
    </row>
    <row r="408" spans="1:13" x14ac:dyDescent="0.25">
      <c r="A408" s="168">
        <v>46191</v>
      </c>
      <c r="B408" s="32">
        <v>1</v>
      </c>
      <c r="C408" s="32" t="s">
        <v>167</v>
      </c>
      <c r="D408" s="169" t="s">
        <v>168</v>
      </c>
      <c r="E408" s="169" t="s">
        <v>166</v>
      </c>
      <c r="F408" s="32" t="s">
        <v>111</v>
      </c>
      <c r="G408" s="32">
        <v>79</v>
      </c>
      <c r="H408" s="32" t="s">
        <v>169</v>
      </c>
      <c r="I408" s="32">
        <v>2642</v>
      </c>
      <c r="J408" s="36">
        <v>772.26</v>
      </c>
      <c r="K408" s="32" t="s">
        <v>4161</v>
      </c>
      <c r="L408" s="169" t="s">
        <v>116</v>
      </c>
      <c r="M408" s="32" t="s">
        <v>111</v>
      </c>
    </row>
    <row r="409" spans="1:13" x14ac:dyDescent="0.25">
      <c r="A409" s="168">
        <v>46191</v>
      </c>
      <c r="B409" s="32">
        <v>1</v>
      </c>
      <c r="C409" s="32" t="s">
        <v>283</v>
      </c>
      <c r="D409" s="169" t="s">
        <v>282</v>
      </c>
      <c r="E409" s="169" t="s">
        <v>166</v>
      </c>
      <c r="F409" s="32" t="s">
        <v>1178</v>
      </c>
      <c r="G409" s="32">
        <v>51</v>
      </c>
      <c r="H409" s="32" t="s">
        <v>169</v>
      </c>
      <c r="I409" s="32">
        <v>2734</v>
      </c>
      <c r="J409" s="36">
        <v>515.91</v>
      </c>
      <c r="K409" s="32" t="s">
        <v>4162</v>
      </c>
      <c r="L409" s="169" t="s">
        <v>3744</v>
      </c>
      <c r="M409" s="32" t="s">
        <v>1178</v>
      </c>
    </row>
    <row r="410" spans="1:13" x14ac:dyDescent="0.25">
      <c r="A410" s="168">
        <v>46191</v>
      </c>
      <c r="B410" s="32">
        <v>1</v>
      </c>
      <c r="C410" s="32" t="s">
        <v>270</v>
      </c>
      <c r="D410" s="169" t="s">
        <v>288</v>
      </c>
      <c r="E410" s="169" t="s">
        <v>3980</v>
      </c>
      <c r="F410" s="32" t="s">
        <v>2868</v>
      </c>
      <c r="G410" s="32">
        <v>550</v>
      </c>
      <c r="H410" s="32" t="s">
        <v>3981</v>
      </c>
      <c r="I410" s="32">
        <v>1458</v>
      </c>
      <c r="J410" s="36">
        <v>2566.08</v>
      </c>
      <c r="K410" s="32" t="s">
        <v>4163</v>
      </c>
      <c r="L410" s="169" t="s">
        <v>3983</v>
      </c>
      <c r="M410" s="32" t="s">
        <v>157</v>
      </c>
    </row>
    <row r="411" spans="1:13" x14ac:dyDescent="0.25">
      <c r="A411" s="168">
        <v>46191</v>
      </c>
      <c r="B411" s="32">
        <v>1</v>
      </c>
      <c r="C411" s="32" t="s">
        <v>167</v>
      </c>
      <c r="D411" s="169" t="s">
        <v>168</v>
      </c>
      <c r="E411" s="169" t="s">
        <v>166</v>
      </c>
      <c r="F411" s="32" t="s">
        <v>111</v>
      </c>
      <c r="G411" s="32">
        <v>79</v>
      </c>
      <c r="H411" s="32" t="s">
        <v>169</v>
      </c>
      <c r="I411" s="32">
        <v>2644</v>
      </c>
      <c r="J411" s="36">
        <v>772.84</v>
      </c>
      <c r="K411" s="32" t="s">
        <v>4164</v>
      </c>
      <c r="L411" s="169" t="s">
        <v>116</v>
      </c>
      <c r="M411" s="32" t="s">
        <v>111</v>
      </c>
    </row>
    <row r="412" spans="1:13" x14ac:dyDescent="0.25">
      <c r="A412" s="168">
        <v>46191</v>
      </c>
      <c r="B412" s="32">
        <v>1</v>
      </c>
      <c r="C412" s="32" t="s">
        <v>188</v>
      </c>
      <c r="D412" s="169" t="s">
        <v>189</v>
      </c>
      <c r="E412" s="169" t="s">
        <v>190</v>
      </c>
      <c r="F412" s="32" t="s">
        <v>4065</v>
      </c>
      <c r="G412" s="32">
        <v>304</v>
      </c>
      <c r="H412" s="32" t="s">
        <v>165</v>
      </c>
      <c r="I412" s="32">
        <v>6302</v>
      </c>
      <c r="J412" s="36">
        <v>6130.59</v>
      </c>
      <c r="K412" s="32" t="s">
        <v>4165</v>
      </c>
      <c r="L412" s="169" t="s">
        <v>4067</v>
      </c>
      <c r="M412" s="32" t="s">
        <v>223</v>
      </c>
    </row>
    <row r="413" spans="1:13" x14ac:dyDescent="0.25">
      <c r="A413" s="168">
        <v>46191</v>
      </c>
      <c r="B413" s="32">
        <v>1</v>
      </c>
      <c r="C413" s="32" t="s">
        <v>2866</v>
      </c>
      <c r="D413" s="169" t="s">
        <v>281</v>
      </c>
      <c r="E413" s="169" t="s">
        <v>166</v>
      </c>
      <c r="F413" s="32" t="s">
        <v>164</v>
      </c>
      <c r="G413" s="32">
        <v>58</v>
      </c>
      <c r="H413" s="32" t="s">
        <v>165</v>
      </c>
      <c r="I413" s="32">
        <v>2686</v>
      </c>
      <c r="J413" s="36">
        <v>576.41999999999996</v>
      </c>
      <c r="K413" s="32" t="s">
        <v>4166</v>
      </c>
      <c r="L413" s="169" t="s">
        <v>27</v>
      </c>
      <c r="M413" s="32" t="s">
        <v>224</v>
      </c>
    </row>
    <row r="414" spans="1:13" x14ac:dyDescent="0.25">
      <c r="A414" s="168">
        <v>46191</v>
      </c>
      <c r="B414" s="32">
        <v>1</v>
      </c>
      <c r="C414" s="32" t="s">
        <v>342</v>
      </c>
      <c r="D414" s="169" t="s">
        <v>171</v>
      </c>
      <c r="E414" s="169" t="s">
        <v>163</v>
      </c>
      <c r="F414" s="32" t="s">
        <v>164</v>
      </c>
      <c r="G414" s="32">
        <v>52</v>
      </c>
      <c r="H414" s="32" t="s">
        <v>185</v>
      </c>
      <c r="I414" s="32">
        <v>4592</v>
      </c>
      <c r="J414" s="36">
        <v>883.5</v>
      </c>
      <c r="K414" s="32" t="s">
        <v>4167</v>
      </c>
      <c r="L414" s="169" t="s">
        <v>20</v>
      </c>
      <c r="M414" s="32" t="s">
        <v>224</v>
      </c>
    </row>
    <row r="415" spans="1:13" x14ac:dyDescent="0.25">
      <c r="A415" s="168">
        <v>46191</v>
      </c>
      <c r="B415" s="32">
        <v>1</v>
      </c>
      <c r="C415" s="32" t="s">
        <v>219</v>
      </c>
      <c r="D415" s="169" t="s">
        <v>220</v>
      </c>
      <c r="E415" s="169" t="s">
        <v>163</v>
      </c>
      <c r="F415" s="32" t="s">
        <v>164</v>
      </c>
      <c r="G415" s="32">
        <v>52</v>
      </c>
      <c r="H415" s="32" t="s">
        <v>175</v>
      </c>
      <c r="I415" s="32">
        <v>785</v>
      </c>
      <c r="J415" s="36">
        <v>1510.34</v>
      </c>
      <c r="K415" s="32" t="s">
        <v>452</v>
      </c>
      <c r="L415" s="169" t="s">
        <v>21</v>
      </c>
      <c r="M415" s="32" t="s">
        <v>224</v>
      </c>
    </row>
    <row r="416" spans="1:13" x14ac:dyDescent="0.25">
      <c r="A416" s="168">
        <v>46191</v>
      </c>
      <c r="B416" s="32">
        <v>1</v>
      </c>
      <c r="C416" s="32" t="s">
        <v>173</v>
      </c>
      <c r="D416" s="169" t="s">
        <v>174</v>
      </c>
      <c r="E416" s="169" t="s">
        <v>166</v>
      </c>
      <c r="F416" s="32" t="s">
        <v>111</v>
      </c>
      <c r="G416" s="32">
        <v>79</v>
      </c>
      <c r="H416" s="32" t="s">
        <v>169</v>
      </c>
      <c r="I416" s="32">
        <v>254</v>
      </c>
      <c r="J416" s="36">
        <v>742.44</v>
      </c>
      <c r="K416" s="32" t="s">
        <v>4168</v>
      </c>
      <c r="L416" s="169" t="s">
        <v>116</v>
      </c>
      <c r="M416" s="32" t="s">
        <v>111</v>
      </c>
    </row>
    <row r="417" spans="1:13" x14ac:dyDescent="0.25">
      <c r="A417" s="168">
        <v>46191</v>
      </c>
      <c r="B417" s="32">
        <v>1</v>
      </c>
      <c r="C417" s="32" t="s">
        <v>173</v>
      </c>
      <c r="D417" s="169" t="s">
        <v>174</v>
      </c>
      <c r="E417" s="169" t="s">
        <v>166</v>
      </c>
      <c r="F417" s="32" t="s">
        <v>111</v>
      </c>
      <c r="G417" s="32">
        <v>79</v>
      </c>
      <c r="H417" s="32" t="s">
        <v>169</v>
      </c>
      <c r="I417" s="32">
        <v>2542</v>
      </c>
      <c r="J417" s="36">
        <v>743.03</v>
      </c>
      <c r="K417" s="32" t="s">
        <v>4169</v>
      </c>
      <c r="L417" s="169" t="s">
        <v>116</v>
      </c>
      <c r="M417" s="32" t="s">
        <v>111</v>
      </c>
    </row>
    <row r="418" spans="1:13" x14ac:dyDescent="0.25">
      <c r="A418" s="168">
        <v>46191</v>
      </c>
      <c r="B418" s="32">
        <v>1</v>
      </c>
      <c r="C418" s="32" t="s">
        <v>192</v>
      </c>
      <c r="D418" s="169" t="s">
        <v>287</v>
      </c>
      <c r="E418" s="169" t="s">
        <v>163</v>
      </c>
      <c r="F418" s="32" t="s">
        <v>164</v>
      </c>
      <c r="G418" s="32">
        <v>52</v>
      </c>
      <c r="H418" s="32" t="s">
        <v>165</v>
      </c>
      <c r="I418" s="32">
        <v>4664</v>
      </c>
      <c r="J418" s="36">
        <v>897.35</v>
      </c>
      <c r="K418" s="32" t="s">
        <v>4170</v>
      </c>
      <c r="L418" s="169" t="s">
        <v>31</v>
      </c>
      <c r="M418" s="32" t="s">
        <v>224</v>
      </c>
    </row>
    <row r="419" spans="1:13" x14ac:dyDescent="0.25">
      <c r="A419" s="168">
        <v>46191</v>
      </c>
      <c r="B419" s="32">
        <v>1</v>
      </c>
      <c r="C419" s="32" t="s">
        <v>181</v>
      </c>
      <c r="D419" s="169" t="s">
        <v>182</v>
      </c>
      <c r="E419" s="169" t="s">
        <v>166</v>
      </c>
      <c r="F419" s="32" t="s">
        <v>111</v>
      </c>
      <c r="G419" s="32">
        <v>79</v>
      </c>
      <c r="H419" s="32" t="s">
        <v>169</v>
      </c>
      <c r="I419" s="32">
        <v>2536</v>
      </c>
      <c r="J419" s="36">
        <v>741.27</v>
      </c>
      <c r="K419" s="32" t="s">
        <v>4171</v>
      </c>
      <c r="L419" s="169" t="s">
        <v>116</v>
      </c>
      <c r="M419" s="32" t="s">
        <v>111</v>
      </c>
    </row>
    <row r="420" spans="1:13" x14ac:dyDescent="0.25">
      <c r="A420" s="168">
        <v>46191</v>
      </c>
      <c r="B420" s="32">
        <v>1</v>
      </c>
      <c r="C420" s="32" t="s">
        <v>283</v>
      </c>
      <c r="D420" s="169" t="s">
        <v>282</v>
      </c>
      <c r="E420" s="169" t="s">
        <v>166</v>
      </c>
      <c r="F420" s="32" t="s">
        <v>1178</v>
      </c>
      <c r="G420" s="32">
        <v>51</v>
      </c>
      <c r="H420" s="32" t="s">
        <v>169</v>
      </c>
      <c r="I420" s="32">
        <v>2753</v>
      </c>
      <c r="J420" s="36">
        <v>519.49</v>
      </c>
      <c r="K420" s="32" t="s">
        <v>4172</v>
      </c>
      <c r="L420" s="169" t="s">
        <v>3744</v>
      </c>
      <c r="M420" s="32" t="s">
        <v>1178</v>
      </c>
    </row>
    <row r="421" spans="1:13" x14ac:dyDescent="0.25">
      <c r="A421" s="168">
        <v>46191</v>
      </c>
      <c r="B421" s="32">
        <v>1</v>
      </c>
      <c r="C421" s="32" t="s">
        <v>202</v>
      </c>
      <c r="D421" s="169" t="s">
        <v>214</v>
      </c>
      <c r="E421" s="169" t="s">
        <v>190</v>
      </c>
      <c r="F421" s="32" t="s">
        <v>212</v>
      </c>
      <c r="G421" s="32">
        <v>376</v>
      </c>
      <c r="H421" s="32" t="s">
        <v>165</v>
      </c>
      <c r="I421" s="32">
        <v>665</v>
      </c>
      <c r="J421" s="36">
        <v>8001.28</v>
      </c>
      <c r="K421" s="32" t="s">
        <v>4173</v>
      </c>
      <c r="L421" s="169" t="s">
        <v>22</v>
      </c>
      <c r="M421" s="32" t="s">
        <v>223</v>
      </c>
    </row>
    <row r="422" spans="1:13" x14ac:dyDescent="0.25">
      <c r="A422" s="168">
        <v>46191</v>
      </c>
      <c r="B422" s="32">
        <v>1</v>
      </c>
      <c r="C422" s="32" t="s">
        <v>183</v>
      </c>
      <c r="D422" s="169" t="s">
        <v>184</v>
      </c>
      <c r="E422" s="169" t="s">
        <v>166</v>
      </c>
      <c r="F422" s="32" t="s">
        <v>111</v>
      </c>
      <c r="G422" s="32">
        <v>79</v>
      </c>
      <c r="H422" s="32" t="s">
        <v>169</v>
      </c>
      <c r="I422" s="32">
        <v>273</v>
      </c>
      <c r="J422" s="36">
        <v>797.98</v>
      </c>
      <c r="K422" s="32" t="s">
        <v>4174</v>
      </c>
      <c r="L422" s="169" t="s">
        <v>116</v>
      </c>
      <c r="M422" s="32" t="s">
        <v>111</v>
      </c>
    </row>
    <row r="423" spans="1:13" x14ac:dyDescent="0.25">
      <c r="A423" s="168">
        <v>46191</v>
      </c>
      <c r="B423" s="32">
        <v>1</v>
      </c>
      <c r="C423" s="32" t="s">
        <v>183</v>
      </c>
      <c r="D423" s="169" t="s">
        <v>184</v>
      </c>
      <c r="E423" s="169" t="s">
        <v>163</v>
      </c>
      <c r="F423" s="32" t="s">
        <v>164</v>
      </c>
      <c r="G423" s="32">
        <v>52</v>
      </c>
      <c r="H423" s="32" t="s">
        <v>175</v>
      </c>
      <c r="I423" s="32">
        <v>2797</v>
      </c>
      <c r="J423" s="36">
        <v>538.14</v>
      </c>
      <c r="K423" s="32" t="s">
        <v>4064</v>
      </c>
      <c r="L423" s="169" t="s">
        <v>21</v>
      </c>
      <c r="M423" s="32" t="s">
        <v>224</v>
      </c>
    </row>
    <row r="424" spans="1:13" x14ac:dyDescent="0.25">
      <c r="A424" s="168">
        <v>46191</v>
      </c>
      <c r="B424" s="32">
        <v>1</v>
      </c>
      <c r="C424" s="32" t="s">
        <v>286</v>
      </c>
      <c r="D424" s="169" t="s">
        <v>506</v>
      </c>
      <c r="E424" s="169" t="s">
        <v>166</v>
      </c>
      <c r="F424" s="32" t="s">
        <v>164</v>
      </c>
      <c r="G424" s="32">
        <v>58</v>
      </c>
      <c r="H424" s="32" t="s">
        <v>165</v>
      </c>
      <c r="I424" s="32">
        <v>447</v>
      </c>
      <c r="J424" s="36">
        <v>959.26</v>
      </c>
      <c r="K424" s="32" t="s">
        <v>4175</v>
      </c>
      <c r="L424" s="169" t="s">
        <v>27</v>
      </c>
      <c r="M424" s="32" t="s">
        <v>224</v>
      </c>
    </row>
    <row r="425" spans="1:13" x14ac:dyDescent="0.25">
      <c r="A425" s="168">
        <v>46191</v>
      </c>
      <c r="B425" s="32">
        <v>1</v>
      </c>
      <c r="C425" s="32" t="s">
        <v>173</v>
      </c>
      <c r="D425" s="169" t="s">
        <v>174</v>
      </c>
      <c r="E425" s="169" t="s">
        <v>166</v>
      </c>
      <c r="F425" s="32" t="s">
        <v>111</v>
      </c>
      <c r="G425" s="32">
        <v>79</v>
      </c>
      <c r="H425" s="32" t="s">
        <v>169</v>
      </c>
      <c r="I425" s="32">
        <v>2504</v>
      </c>
      <c r="J425" s="36">
        <v>731.92</v>
      </c>
      <c r="K425" s="32" t="s">
        <v>4176</v>
      </c>
      <c r="L425" s="169" t="s">
        <v>116</v>
      </c>
      <c r="M425" s="32" t="s">
        <v>111</v>
      </c>
    </row>
    <row r="426" spans="1:13" x14ac:dyDescent="0.25">
      <c r="A426" s="168">
        <v>46191</v>
      </c>
      <c r="B426" s="32">
        <v>1</v>
      </c>
      <c r="C426" s="32" t="s">
        <v>173</v>
      </c>
      <c r="D426" s="169" t="s">
        <v>174</v>
      </c>
      <c r="E426" s="169" t="s">
        <v>166</v>
      </c>
      <c r="F426" s="32" t="s">
        <v>111</v>
      </c>
      <c r="G426" s="32">
        <v>79</v>
      </c>
      <c r="H426" s="32" t="s">
        <v>169</v>
      </c>
      <c r="I426" s="32">
        <v>2576</v>
      </c>
      <c r="J426" s="36">
        <v>752.96</v>
      </c>
      <c r="K426" s="32" t="s">
        <v>4177</v>
      </c>
      <c r="L426" s="169" t="s">
        <v>116</v>
      </c>
      <c r="M426" s="32" t="s">
        <v>111</v>
      </c>
    </row>
    <row r="427" spans="1:13" x14ac:dyDescent="0.25">
      <c r="A427" s="168">
        <v>46191</v>
      </c>
      <c r="B427" s="32">
        <v>1</v>
      </c>
      <c r="C427" s="32" t="s">
        <v>193</v>
      </c>
      <c r="D427" s="169" t="s">
        <v>285</v>
      </c>
      <c r="E427" s="169" t="s">
        <v>166</v>
      </c>
      <c r="F427" s="32" t="s">
        <v>111</v>
      </c>
      <c r="G427" s="32">
        <v>79</v>
      </c>
      <c r="H427" s="32" t="s">
        <v>169</v>
      </c>
      <c r="I427" s="32">
        <v>287</v>
      </c>
      <c r="J427" s="36">
        <v>838.9</v>
      </c>
      <c r="K427" s="32" t="s">
        <v>4178</v>
      </c>
      <c r="L427" s="169" t="s">
        <v>116</v>
      </c>
      <c r="M427" s="32" t="s">
        <v>111</v>
      </c>
    </row>
    <row r="428" spans="1:13" x14ac:dyDescent="0.25">
      <c r="A428" s="168">
        <v>46191</v>
      </c>
      <c r="B428" s="32">
        <v>1</v>
      </c>
      <c r="C428" s="32" t="s">
        <v>193</v>
      </c>
      <c r="D428" s="169" t="s">
        <v>285</v>
      </c>
      <c r="E428" s="169" t="s">
        <v>166</v>
      </c>
      <c r="F428" s="32" t="s">
        <v>111</v>
      </c>
      <c r="G428" s="32">
        <v>79</v>
      </c>
      <c r="H428" s="32" t="s">
        <v>169</v>
      </c>
      <c r="I428" s="32">
        <v>2884</v>
      </c>
      <c r="J428" s="36">
        <v>842.99</v>
      </c>
      <c r="K428" s="32" t="s">
        <v>4179</v>
      </c>
      <c r="L428" s="169" t="s">
        <v>116</v>
      </c>
      <c r="M428" s="32" t="s">
        <v>111</v>
      </c>
    </row>
    <row r="429" spans="1:13" x14ac:dyDescent="0.25">
      <c r="A429" s="168">
        <v>46191</v>
      </c>
      <c r="B429" s="32">
        <v>1</v>
      </c>
      <c r="C429" s="32" t="s">
        <v>205</v>
      </c>
      <c r="D429" s="169" t="s">
        <v>206</v>
      </c>
      <c r="E429" s="169" t="s">
        <v>2757</v>
      </c>
      <c r="F429" s="32" t="s">
        <v>2758</v>
      </c>
      <c r="G429" s="32">
        <v>200</v>
      </c>
      <c r="H429" s="32" t="s">
        <v>185</v>
      </c>
      <c r="I429" s="32">
        <v>480</v>
      </c>
      <c r="J429" s="36">
        <v>3072</v>
      </c>
      <c r="K429" s="32" t="s">
        <v>4180</v>
      </c>
      <c r="L429" s="169" t="s">
        <v>4181</v>
      </c>
      <c r="M429" s="32" t="s">
        <v>15</v>
      </c>
    </row>
    <row r="430" spans="1:13" x14ac:dyDescent="0.25">
      <c r="A430" s="168">
        <v>46191</v>
      </c>
      <c r="B430" s="32">
        <v>1</v>
      </c>
      <c r="C430" s="32" t="s">
        <v>219</v>
      </c>
      <c r="D430" s="169" t="s">
        <v>220</v>
      </c>
      <c r="E430" s="169" t="s">
        <v>163</v>
      </c>
      <c r="F430" s="32" t="s">
        <v>164</v>
      </c>
      <c r="G430" s="32">
        <v>52</v>
      </c>
      <c r="H430" s="32" t="s">
        <v>175</v>
      </c>
      <c r="I430" s="32">
        <v>545</v>
      </c>
      <c r="J430" s="36">
        <v>1048.58</v>
      </c>
      <c r="K430" s="32" t="s">
        <v>4182</v>
      </c>
      <c r="L430" s="169" t="s">
        <v>21</v>
      </c>
      <c r="M430" s="32" t="s">
        <v>224</v>
      </c>
    </row>
    <row r="431" spans="1:13" x14ac:dyDescent="0.25">
      <c r="A431" s="168">
        <v>46191</v>
      </c>
      <c r="B431" s="32">
        <v>1</v>
      </c>
      <c r="C431" s="32" t="s">
        <v>1129</v>
      </c>
      <c r="D431" s="169" t="s">
        <v>2396</v>
      </c>
      <c r="E431" s="169" t="s">
        <v>166</v>
      </c>
      <c r="F431" s="32" t="s">
        <v>164</v>
      </c>
      <c r="G431" s="32">
        <v>58</v>
      </c>
      <c r="H431" s="32" t="s">
        <v>165</v>
      </c>
      <c r="I431" s="32">
        <v>2704</v>
      </c>
      <c r="J431" s="36">
        <v>580.28</v>
      </c>
      <c r="K431" s="32" t="s">
        <v>4183</v>
      </c>
      <c r="L431" s="169" t="s">
        <v>27</v>
      </c>
      <c r="M431" s="32" t="s">
        <v>224</v>
      </c>
    </row>
    <row r="432" spans="1:13" x14ac:dyDescent="0.25">
      <c r="A432" s="168">
        <v>46191</v>
      </c>
      <c r="B432" s="32">
        <v>1</v>
      </c>
      <c r="C432" s="32" t="s">
        <v>1129</v>
      </c>
      <c r="D432" s="169" t="s">
        <v>2396</v>
      </c>
      <c r="E432" s="169" t="s">
        <v>166</v>
      </c>
      <c r="F432" s="32" t="s">
        <v>164</v>
      </c>
      <c r="G432" s="32">
        <v>58</v>
      </c>
      <c r="H432" s="32" t="s">
        <v>165</v>
      </c>
      <c r="I432" s="32">
        <v>2668</v>
      </c>
      <c r="J432" s="36">
        <v>572.54999999999995</v>
      </c>
      <c r="K432" s="32" t="s">
        <v>4184</v>
      </c>
      <c r="L432" s="169" t="s">
        <v>27</v>
      </c>
      <c r="M432" s="32" t="s">
        <v>224</v>
      </c>
    </row>
    <row r="433" spans="1:13" x14ac:dyDescent="0.25">
      <c r="A433" s="168">
        <v>46191</v>
      </c>
      <c r="B433" s="32">
        <v>1</v>
      </c>
      <c r="C433" s="32" t="s">
        <v>186</v>
      </c>
      <c r="D433" s="169" t="s">
        <v>187</v>
      </c>
      <c r="E433" s="169" t="s">
        <v>291</v>
      </c>
      <c r="F433" s="32" t="s">
        <v>2087</v>
      </c>
      <c r="G433" s="32">
        <v>200</v>
      </c>
      <c r="H433" s="32" t="s">
        <v>207</v>
      </c>
      <c r="I433" s="32">
        <v>5718</v>
      </c>
      <c r="J433" s="36">
        <v>4231.32</v>
      </c>
      <c r="K433" s="32" t="s">
        <v>4185</v>
      </c>
      <c r="L433" s="169" t="s">
        <v>4186</v>
      </c>
      <c r="M433" s="32" t="s">
        <v>15</v>
      </c>
    </row>
    <row r="434" spans="1:13" x14ac:dyDescent="0.25">
      <c r="A434" s="168">
        <v>46191</v>
      </c>
      <c r="B434" s="32">
        <v>1</v>
      </c>
      <c r="C434" s="32" t="s">
        <v>179</v>
      </c>
      <c r="D434" s="169" t="s">
        <v>2863</v>
      </c>
      <c r="E434" s="169" t="s">
        <v>166</v>
      </c>
      <c r="F434" s="32" t="s">
        <v>111</v>
      </c>
      <c r="G434" s="32">
        <v>79</v>
      </c>
      <c r="H434" s="32" t="s">
        <v>169</v>
      </c>
      <c r="I434" s="32">
        <v>2742</v>
      </c>
      <c r="J434" s="36">
        <v>801.49</v>
      </c>
      <c r="K434" s="32" t="s">
        <v>4187</v>
      </c>
      <c r="L434" s="169" t="s">
        <v>116</v>
      </c>
      <c r="M434" s="32" t="s">
        <v>111</v>
      </c>
    </row>
    <row r="435" spans="1:13" x14ac:dyDescent="0.25">
      <c r="A435" s="168">
        <v>46192</v>
      </c>
      <c r="B435" s="32">
        <v>1</v>
      </c>
      <c r="C435" s="32" t="s">
        <v>196</v>
      </c>
      <c r="D435" s="169" t="s">
        <v>197</v>
      </c>
      <c r="E435" s="169" t="s">
        <v>190</v>
      </c>
      <c r="F435" s="32" t="s">
        <v>212</v>
      </c>
      <c r="G435" s="32">
        <v>376</v>
      </c>
      <c r="H435" s="32" t="s">
        <v>165</v>
      </c>
      <c r="I435" s="32">
        <v>6376</v>
      </c>
      <c r="J435" s="36">
        <v>7671.6</v>
      </c>
      <c r="K435" s="32" t="s">
        <v>4188</v>
      </c>
      <c r="L435" s="169" t="s">
        <v>22</v>
      </c>
      <c r="M435" s="32" t="s">
        <v>223</v>
      </c>
    </row>
    <row r="436" spans="1:13" x14ac:dyDescent="0.25">
      <c r="A436" s="168">
        <v>46192</v>
      </c>
      <c r="B436" s="32">
        <v>1</v>
      </c>
      <c r="C436" s="32" t="s">
        <v>176</v>
      </c>
      <c r="D436" s="169" t="s">
        <v>177</v>
      </c>
      <c r="E436" s="169" t="s">
        <v>190</v>
      </c>
      <c r="F436" s="32" t="s">
        <v>212</v>
      </c>
      <c r="G436" s="32">
        <v>376</v>
      </c>
      <c r="H436" s="32" t="s">
        <v>165</v>
      </c>
      <c r="I436" s="32">
        <v>490</v>
      </c>
      <c r="J436" s="36">
        <v>5895.68</v>
      </c>
      <c r="K436" s="32" t="s">
        <v>4189</v>
      </c>
      <c r="L436" s="169" t="s">
        <v>22</v>
      </c>
      <c r="M436" s="32" t="s">
        <v>223</v>
      </c>
    </row>
    <row r="437" spans="1:13" x14ac:dyDescent="0.25">
      <c r="A437" s="168">
        <v>46192</v>
      </c>
      <c r="B437" s="32">
        <v>1</v>
      </c>
      <c r="C437" s="32" t="s">
        <v>2866</v>
      </c>
      <c r="D437" s="169" t="s">
        <v>281</v>
      </c>
      <c r="E437" s="169" t="s">
        <v>166</v>
      </c>
      <c r="F437" s="32" t="s">
        <v>164</v>
      </c>
      <c r="G437" s="32">
        <v>58</v>
      </c>
      <c r="H437" s="32" t="s">
        <v>165</v>
      </c>
      <c r="I437" s="32">
        <v>2732</v>
      </c>
      <c r="J437" s="36">
        <v>586.29</v>
      </c>
      <c r="K437" s="32" t="s">
        <v>4190</v>
      </c>
      <c r="L437" s="169" t="s">
        <v>27</v>
      </c>
      <c r="M437" s="32" t="s">
        <v>224</v>
      </c>
    </row>
    <row r="438" spans="1:13" x14ac:dyDescent="0.25">
      <c r="A438" s="168">
        <v>46192</v>
      </c>
      <c r="B438" s="32">
        <v>1</v>
      </c>
      <c r="C438" s="32" t="s">
        <v>167</v>
      </c>
      <c r="D438" s="169" t="s">
        <v>168</v>
      </c>
      <c r="E438" s="169" t="s">
        <v>166</v>
      </c>
      <c r="F438" s="32" t="s">
        <v>164</v>
      </c>
      <c r="G438" s="32">
        <v>58</v>
      </c>
      <c r="H438" s="32" t="s">
        <v>195</v>
      </c>
      <c r="I438" s="32">
        <v>287</v>
      </c>
      <c r="J438" s="36">
        <v>615.9</v>
      </c>
      <c r="K438" s="32" t="s">
        <v>4191</v>
      </c>
      <c r="L438" s="169" t="s">
        <v>91</v>
      </c>
      <c r="M438" s="32" t="s">
        <v>224</v>
      </c>
    </row>
    <row r="439" spans="1:13" x14ac:dyDescent="0.25">
      <c r="A439" s="168">
        <v>46192</v>
      </c>
      <c r="B439" s="32">
        <v>1</v>
      </c>
      <c r="C439" s="32" t="s">
        <v>219</v>
      </c>
      <c r="D439" s="169" t="s">
        <v>220</v>
      </c>
      <c r="E439" s="169" t="s">
        <v>163</v>
      </c>
      <c r="F439" s="32" t="s">
        <v>164</v>
      </c>
      <c r="G439" s="32">
        <v>52</v>
      </c>
      <c r="H439" s="32" t="s">
        <v>175</v>
      </c>
      <c r="I439" s="32">
        <v>434</v>
      </c>
      <c r="J439" s="36">
        <v>835.02</v>
      </c>
      <c r="K439" s="32" t="s">
        <v>4192</v>
      </c>
      <c r="L439" s="169" t="s">
        <v>21</v>
      </c>
      <c r="M439" s="32" t="s">
        <v>224</v>
      </c>
    </row>
    <row r="440" spans="1:13" x14ac:dyDescent="0.25">
      <c r="A440" s="168">
        <v>46192</v>
      </c>
      <c r="B440" s="32">
        <v>1</v>
      </c>
      <c r="C440" s="32" t="s">
        <v>210</v>
      </c>
      <c r="D440" s="169" t="s">
        <v>211</v>
      </c>
      <c r="E440" s="169" t="s">
        <v>190</v>
      </c>
      <c r="F440" s="32" t="s">
        <v>212</v>
      </c>
      <c r="G440" s="32">
        <v>376</v>
      </c>
      <c r="H440" s="32" t="s">
        <v>165</v>
      </c>
      <c r="I440" s="32">
        <v>499</v>
      </c>
      <c r="J440" s="36">
        <v>6003.97</v>
      </c>
      <c r="K440" s="32" t="s">
        <v>4193</v>
      </c>
      <c r="L440" s="169" t="s">
        <v>22</v>
      </c>
      <c r="M440" s="32" t="s">
        <v>223</v>
      </c>
    </row>
    <row r="441" spans="1:13" x14ac:dyDescent="0.25">
      <c r="A441" s="168">
        <v>46192</v>
      </c>
      <c r="B441" s="32">
        <v>1</v>
      </c>
      <c r="C441" s="32" t="s">
        <v>342</v>
      </c>
      <c r="D441" s="169" t="s">
        <v>171</v>
      </c>
      <c r="E441" s="169" t="s">
        <v>163</v>
      </c>
      <c r="F441" s="32" t="s">
        <v>164</v>
      </c>
      <c r="G441" s="32">
        <v>52</v>
      </c>
      <c r="H441" s="32" t="s">
        <v>185</v>
      </c>
      <c r="I441" s="32">
        <v>4536</v>
      </c>
      <c r="J441" s="36">
        <v>872.73</v>
      </c>
      <c r="K441" s="32" t="s">
        <v>4194</v>
      </c>
      <c r="L441" s="169" t="s">
        <v>20</v>
      </c>
      <c r="M441" s="32" t="s">
        <v>224</v>
      </c>
    </row>
    <row r="442" spans="1:13" x14ac:dyDescent="0.25">
      <c r="A442" s="168">
        <v>46192</v>
      </c>
      <c r="B442" s="32">
        <v>1</v>
      </c>
      <c r="C442" s="32" t="s">
        <v>167</v>
      </c>
      <c r="D442" s="169" t="s">
        <v>168</v>
      </c>
      <c r="E442" s="169" t="s">
        <v>166</v>
      </c>
      <c r="F442" s="32" t="s">
        <v>111</v>
      </c>
      <c r="G442" s="32">
        <v>79</v>
      </c>
      <c r="H442" s="32" t="s">
        <v>169</v>
      </c>
      <c r="I442" s="32">
        <v>2588</v>
      </c>
      <c r="J442" s="36">
        <v>756.47</v>
      </c>
      <c r="K442" s="32" t="s">
        <v>4195</v>
      </c>
      <c r="L442" s="169" t="s">
        <v>116</v>
      </c>
      <c r="M442" s="32" t="s">
        <v>111</v>
      </c>
    </row>
    <row r="443" spans="1:13" x14ac:dyDescent="0.25">
      <c r="A443" s="168">
        <v>46192</v>
      </c>
      <c r="B443" s="32">
        <v>1</v>
      </c>
      <c r="C443" s="32" t="s">
        <v>188</v>
      </c>
      <c r="D443" s="169" t="s">
        <v>189</v>
      </c>
      <c r="E443" s="169" t="s">
        <v>163</v>
      </c>
      <c r="F443" s="32" t="s">
        <v>164</v>
      </c>
      <c r="G443" s="32">
        <v>52</v>
      </c>
      <c r="H443" s="32" t="s">
        <v>175</v>
      </c>
      <c r="I443" s="32">
        <v>5169</v>
      </c>
      <c r="J443" s="36">
        <v>994.52</v>
      </c>
      <c r="K443" s="32" t="s">
        <v>4196</v>
      </c>
      <c r="L443" s="169" t="s">
        <v>21</v>
      </c>
      <c r="M443" s="32" t="s">
        <v>224</v>
      </c>
    </row>
    <row r="444" spans="1:13" x14ac:dyDescent="0.25">
      <c r="A444" s="168">
        <v>46192</v>
      </c>
      <c r="B444" s="32">
        <v>1</v>
      </c>
      <c r="C444" s="32" t="s">
        <v>208</v>
      </c>
      <c r="D444" s="169" t="s">
        <v>209</v>
      </c>
      <c r="E444" s="169" t="s">
        <v>190</v>
      </c>
      <c r="F444" s="32" t="s">
        <v>212</v>
      </c>
      <c r="G444" s="32">
        <v>376</v>
      </c>
      <c r="H444" s="32" t="s">
        <v>165</v>
      </c>
      <c r="I444" s="32">
        <v>550</v>
      </c>
      <c r="J444" s="36">
        <v>6617.6</v>
      </c>
      <c r="K444" s="32" t="s">
        <v>4197</v>
      </c>
      <c r="L444" s="169" t="s">
        <v>22</v>
      </c>
      <c r="M444" s="32" t="s">
        <v>223</v>
      </c>
    </row>
    <row r="445" spans="1:13" x14ac:dyDescent="0.25">
      <c r="A445" s="168">
        <v>46192</v>
      </c>
      <c r="B445" s="32">
        <v>1</v>
      </c>
      <c r="C445" s="32" t="s">
        <v>200</v>
      </c>
      <c r="D445" s="169" t="s">
        <v>201</v>
      </c>
      <c r="E445" s="169" t="s">
        <v>190</v>
      </c>
      <c r="F445" s="32" t="s">
        <v>212</v>
      </c>
      <c r="G445" s="32">
        <v>376</v>
      </c>
      <c r="H445" s="32" t="s">
        <v>165</v>
      </c>
      <c r="I445" s="32">
        <v>4606</v>
      </c>
      <c r="J445" s="36">
        <v>5541.94</v>
      </c>
      <c r="K445" s="32" t="s">
        <v>4198</v>
      </c>
      <c r="L445" s="169" t="s">
        <v>22</v>
      </c>
      <c r="M445" s="32" t="s">
        <v>223</v>
      </c>
    </row>
    <row r="446" spans="1:13" x14ac:dyDescent="0.25">
      <c r="A446" s="168">
        <v>46192</v>
      </c>
      <c r="B446" s="32">
        <v>1</v>
      </c>
      <c r="C446" s="32" t="s">
        <v>213</v>
      </c>
      <c r="D446" s="169" t="s">
        <v>1153</v>
      </c>
      <c r="E446" s="169" t="s">
        <v>190</v>
      </c>
      <c r="F446" s="32" t="s">
        <v>212</v>
      </c>
      <c r="G446" s="32">
        <v>376</v>
      </c>
      <c r="H446" s="32" t="s">
        <v>165</v>
      </c>
      <c r="I446" s="32">
        <v>6338</v>
      </c>
      <c r="J446" s="36">
        <v>7625.88</v>
      </c>
      <c r="K446" s="32" t="s">
        <v>4199</v>
      </c>
      <c r="L446" s="169" t="s">
        <v>22</v>
      </c>
      <c r="M446" s="32" t="s">
        <v>223</v>
      </c>
    </row>
    <row r="447" spans="1:13" x14ac:dyDescent="0.25">
      <c r="A447" s="168">
        <v>46192</v>
      </c>
      <c r="B447" s="32">
        <v>1</v>
      </c>
      <c r="C447" s="32" t="s">
        <v>205</v>
      </c>
      <c r="D447" s="169" t="s">
        <v>206</v>
      </c>
      <c r="E447" s="169" t="s">
        <v>276</v>
      </c>
      <c r="F447" s="32" t="s">
        <v>307</v>
      </c>
      <c r="G447" s="32">
        <v>175</v>
      </c>
      <c r="H447" s="32" t="s">
        <v>165</v>
      </c>
      <c r="I447" s="32">
        <v>6482</v>
      </c>
      <c r="J447" s="36">
        <v>3629.92</v>
      </c>
      <c r="K447" s="32" t="s">
        <v>4200</v>
      </c>
      <c r="L447" s="169" t="s">
        <v>3771</v>
      </c>
      <c r="M447" s="32" t="s">
        <v>307</v>
      </c>
    </row>
    <row r="448" spans="1:13" x14ac:dyDescent="0.25">
      <c r="A448" s="168">
        <v>46192</v>
      </c>
      <c r="B448" s="32">
        <v>1</v>
      </c>
      <c r="C448" s="32" t="s">
        <v>296</v>
      </c>
      <c r="D448" s="169" t="s">
        <v>1536</v>
      </c>
      <c r="E448" s="169" t="s">
        <v>276</v>
      </c>
      <c r="F448" s="32" t="s">
        <v>1415</v>
      </c>
      <c r="G448" s="32">
        <v>150</v>
      </c>
      <c r="H448" s="32" t="s">
        <v>207</v>
      </c>
      <c r="I448" s="32">
        <v>2442</v>
      </c>
      <c r="J448" s="36">
        <v>1172.1600000000001</v>
      </c>
      <c r="K448" s="32" t="s">
        <v>4201</v>
      </c>
      <c r="L448" s="169" t="s">
        <v>40</v>
      </c>
      <c r="M448" s="32" t="s">
        <v>15</v>
      </c>
    </row>
    <row r="449" spans="1:13" x14ac:dyDescent="0.25">
      <c r="A449" s="168">
        <v>46192</v>
      </c>
      <c r="B449" s="32">
        <v>1</v>
      </c>
      <c r="C449" s="32" t="s">
        <v>167</v>
      </c>
      <c r="D449" s="169" t="s">
        <v>168</v>
      </c>
      <c r="E449" s="169" t="s">
        <v>166</v>
      </c>
      <c r="F449" s="32" t="s">
        <v>111</v>
      </c>
      <c r="G449" s="32">
        <v>79</v>
      </c>
      <c r="H449" s="32" t="s">
        <v>185</v>
      </c>
      <c r="I449" s="32">
        <v>258</v>
      </c>
      <c r="J449" s="36">
        <v>754.13</v>
      </c>
      <c r="K449" s="32" t="s">
        <v>4202</v>
      </c>
      <c r="L449" s="169" t="s">
        <v>123</v>
      </c>
      <c r="M449" s="32" t="s">
        <v>111</v>
      </c>
    </row>
    <row r="450" spans="1:13" x14ac:dyDescent="0.25">
      <c r="A450" s="168">
        <v>46192</v>
      </c>
      <c r="B450" s="32">
        <v>1</v>
      </c>
      <c r="C450" s="32" t="s">
        <v>2866</v>
      </c>
      <c r="D450" s="169" t="s">
        <v>281</v>
      </c>
      <c r="E450" s="169" t="s">
        <v>166</v>
      </c>
      <c r="F450" s="32" t="s">
        <v>164</v>
      </c>
      <c r="G450" s="32">
        <v>58</v>
      </c>
      <c r="H450" s="32" t="s">
        <v>165</v>
      </c>
      <c r="I450" s="32">
        <v>263</v>
      </c>
      <c r="J450" s="36">
        <v>564.4</v>
      </c>
      <c r="K450" s="32" t="s">
        <v>4203</v>
      </c>
      <c r="L450" s="169" t="s">
        <v>27</v>
      </c>
      <c r="M450" s="32" t="s">
        <v>224</v>
      </c>
    </row>
    <row r="451" spans="1:13" x14ac:dyDescent="0.25">
      <c r="A451" s="168">
        <v>46192</v>
      </c>
      <c r="B451" s="32">
        <v>1</v>
      </c>
      <c r="C451" s="32" t="s">
        <v>270</v>
      </c>
      <c r="D451" s="169" t="s">
        <v>288</v>
      </c>
      <c r="E451" s="169" t="s">
        <v>163</v>
      </c>
      <c r="F451" s="32" t="s">
        <v>164</v>
      </c>
      <c r="G451" s="32">
        <v>52</v>
      </c>
      <c r="H451" s="32" t="s">
        <v>175</v>
      </c>
      <c r="I451" s="32">
        <v>5091</v>
      </c>
      <c r="J451" s="36">
        <v>979.51</v>
      </c>
      <c r="K451" s="32" t="s">
        <v>4204</v>
      </c>
      <c r="L451" s="169" t="s">
        <v>21</v>
      </c>
      <c r="M451" s="32" t="s">
        <v>224</v>
      </c>
    </row>
    <row r="452" spans="1:13" x14ac:dyDescent="0.25">
      <c r="A452" s="168">
        <v>46192</v>
      </c>
      <c r="B452" s="32">
        <v>1</v>
      </c>
      <c r="C452" s="32" t="s">
        <v>173</v>
      </c>
      <c r="D452" s="169" t="s">
        <v>174</v>
      </c>
      <c r="E452" s="169" t="s">
        <v>166</v>
      </c>
      <c r="F452" s="32" t="s">
        <v>218</v>
      </c>
      <c r="G452" s="32">
        <v>71</v>
      </c>
      <c r="H452" s="32" t="s">
        <v>169</v>
      </c>
      <c r="I452" s="32">
        <v>2512</v>
      </c>
      <c r="J452" s="36">
        <v>659.9</v>
      </c>
      <c r="K452" s="32" t="s">
        <v>4205</v>
      </c>
      <c r="L452" s="169" t="s">
        <v>35</v>
      </c>
      <c r="M452" s="32" t="s">
        <v>108</v>
      </c>
    </row>
    <row r="453" spans="1:13" x14ac:dyDescent="0.25">
      <c r="A453" s="168">
        <v>46192</v>
      </c>
      <c r="B453" s="32">
        <v>1</v>
      </c>
      <c r="C453" s="32" t="s">
        <v>173</v>
      </c>
      <c r="D453" s="169" t="s">
        <v>174</v>
      </c>
      <c r="E453" s="169" t="s">
        <v>166</v>
      </c>
      <c r="F453" s="32" t="s">
        <v>111</v>
      </c>
      <c r="G453" s="32">
        <v>79</v>
      </c>
      <c r="H453" s="32" t="s">
        <v>169</v>
      </c>
      <c r="I453" s="32">
        <v>2594</v>
      </c>
      <c r="J453" s="36">
        <v>758.23</v>
      </c>
      <c r="K453" s="32" t="s">
        <v>4205</v>
      </c>
      <c r="L453" s="169" t="s">
        <v>116</v>
      </c>
      <c r="M453" s="32" t="s">
        <v>111</v>
      </c>
    </row>
    <row r="454" spans="1:13" x14ac:dyDescent="0.25">
      <c r="A454" s="168">
        <v>46192</v>
      </c>
      <c r="B454" s="32">
        <v>1</v>
      </c>
      <c r="C454" s="32" t="s">
        <v>173</v>
      </c>
      <c r="D454" s="169" t="s">
        <v>174</v>
      </c>
      <c r="E454" s="169" t="s">
        <v>166</v>
      </c>
      <c r="F454" s="32" t="s">
        <v>111</v>
      </c>
      <c r="G454" s="32">
        <v>79</v>
      </c>
      <c r="H454" s="32" t="s">
        <v>169</v>
      </c>
      <c r="I454" s="32">
        <v>2568</v>
      </c>
      <c r="J454" s="36">
        <v>750.63</v>
      </c>
      <c r="K454" s="32" t="s">
        <v>4206</v>
      </c>
      <c r="L454" s="169" t="s">
        <v>116</v>
      </c>
      <c r="M454" s="32" t="s">
        <v>111</v>
      </c>
    </row>
    <row r="455" spans="1:13" x14ac:dyDescent="0.25">
      <c r="A455" s="168">
        <v>46192</v>
      </c>
      <c r="B455" s="32">
        <v>1</v>
      </c>
      <c r="C455" s="32" t="s">
        <v>2866</v>
      </c>
      <c r="D455" s="169" t="s">
        <v>281</v>
      </c>
      <c r="E455" s="169" t="s">
        <v>166</v>
      </c>
      <c r="F455" s="32" t="s">
        <v>164</v>
      </c>
      <c r="G455" s="32">
        <v>58</v>
      </c>
      <c r="H455" s="32" t="s">
        <v>165</v>
      </c>
      <c r="I455" s="32">
        <v>288</v>
      </c>
      <c r="J455" s="36">
        <v>618.04999999999995</v>
      </c>
      <c r="K455" s="32" t="s">
        <v>4207</v>
      </c>
      <c r="L455" s="169" t="s">
        <v>27</v>
      </c>
      <c r="M455" s="32" t="s">
        <v>224</v>
      </c>
    </row>
    <row r="456" spans="1:13" x14ac:dyDescent="0.25">
      <c r="A456" s="168">
        <v>46192</v>
      </c>
      <c r="B456" s="32">
        <v>1</v>
      </c>
      <c r="C456" s="32" t="s">
        <v>203</v>
      </c>
      <c r="D456" s="169" t="s">
        <v>204</v>
      </c>
      <c r="E456" s="169" t="s">
        <v>190</v>
      </c>
      <c r="F456" s="32" t="s">
        <v>212</v>
      </c>
      <c r="G456" s="32">
        <v>376</v>
      </c>
      <c r="H456" s="32" t="s">
        <v>165</v>
      </c>
      <c r="I456" s="32">
        <v>474</v>
      </c>
      <c r="J456" s="36">
        <v>5703.17</v>
      </c>
      <c r="K456" s="32" t="s">
        <v>4208</v>
      </c>
      <c r="L456" s="169" t="s">
        <v>22</v>
      </c>
      <c r="M456" s="32" t="s">
        <v>223</v>
      </c>
    </row>
    <row r="457" spans="1:13" x14ac:dyDescent="0.25">
      <c r="A457" s="168">
        <v>46192</v>
      </c>
      <c r="B457" s="32">
        <v>1</v>
      </c>
      <c r="C457" s="32" t="s">
        <v>342</v>
      </c>
      <c r="D457" s="169" t="s">
        <v>171</v>
      </c>
      <c r="E457" s="169" t="s">
        <v>163</v>
      </c>
      <c r="F457" s="32" t="s">
        <v>164</v>
      </c>
      <c r="G457" s="32">
        <v>52</v>
      </c>
      <c r="H457" s="32" t="s">
        <v>185</v>
      </c>
      <c r="I457" s="32">
        <v>4514</v>
      </c>
      <c r="J457" s="36">
        <v>868.49</v>
      </c>
      <c r="K457" s="32" t="s">
        <v>4209</v>
      </c>
      <c r="L457" s="169" t="s">
        <v>20</v>
      </c>
      <c r="M457" s="32" t="s">
        <v>224</v>
      </c>
    </row>
    <row r="458" spans="1:13" x14ac:dyDescent="0.25">
      <c r="A458" s="168">
        <v>46192</v>
      </c>
      <c r="B458" s="32">
        <v>1</v>
      </c>
      <c r="C458" s="32" t="s">
        <v>183</v>
      </c>
      <c r="D458" s="169" t="s">
        <v>184</v>
      </c>
      <c r="E458" s="169" t="s">
        <v>163</v>
      </c>
      <c r="F458" s="32" t="s">
        <v>164</v>
      </c>
      <c r="G458" s="32">
        <v>52</v>
      </c>
      <c r="H458" s="32" t="s">
        <v>175</v>
      </c>
      <c r="I458" s="32">
        <v>2679</v>
      </c>
      <c r="J458" s="36">
        <v>515.44000000000005</v>
      </c>
      <c r="K458" s="32" t="s">
        <v>4210</v>
      </c>
      <c r="L458" s="169" t="s">
        <v>21</v>
      </c>
      <c r="M458" s="32" t="s">
        <v>224</v>
      </c>
    </row>
    <row r="459" spans="1:13" x14ac:dyDescent="0.25">
      <c r="A459" s="168">
        <v>46192</v>
      </c>
      <c r="B459" s="32">
        <v>1</v>
      </c>
      <c r="C459" s="32" t="s">
        <v>183</v>
      </c>
      <c r="D459" s="169" t="s">
        <v>184</v>
      </c>
      <c r="E459" s="169" t="s">
        <v>163</v>
      </c>
      <c r="F459" s="32" t="s">
        <v>164</v>
      </c>
      <c r="G459" s="32">
        <v>52</v>
      </c>
      <c r="H459" s="32" t="s">
        <v>175</v>
      </c>
      <c r="I459" s="32">
        <v>2722</v>
      </c>
      <c r="J459" s="36">
        <v>523.71</v>
      </c>
      <c r="K459" s="32" t="s">
        <v>4211</v>
      </c>
      <c r="L459" s="169" t="s">
        <v>21</v>
      </c>
      <c r="M459" s="32" t="s">
        <v>224</v>
      </c>
    </row>
    <row r="460" spans="1:13" x14ac:dyDescent="0.25">
      <c r="A460" s="168">
        <v>46192</v>
      </c>
      <c r="B460" s="32">
        <v>1</v>
      </c>
      <c r="C460" s="32" t="s">
        <v>1129</v>
      </c>
      <c r="D460" s="169" t="s">
        <v>2396</v>
      </c>
      <c r="E460" s="169" t="s">
        <v>166</v>
      </c>
      <c r="F460" s="32" t="s">
        <v>111</v>
      </c>
      <c r="G460" s="32">
        <v>79</v>
      </c>
      <c r="H460" s="32" t="s">
        <v>169</v>
      </c>
      <c r="I460" s="32">
        <v>2728</v>
      </c>
      <c r="J460" s="36">
        <v>797.39</v>
      </c>
      <c r="K460" s="32" t="s">
        <v>4212</v>
      </c>
      <c r="L460" s="169" t="s">
        <v>116</v>
      </c>
      <c r="M460" s="32" t="s">
        <v>111</v>
      </c>
    </row>
    <row r="461" spans="1:13" x14ac:dyDescent="0.25">
      <c r="A461" s="168">
        <v>46192</v>
      </c>
      <c r="B461" s="32">
        <v>1</v>
      </c>
      <c r="C461" s="32" t="s">
        <v>173</v>
      </c>
      <c r="D461" s="169" t="s">
        <v>174</v>
      </c>
      <c r="E461" s="169" t="s">
        <v>166</v>
      </c>
      <c r="F461" s="32" t="s">
        <v>164</v>
      </c>
      <c r="G461" s="32">
        <v>58</v>
      </c>
      <c r="H461" s="32" t="s">
        <v>175</v>
      </c>
      <c r="I461" s="32">
        <v>261</v>
      </c>
      <c r="J461" s="36">
        <v>560.11</v>
      </c>
      <c r="K461" s="32" t="s">
        <v>4213</v>
      </c>
      <c r="L461" s="169" t="s">
        <v>86</v>
      </c>
      <c r="M461" s="32" t="s">
        <v>224</v>
      </c>
    </row>
    <row r="462" spans="1:13" x14ac:dyDescent="0.25">
      <c r="A462" s="168">
        <v>46192</v>
      </c>
      <c r="B462" s="32">
        <v>1</v>
      </c>
      <c r="C462" s="32" t="s">
        <v>179</v>
      </c>
      <c r="D462" s="169" t="s">
        <v>2863</v>
      </c>
      <c r="E462" s="169" t="s">
        <v>166</v>
      </c>
      <c r="F462" s="32" t="s">
        <v>111</v>
      </c>
      <c r="G462" s="32">
        <v>79</v>
      </c>
      <c r="H462" s="32" t="s">
        <v>169</v>
      </c>
      <c r="I462" s="32">
        <v>2764</v>
      </c>
      <c r="J462" s="36">
        <v>807.92</v>
      </c>
      <c r="K462" s="32" t="s">
        <v>4214</v>
      </c>
      <c r="L462" s="169" t="s">
        <v>116</v>
      </c>
      <c r="M462" s="32" t="s">
        <v>111</v>
      </c>
    </row>
    <row r="463" spans="1:13" x14ac:dyDescent="0.25">
      <c r="A463" s="168">
        <v>46192</v>
      </c>
      <c r="B463" s="32">
        <v>1</v>
      </c>
      <c r="C463" s="32" t="s">
        <v>179</v>
      </c>
      <c r="D463" s="169" t="s">
        <v>2863</v>
      </c>
      <c r="E463" s="169" t="s">
        <v>166</v>
      </c>
      <c r="F463" s="32" t="s">
        <v>164</v>
      </c>
      <c r="G463" s="32">
        <v>58</v>
      </c>
      <c r="H463" s="32" t="s">
        <v>175</v>
      </c>
      <c r="I463" s="32">
        <v>286</v>
      </c>
      <c r="J463" s="36">
        <v>613.76</v>
      </c>
      <c r="K463" s="32" t="s">
        <v>4215</v>
      </c>
      <c r="L463" s="169" t="s">
        <v>86</v>
      </c>
      <c r="M463" s="32" t="s">
        <v>224</v>
      </c>
    </row>
    <row r="464" spans="1:13" x14ac:dyDescent="0.25">
      <c r="A464" s="168">
        <v>46192</v>
      </c>
      <c r="B464" s="32">
        <v>1</v>
      </c>
      <c r="C464" s="32" t="s">
        <v>192</v>
      </c>
      <c r="D464" s="169" t="s">
        <v>287</v>
      </c>
      <c r="E464" s="169" t="s">
        <v>166</v>
      </c>
      <c r="F464" s="32" t="s">
        <v>164</v>
      </c>
      <c r="G464" s="32">
        <v>58</v>
      </c>
      <c r="H464" s="32" t="s">
        <v>165</v>
      </c>
      <c r="I464" s="32">
        <v>6034</v>
      </c>
      <c r="J464" s="36">
        <v>1294.9000000000001</v>
      </c>
      <c r="K464" s="32" t="s">
        <v>4216</v>
      </c>
      <c r="L464" s="169" t="s">
        <v>27</v>
      </c>
      <c r="M464" s="32" t="s">
        <v>224</v>
      </c>
    </row>
    <row r="465" spans="1:13" x14ac:dyDescent="0.25">
      <c r="A465" s="168">
        <v>46193</v>
      </c>
      <c r="B465" s="32">
        <v>1</v>
      </c>
      <c r="C465" s="32" t="s">
        <v>167</v>
      </c>
      <c r="D465" s="169" t="s">
        <v>168</v>
      </c>
      <c r="E465" s="169" t="s">
        <v>163</v>
      </c>
      <c r="F465" s="32" t="s">
        <v>164</v>
      </c>
      <c r="G465" s="32">
        <v>52</v>
      </c>
      <c r="H465" s="32" t="s">
        <v>175</v>
      </c>
      <c r="I465" s="32">
        <v>2787</v>
      </c>
      <c r="J465" s="36">
        <v>536.22</v>
      </c>
      <c r="K465" s="32" t="s">
        <v>4217</v>
      </c>
      <c r="L465" s="169" t="s">
        <v>21</v>
      </c>
      <c r="M465" s="32" t="s">
        <v>224</v>
      </c>
    </row>
    <row r="466" spans="1:13" x14ac:dyDescent="0.25">
      <c r="A466" s="168">
        <v>46193</v>
      </c>
      <c r="B466" s="32">
        <v>1</v>
      </c>
      <c r="C466" s="32" t="s">
        <v>167</v>
      </c>
      <c r="D466" s="169" t="s">
        <v>168</v>
      </c>
      <c r="E466" s="169" t="s">
        <v>163</v>
      </c>
      <c r="F466" s="32" t="s">
        <v>164</v>
      </c>
      <c r="G466" s="32">
        <v>52</v>
      </c>
      <c r="H466" s="32" t="s">
        <v>175</v>
      </c>
      <c r="I466" s="32">
        <v>2755</v>
      </c>
      <c r="J466" s="36">
        <v>530.05999999999995</v>
      </c>
      <c r="K466" s="32" t="s">
        <v>4218</v>
      </c>
      <c r="L466" s="169" t="s">
        <v>21</v>
      </c>
      <c r="M466" s="32" t="s">
        <v>224</v>
      </c>
    </row>
    <row r="467" spans="1:13" x14ac:dyDescent="0.25">
      <c r="A467" s="168">
        <v>46193</v>
      </c>
      <c r="B467" s="32">
        <v>1</v>
      </c>
      <c r="C467" s="32" t="s">
        <v>342</v>
      </c>
      <c r="D467" s="169" t="s">
        <v>171</v>
      </c>
      <c r="E467" s="169" t="s">
        <v>163</v>
      </c>
      <c r="F467" s="32" t="s">
        <v>164</v>
      </c>
      <c r="G467" s="32">
        <v>52</v>
      </c>
      <c r="H467" s="32" t="s">
        <v>185</v>
      </c>
      <c r="I467" s="32">
        <v>4599</v>
      </c>
      <c r="J467" s="36">
        <v>884.85</v>
      </c>
      <c r="K467" s="32" t="s">
        <v>4219</v>
      </c>
      <c r="L467" s="169" t="s">
        <v>20</v>
      </c>
      <c r="M467" s="32" t="s">
        <v>224</v>
      </c>
    </row>
    <row r="468" spans="1:13" x14ac:dyDescent="0.25">
      <c r="A468" s="168">
        <v>46193</v>
      </c>
      <c r="B468" s="32">
        <v>1</v>
      </c>
      <c r="C468" s="32" t="s">
        <v>208</v>
      </c>
      <c r="D468" s="169" t="s">
        <v>209</v>
      </c>
      <c r="E468" s="169" t="s">
        <v>190</v>
      </c>
      <c r="F468" s="32" t="s">
        <v>198</v>
      </c>
      <c r="G468" s="32">
        <v>70</v>
      </c>
      <c r="H468" s="32" t="s">
        <v>165</v>
      </c>
      <c r="I468" s="32">
        <v>550</v>
      </c>
      <c r="J468" s="36">
        <v>1424.5</v>
      </c>
      <c r="K468" s="32" t="s">
        <v>4220</v>
      </c>
      <c r="L468" s="169" t="s">
        <v>30</v>
      </c>
      <c r="M468" s="32" t="s">
        <v>224</v>
      </c>
    </row>
    <row r="469" spans="1:13" x14ac:dyDescent="0.25">
      <c r="A469" s="168">
        <v>46193</v>
      </c>
      <c r="B469" s="32">
        <v>1</v>
      </c>
      <c r="C469" s="32" t="s">
        <v>283</v>
      </c>
      <c r="D469" s="169" t="s">
        <v>282</v>
      </c>
      <c r="E469" s="169" t="s">
        <v>166</v>
      </c>
      <c r="F469" s="32" t="s">
        <v>1178</v>
      </c>
      <c r="G469" s="32">
        <v>51</v>
      </c>
      <c r="H469" s="32" t="s">
        <v>169</v>
      </c>
      <c r="I469" s="32">
        <v>2748</v>
      </c>
      <c r="J469" s="36">
        <v>518.54999999999995</v>
      </c>
      <c r="K469" s="32" t="s">
        <v>4221</v>
      </c>
      <c r="L469" s="169" t="s">
        <v>3744</v>
      </c>
      <c r="M469" s="32" t="s">
        <v>1178</v>
      </c>
    </row>
    <row r="470" spans="1:13" x14ac:dyDescent="0.25">
      <c r="A470" s="168">
        <v>46193</v>
      </c>
      <c r="B470" s="32">
        <v>1</v>
      </c>
      <c r="C470" s="32" t="s">
        <v>283</v>
      </c>
      <c r="D470" s="169" t="s">
        <v>282</v>
      </c>
      <c r="E470" s="169" t="s">
        <v>166</v>
      </c>
      <c r="F470" s="32" t="s">
        <v>1178</v>
      </c>
      <c r="G470" s="32">
        <v>51</v>
      </c>
      <c r="H470" s="32" t="s">
        <v>169</v>
      </c>
      <c r="I470" s="32">
        <v>2748</v>
      </c>
      <c r="J470" s="36">
        <v>518.54999999999995</v>
      </c>
      <c r="K470" s="32" t="s">
        <v>4222</v>
      </c>
      <c r="L470" s="169" t="s">
        <v>3744</v>
      </c>
      <c r="M470" s="32" t="s">
        <v>1178</v>
      </c>
    </row>
    <row r="471" spans="1:13" x14ac:dyDescent="0.25">
      <c r="A471" s="168">
        <v>46193</v>
      </c>
      <c r="B471" s="32">
        <v>1</v>
      </c>
      <c r="C471" s="32" t="s">
        <v>210</v>
      </c>
      <c r="D471" s="169" t="s">
        <v>211</v>
      </c>
      <c r="E471" s="169" t="s">
        <v>190</v>
      </c>
      <c r="F471" s="32" t="s">
        <v>198</v>
      </c>
      <c r="G471" s="32">
        <v>70</v>
      </c>
      <c r="H471" s="32" t="s">
        <v>165</v>
      </c>
      <c r="I471" s="32">
        <v>4964</v>
      </c>
      <c r="J471" s="36">
        <v>1285.68</v>
      </c>
      <c r="K471" s="32" t="s">
        <v>4223</v>
      </c>
      <c r="L471" s="169" t="s">
        <v>30</v>
      </c>
      <c r="M471" s="32" t="s">
        <v>224</v>
      </c>
    </row>
    <row r="472" spans="1:13" x14ac:dyDescent="0.25">
      <c r="A472" s="168">
        <v>46193</v>
      </c>
      <c r="B472" s="32">
        <v>1</v>
      </c>
      <c r="C472" s="32" t="s">
        <v>181</v>
      </c>
      <c r="D472" s="169" t="s">
        <v>182</v>
      </c>
      <c r="E472" s="169" t="s">
        <v>166</v>
      </c>
      <c r="F472" s="32" t="s">
        <v>164</v>
      </c>
      <c r="G472" s="32">
        <v>58</v>
      </c>
      <c r="H472" s="32" t="s">
        <v>165</v>
      </c>
      <c r="I472" s="32">
        <v>2464</v>
      </c>
      <c r="J472" s="36">
        <v>528.77</v>
      </c>
      <c r="K472" s="32" t="s">
        <v>4224</v>
      </c>
      <c r="L472" s="169" t="s">
        <v>27</v>
      </c>
      <c r="M472" s="32" t="s">
        <v>224</v>
      </c>
    </row>
    <row r="473" spans="1:13" x14ac:dyDescent="0.25">
      <c r="A473" s="168">
        <v>46193</v>
      </c>
      <c r="B473" s="32">
        <v>1</v>
      </c>
      <c r="C473" s="32" t="s">
        <v>2866</v>
      </c>
      <c r="D473" s="169" t="s">
        <v>281</v>
      </c>
      <c r="E473" s="169" t="s">
        <v>166</v>
      </c>
      <c r="F473" s="32" t="s">
        <v>164</v>
      </c>
      <c r="G473" s="32">
        <v>58</v>
      </c>
      <c r="H473" s="32" t="s">
        <v>165</v>
      </c>
      <c r="I473" s="32">
        <v>253</v>
      </c>
      <c r="J473" s="36">
        <v>542.94000000000005</v>
      </c>
      <c r="K473" s="32" t="s">
        <v>4225</v>
      </c>
      <c r="L473" s="169" t="s">
        <v>27</v>
      </c>
      <c r="M473" s="32" t="s">
        <v>224</v>
      </c>
    </row>
    <row r="474" spans="1:13" x14ac:dyDescent="0.25">
      <c r="A474" s="168">
        <v>46193</v>
      </c>
      <c r="B474" s="32">
        <v>1</v>
      </c>
      <c r="C474" s="32" t="s">
        <v>183</v>
      </c>
      <c r="D474" s="169" t="s">
        <v>184</v>
      </c>
      <c r="E474" s="169" t="s">
        <v>166</v>
      </c>
      <c r="F474" s="32" t="s">
        <v>111</v>
      </c>
      <c r="G474" s="32">
        <v>79</v>
      </c>
      <c r="H474" s="32" t="s">
        <v>169</v>
      </c>
      <c r="I474" s="32">
        <v>273</v>
      </c>
      <c r="J474" s="36">
        <v>797.98</v>
      </c>
      <c r="K474" s="32" t="s">
        <v>4226</v>
      </c>
      <c r="L474" s="169" t="s">
        <v>116</v>
      </c>
      <c r="M474" s="32" t="s">
        <v>111</v>
      </c>
    </row>
    <row r="475" spans="1:13" x14ac:dyDescent="0.25">
      <c r="A475" s="168">
        <v>46193</v>
      </c>
      <c r="B475" s="32">
        <v>1</v>
      </c>
      <c r="C475" s="32" t="s">
        <v>183</v>
      </c>
      <c r="D475" s="169" t="s">
        <v>184</v>
      </c>
      <c r="E475" s="169" t="s">
        <v>163</v>
      </c>
      <c r="F475" s="32" t="s">
        <v>164</v>
      </c>
      <c r="G475" s="32">
        <v>52</v>
      </c>
      <c r="H475" s="32" t="s">
        <v>175</v>
      </c>
      <c r="I475" s="32">
        <v>2852</v>
      </c>
      <c r="J475" s="36">
        <v>548.72</v>
      </c>
      <c r="K475" s="32" t="s">
        <v>4227</v>
      </c>
      <c r="L475" s="169" t="s">
        <v>21</v>
      </c>
      <c r="M475" s="32" t="s">
        <v>224</v>
      </c>
    </row>
    <row r="476" spans="1:13" x14ac:dyDescent="0.25">
      <c r="A476" s="168">
        <v>46193</v>
      </c>
      <c r="B476" s="32">
        <v>1</v>
      </c>
      <c r="C476" s="32" t="s">
        <v>203</v>
      </c>
      <c r="D476" s="169" t="s">
        <v>204</v>
      </c>
      <c r="E476" s="169" t="s">
        <v>190</v>
      </c>
      <c r="F476" s="32" t="s">
        <v>198</v>
      </c>
      <c r="G476" s="32">
        <v>70</v>
      </c>
      <c r="H476" s="32" t="s">
        <v>165</v>
      </c>
      <c r="I476" s="32">
        <v>4564</v>
      </c>
      <c r="J476" s="36">
        <v>1182.08</v>
      </c>
      <c r="K476" s="32" t="s">
        <v>4228</v>
      </c>
      <c r="L476" s="169" t="s">
        <v>30</v>
      </c>
      <c r="M476" s="32" t="s">
        <v>224</v>
      </c>
    </row>
    <row r="477" spans="1:13" x14ac:dyDescent="0.25">
      <c r="A477" s="168">
        <v>46193</v>
      </c>
      <c r="B477" s="32">
        <v>1</v>
      </c>
      <c r="C477" s="32" t="s">
        <v>173</v>
      </c>
      <c r="D477" s="169" t="s">
        <v>174</v>
      </c>
      <c r="E477" s="169" t="s">
        <v>166</v>
      </c>
      <c r="F477" s="32" t="s">
        <v>111</v>
      </c>
      <c r="G477" s="32">
        <v>79</v>
      </c>
      <c r="H477" s="32" t="s">
        <v>169</v>
      </c>
      <c r="I477" s="32">
        <v>2764</v>
      </c>
      <c r="J477" s="36">
        <v>807.92</v>
      </c>
      <c r="K477" s="32" t="s">
        <v>4229</v>
      </c>
      <c r="L477" s="169" t="s">
        <v>116</v>
      </c>
      <c r="M477" s="32" t="s">
        <v>111</v>
      </c>
    </row>
    <row r="478" spans="1:13" x14ac:dyDescent="0.25">
      <c r="A478" s="168">
        <v>46193</v>
      </c>
      <c r="B478" s="32">
        <v>1</v>
      </c>
      <c r="C478" s="32" t="s">
        <v>1948</v>
      </c>
      <c r="D478" s="169" t="s">
        <v>1949</v>
      </c>
      <c r="E478" s="169" t="s">
        <v>190</v>
      </c>
      <c r="F478" s="32" t="s">
        <v>212</v>
      </c>
      <c r="G478" s="32">
        <v>376</v>
      </c>
      <c r="H478" s="32" t="s">
        <v>165</v>
      </c>
      <c r="I478" s="32">
        <v>469</v>
      </c>
      <c r="J478" s="36">
        <v>5643.01</v>
      </c>
      <c r="K478" s="32" t="s">
        <v>4230</v>
      </c>
      <c r="L478" s="169" t="s">
        <v>22</v>
      </c>
      <c r="M478" s="32" t="s">
        <v>223</v>
      </c>
    </row>
    <row r="479" spans="1:13" x14ac:dyDescent="0.25">
      <c r="A479" s="168">
        <v>46193</v>
      </c>
      <c r="B479" s="32">
        <v>1</v>
      </c>
      <c r="C479" s="32" t="s">
        <v>200</v>
      </c>
      <c r="D479" s="169" t="s">
        <v>201</v>
      </c>
      <c r="E479" s="169" t="s">
        <v>190</v>
      </c>
      <c r="F479" s="32" t="s">
        <v>198</v>
      </c>
      <c r="G479" s="32">
        <v>70</v>
      </c>
      <c r="H479" s="32" t="s">
        <v>165</v>
      </c>
      <c r="I479" s="32">
        <v>490</v>
      </c>
      <c r="J479" s="36">
        <v>1269.0999999999999</v>
      </c>
      <c r="K479" s="32" t="s">
        <v>4231</v>
      </c>
      <c r="L479" s="169" t="s">
        <v>30</v>
      </c>
      <c r="M479" s="32" t="s">
        <v>224</v>
      </c>
    </row>
    <row r="480" spans="1:13" x14ac:dyDescent="0.25">
      <c r="A480" s="168">
        <v>46193</v>
      </c>
      <c r="B480" s="32">
        <v>1</v>
      </c>
      <c r="C480" s="32" t="s">
        <v>193</v>
      </c>
      <c r="D480" s="169" t="s">
        <v>285</v>
      </c>
      <c r="E480" s="169" t="s">
        <v>166</v>
      </c>
      <c r="F480" s="32" t="s">
        <v>111</v>
      </c>
      <c r="G480" s="32">
        <v>79</v>
      </c>
      <c r="H480" s="32" t="s">
        <v>169</v>
      </c>
      <c r="I480" s="32">
        <v>2542</v>
      </c>
      <c r="J480" s="36">
        <v>743.03</v>
      </c>
      <c r="K480" s="32" t="s">
        <v>4232</v>
      </c>
      <c r="L480" s="169" t="s">
        <v>116</v>
      </c>
      <c r="M480" s="32" t="s">
        <v>111</v>
      </c>
    </row>
    <row r="481" spans="1:13" x14ac:dyDescent="0.25">
      <c r="A481" s="168">
        <v>46193</v>
      </c>
      <c r="B481" s="32">
        <v>1</v>
      </c>
      <c r="C481" s="32" t="s">
        <v>173</v>
      </c>
      <c r="D481" s="169" t="s">
        <v>174</v>
      </c>
      <c r="E481" s="169" t="s">
        <v>163</v>
      </c>
      <c r="F481" s="32" t="s">
        <v>164</v>
      </c>
      <c r="G481" s="32">
        <v>52</v>
      </c>
      <c r="H481" s="32" t="s">
        <v>175</v>
      </c>
      <c r="I481" s="32">
        <v>2632</v>
      </c>
      <c r="J481" s="36">
        <v>506.4</v>
      </c>
      <c r="K481" s="32" t="s">
        <v>4233</v>
      </c>
      <c r="L481" s="169" t="s">
        <v>21</v>
      </c>
      <c r="M481" s="32" t="s">
        <v>224</v>
      </c>
    </row>
    <row r="482" spans="1:13" x14ac:dyDescent="0.25">
      <c r="A482" s="168">
        <v>46195</v>
      </c>
      <c r="B482" s="32">
        <v>1</v>
      </c>
      <c r="C482" s="32" t="s">
        <v>342</v>
      </c>
      <c r="D482" s="169" t="s">
        <v>171</v>
      </c>
      <c r="E482" s="169" t="s">
        <v>163</v>
      </c>
      <c r="F482" s="32" t="s">
        <v>164</v>
      </c>
      <c r="G482" s="32">
        <v>52</v>
      </c>
      <c r="H482" s="32" t="s">
        <v>175</v>
      </c>
      <c r="I482" s="32">
        <v>4702</v>
      </c>
      <c r="J482" s="36">
        <v>904.66</v>
      </c>
      <c r="K482" s="32" t="s">
        <v>4234</v>
      </c>
      <c r="L482" s="169" t="s">
        <v>21</v>
      </c>
      <c r="M482" s="32" t="s">
        <v>224</v>
      </c>
    </row>
    <row r="483" spans="1:13" x14ac:dyDescent="0.25">
      <c r="A483" s="168">
        <v>46195</v>
      </c>
      <c r="B483" s="32">
        <v>1</v>
      </c>
      <c r="C483" s="32" t="s">
        <v>2866</v>
      </c>
      <c r="D483" s="169" t="s">
        <v>281</v>
      </c>
      <c r="E483" s="169" t="s">
        <v>166</v>
      </c>
      <c r="F483" s="32" t="s">
        <v>164</v>
      </c>
      <c r="G483" s="32">
        <v>58</v>
      </c>
      <c r="H483" s="32" t="s">
        <v>165</v>
      </c>
      <c r="I483" s="32">
        <v>3284</v>
      </c>
      <c r="J483" s="36">
        <v>704.75</v>
      </c>
      <c r="K483" s="32" t="s">
        <v>4235</v>
      </c>
      <c r="L483" s="169" t="s">
        <v>27</v>
      </c>
      <c r="M483" s="32" t="s">
        <v>224</v>
      </c>
    </row>
    <row r="484" spans="1:13" x14ac:dyDescent="0.25">
      <c r="A484" s="168">
        <v>46195</v>
      </c>
      <c r="B484" s="32">
        <v>1</v>
      </c>
      <c r="C484" s="32" t="s">
        <v>2866</v>
      </c>
      <c r="D484" s="169" t="s">
        <v>281</v>
      </c>
      <c r="E484" s="169" t="s">
        <v>166</v>
      </c>
      <c r="F484" s="32" t="s">
        <v>164</v>
      </c>
      <c r="G484" s="32">
        <v>58</v>
      </c>
      <c r="H484" s="32" t="s">
        <v>195</v>
      </c>
      <c r="I484" s="32">
        <v>275</v>
      </c>
      <c r="J484" s="36">
        <v>590.15</v>
      </c>
      <c r="K484" s="32" t="s">
        <v>4236</v>
      </c>
      <c r="L484" s="169" t="s">
        <v>91</v>
      </c>
      <c r="M484" s="32" t="s">
        <v>224</v>
      </c>
    </row>
    <row r="485" spans="1:13" x14ac:dyDescent="0.25">
      <c r="A485" s="168">
        <v>46195</v>
      </c>
      <c r="B485" s="32">
        <v>1</v>
      </c>
      <c r="C485" s="32" t="s">
        <v>167</v>
      </c>
      <c r="D485" s="169" t="s">
        <v>168</v>
      </c>
      <c r="E485" s="169" t="s">
        <v>163</v>
      </c>
      <c r="F485" s="32" t="s">
        <v>164</v>
      </c>
      <c r="G485" s="32">
        <v>52</v>
      </c>
      <c r="H485" s="32" t="s">
        <v>175</v>
      </c>
      <c r="I485" s="32">
        <v>2806</v>
      </c>
      <c r="J485" s="36">
        <v>539.87</v>
      </c>
      <c r="K485" s="32" t="s">
        <v>4237</v>
      </c>
      <c r="L485" s="169" t="s">
        <v>21</v>
      </c>
      <c r="M485" s="32" t="s">
        <v>224</v>
      </c>
    </row>
    <row r="486" spans="1:13" x14ac:dyDescent="0.25">
      <c r="A486" s="168">
        <v>46195</v>
      </c>
      <c r="B486" s="32">
        <v>1</v>
      </c>
      <c r="C486" s="32" t="s">
        <v>167</v>
      </c>
      <c r="D486" s="169" t="s">
        <v>168</v>
      </c>
      <c r="E486" s="169" t="s">
        <v>166</v>
      </c>
      <c r="F486" s="32" t="s">
        <v>111</v>
      </c>
      <c r="G486" s="32">
        <v>79</v>
      </c>
      <c r="H486" s="32" t="s">
        <v>169</v>
      </c>
      <c r="I486" s="32">
        <v>2752</v>
      </c>
      <c r="J486" s="36">
        <v>804.41</v>
      </c>
      <c r="K486" s="32" t="s">
        <v>4238</v>
      </c>
      <c r="L486" s="169" t="s">
        <v>116</v>
      </c>
      <c r="M486" s="32" t="s">
        <v>111</v>
      </c>
    </row>
    <row r="487" spans="1:13" x14ac:dyDescent="0.25">
      <c r="A487" s="168">
        <v>46195</v>
      </c>
      <c r="B487" s="32">
        <v>1</v>
      </c>
      <c r="C487" s="32" t="s">
        <v>342</v>
      </c>
      <c r="D487" s="169" t="s">
        <v>171</v>
      </c>
      <c r="E487" s="169" t="s">
        <v>163</v>
      </c>
      <c r="F487" s="32" t="s">
        <v>164</v>
      </c>
      <c r="G487" s="32">
        <v>52</v>
      </c>
      <c r="H487" s="32" t="s">
        <v>185</v>
      </c>
      <c r="I487" s="32">
        <v>4547</v>
      </c>
      <c r="J487" s="36">
        <v>874.84</v>
      </c>
      <c r="K487" s="32" t="s">
        <v>4239</v>
      </c>
      <c r="L487" s="169" t="s">
        <v>20</v>
      </c>
      <c r="M487" s="32" t="s">
        <v>224</v>
      </c>
    </row>
    <row r="488" spans="1:13" x14ac:dyDescent="0.25">
      <c r="A488" s="168">
        <v>46195</v>
      </c>
      <c r="B488" s="32">
        <v>1</v>
      </c>
      <c r="C488" s="32" t="s">
        <v>283</v>
      </c>
      <c r="D488" s="169" t="s">
        <v>282</v>
      </c>
      <c r="E488" s="169" t="s">
        <v>166</v>
      </c>
      <c r="F488" s="32" t="s">
        <v>1178</v>
      </c>
      <c r="G488" s="32">
        <v>51</v>
      </c>
      <c r="H488" s="32" t="s">
        <v>169</v>
      </c>
      <c r="I488" s="32">
        <v>2921</v>
      </c>
      <c r="J488" s="36">
        <v>551.19000000000005</v>
      </c>
      <c r="K488" s="32" t="s">
        <v>4240</v>
      </c>
      <c r="L488" s="169" t="s">
        <v>3744</v>
      </c>
      <c r="M488" s="32" t="s">
        <v>1178</v>
      </c>
    </row>
    <row r="489" spans="1:13" x14ac:dyDescent="0.25">
      <c r="A489" s="168">
        <v>46195</v>
      </c>
      <c r="B489" s="32">
        <v>1</v>
      </c>
      <c r="C489" s="32" t="s">
        <v>283</v>
      </c>
      <c r="D489" s="169" t="s">
        <v>282</v>
      </c>
      <c r="E489" s="169" t="s">
        <v>166</v>
      </c>
      <c r="F489" s="32" t="s">
        <v>1178</v>
      </c>
      <c r="G489" s="32">
        <v>51</v>
      </c>
      <c r="H489" s="32" t="s">
        <v>172</v>
      </c>
      <c r="I489" s="32">
        <v>2845</v>
      </c>
      <c r="J489" s="36">
        <v>536.85</v>
      </c>
      <c r="K489" s="32" t="s">
        <v>4241</v>
      </c>
      <c r="L489" s="169" t="s">
        <v>3847</v>
      </c>
      <c r="M489" s="32" t="s">
        <v>1178</v>
      </c>
    </row>
    <row r="490" spans="1:13" x14ac:dyDescent="0.25">
      <c r="A490" s="168">
        <v>46195</v>
      </c>
      <c r="B490" s="32">
        <v>1</v>
      </c>
      <c r="C490" s="32" t="s">
        <v>283</v>
      </c>
      <c r="D490" s="169" t="s">
        <v>282</v>
      </c>
      <c r="E490" s="169" t="s">
        <v>166</v>
      </c>
      <c r="F490" s="32" t="s">
        <v>1178</v>
      </c>
      <c r="G490" s="32">
        <v>51</v>
      </c>
      <c r="H490" s="32" t="s">
        <v>172</v>
      </c>
      <c r="I490" s="32">
        <v>2776</v>
      </c>
      <c r="J490" s="36">
        <v>523.83000000000004</v>
      </c>
      <c r="K490" s="32" t="s">
        <v>4242</v>
      </c>
      <c r="L490" s="169" t="s">
        <v>3847</v>
      </c>
      <c r="M490" s="32" t="s">
        <v>1178</v>
      </c>
    </row>
    <row r="491" spans="1:13" x14ac:dyDescent="0.25">
      <c r="A491" s="168">
        <v>46195</v>
      </c>
      <c r="B491" s="32">
        <v>1</v>
      </c>
      <c r="C491" s="32" t="s">
        <v>181</v>
      </c>
      <c r="D491" s="169" t="s">
        <v>182</v>
      </c>
      <c r="E491" s="169" t="s">
        <v>166</v>
      </c>
      <c r="F491" s="32" t="s">
        <v>111</v>
      </c>
      <c r="G491" s="32">
        <v>79</v>
      </c>
      <c r="H491" s="32" t="s">
        <v>169</v>
      </c>
      <c r="I491" s="32">
        <v>256</v>
      </c>
      <c r="J491" s="36">
        <v>748.29</v>
      </c>
      <c r="K491" s="32" t="s">
        <v>4243</v>
      </c>
      <c r="L491" s="169" t="s">
        <v>116</v>
      </c>
      <c r="M491" s="32" t="s">
        <v>111</v>
      </c>
    </row>
    <row r="492" spans="1:13" x14ac:dyDescent="0.25">
      <c r="A492" s="168">
        <v>46195</v>
      </c>
      <c r="B492" s="32">
        <v>1</v>
      </c>
      <c r="C492" s="32" t="s">
        <v>167</v>
      </c>
      <c r="D492" s="169" t="s">
        <v>168</v>
      </c>
      <c r="E492" s="169" t="s">
        <v>166</v>
      </c>
      <c r="F492" s="32" t="s">
        <v>111</v>
      </c>
      <c r="G492" s="32">
        <v>79</v>
      </c>
      <c r="H492" s="32" t="s">
        <v>169</v>
      </c>
      <c r="I492" s="32">
        <v>282</v>
      </c>
      <c r="J492" s="36">
        <v>824.29</v>
      </c>
      <c r="K492" s="32" t="s">
        <v>4244</v>
      </c>
      <c r="L492" s="169" t="s">
        <v>116</v>
      </c>
      <c r="M492" s="32" t="s">
        <v>111</v>
      </c>
    </row>
    <row r="493" spans="1:13" x14ac:dyDescent="0.25">
      <c r="A493" s="168">
        <v>46195</v>
      </c>
      <c r="B493" s="32">
        <v>1</v>
      </c>
      <c r="C493" s="32" t="s">
        <v>2866</v>
      </c>
      <c r="D493" s="169" t="s">
        <v>281</v>
      </c>
      <c r="E493" s="169" t="s">
        <v>166</v>
      </c>
      <c r="F493" s="32" t="s">
        <v>164</v>
      </c>
      <c r="G493" s="32">
        <v>58</v>
      </c>
      <c r="H493" s="32" t="s">
        <v>195</v>
      </c>
      <c r="I493" s="32">
        <v>2634</v>
      </c>
      <c r="J493" s="36">
        <v>565.26</v>
      </c>
      <c r="K493" s="32" t="s">
        <v>4245</v>
      </c>
      <c r="L493" s="169" t="s">
        <v>91</v>
      </c>
      <c r="M493" s="32" t="s">
        <v>224</v>
      </c>
    </row>
    <row r="494" spans="1:13" x14ac:dyDescent="0.25">
      <c r="A494" s="168">
        <v>46195</v>
      </c>
      <c r="B494" s="32">
        <v>1</v>
      </c>
      <c r="C494" s="32" t="s">
        <v>183</v>
      </c>
      <c r="D494" s="169" t="s">
        <v>184</v>
      </c>
      <c r="E494" s="169" t="s">
        <v>166</v>
      </c>
      <c r="F494" s="32" t="s">
        <v>111</v>
      </c>
      <c r="G494" s="32">
        <v>79</v>
      </c>
      <c r="H494" s="32" t="s">
        <v>169</v>
      </c>
      <c r="I494" s="32">
        <v>2726</v>
      </c>
      <c r="J494" s="36">
        <v>796.81</v>
      </c>
      <c r="K494" s="32" t="s">
        <v>4246</v>
      </c>
      <c r="L494" s="169" t="s">
        <v>116</v>
      </c>
      <c r="M494" s="32" t="s">
        <v>111</v>
      </c>
    </row>
    <row r="495" spans="1:13" x14ac:dyDescent="0.25">
      <c r="A495" s="168">
        <v>46195</v>
      </c>
      <c r="B495" s="32">
        <v>1</v>
      </c>
      <c r="C495" s="32" t="s">
        <v>183</v>
      </c>
      <c r="D495" s="169" t="s">
        <v>184</v>
      </c>
      <c r="E495" s="169" t="s">
        <v>166</v>
      </c>
      <c r="F495" s="32" t="s">
        <v>111</v>
      </c>
      <c r="G495" s="32">
        <v>79</v>
      </c>
      <c r="H495" s="32" t="s">
        <v>169</v>
      </c>
      <c r="I495" s="32">
        <v>2656</v>
      </c>
      <c r="J495" s="36">
        <v>776.35</v>
      </c>
      <c r="K495" s="32" t="s">
        <v>4247</v>
      </c>
      <c r="L495" s="169" t="s">
        <v>116</v>
      </c>
      <c r="M495" s="32" t="s">
        <v>111</v>
      </c>
    </row>
    <row r="496" spans="1:13" x14ac:dyDescent="0.25">
      <c r="A496" s="168">
        <v>46195</v>
      </c>
      <c r="B496" s="32">
        <v>1</v>
      </c>
      <c r="C496" s="32" t="s">
        <v>173</v>
      </c>
      <c r="D496" s="169" t="s">
        <v>174</v>
      </c>
      <c r="E496" s="169" t="s">
        <v>166</v>
      </c>
      <c r="F496" s="32" t="s">
        <v>111</v>
      </c>
      <c r="G496" s="32">
        <v>79</v>
      </c>
      <c r="H496" s="32" t="s">
        <v>169</v>
      </c>
      <c r="I496" s="32">
        <v>2422</v>
      </c>
      <c r="J496" s="36">
        <v>707.95</v>
      </c>
      <c r="K496" s="32" t="s">
        <v>4248</v>
      </c>
      <c r="L496" s="169" t="s">
        <v>116</v>
      </c>
      <c r="M496" s="32" t="s">
        <v>111</v>
      </c>
    </row>
    <row r="497" spans="1:13" x14ac:dyDescent="0.25">
      <c r="A497" s="168">
        <v>46195</v>
      </c>
      <c r="B497" s="32">
        <v>1</v>
      </c>
      <c r="C497" s="32" t="s">
        <v>173</v>
      </c>
      <c r="D497" s="169" t="s">
        <v>174</v>
      </c>
      <c r="E497" s="169" t="s">
        <v>166</v>
      </c>
      <c r="F497" s="32" t="s">
        <v>164</v>
      </c>
      <c r="G497" s="32">
        <v>58</v>
      </c>
      <c r="H497" s="32" t="s">
        <v>165</v>
      </c>
      <c r="I497" s="32">
        <v>2654</v>
      </c>
      <c r="J497" s="36">
        <v>569.54999999999995</v>
      </c>
      <c r="K497" s="32" t="s">
        <v>4249</v>
      </c>
      <c r="L497" s="169" t="s">
        <v>27</v>
      </c>
      <c r="M497" s="32" t="s">
        <v>224</v>
      </c>
    </row>
    <row r="498" spans="1:13" x14ac:dyDescent="0.25">
      <c r="A498" s="168">
        <v>46195</v>
      </c>
      <c r="B498" s="32">
        <v>1</v>
      </c>
      <c r="C498" s="32" t="s">
        <v>1129</v>
      </c>
      <c r="D498" s="169" t="s">
        <v>2396</v>
      </c>
      <c r="E498" s="169" t="s">
        <v>166</v>
      </c>
      <c r="F498" s="32" t="s">
        <v>111</v>
      </c>
      <c r="G498" s="32">
        <v>79</v>
      </c>
      <c r="H498" s="32" t="s">
        <v>169</v>
      </c>
      <c r="I498" s="32">
        <v>2744</v>
      </c>
      <c r="J498" s="36">
        <v>802.07</v>
      </c>
      <c r="K498" s="32" t="s">
        <v>4250</v>
      </c>
      <c r="L498" s="169" t="s">
        <v>116</v>
      </c>
      <c r="M498" s="32" t="s">
        <v>111</v>
      </c>
    </row>
    <row r="499" spans="1:13" x14ac:dyDescent="0.25">
      <c r="A499" s="168">
        <v>46195</v>
      </c>
      <c r="B499" s="32">
        <v>1</v>
      </c>
      <c r="C499" s="32" t="s">
        <v>1129</v>
      </c>
      <c r="D499" s="169" t="s">
        <v>2396</v>
      </c>
      <c r="E499" s="169" t="s">
        <v>166</v>
      </c>
      <c r="F499" s="32" t="s">
        <v>111</v>
      </c>
      <c r="G499" s="32">
        <v>79</v>
      </c>
      <c r="H499" s="32" t="s">
        <v>169</v>
      </c>
      <c r="I499" s="32">
        <v>2576</v>
      </c>
      <c r="J499" s="36">
        <v>752.96</v>
      </c>
      <c r="K499" s="32" t="s">
        <v>4251</v>
      </c>
      <c r="L499" s="169" t="s">
        <v>116</v>
      </c>
      <c r="M499" s="32" t="s">
        <v>111</v>
      </c>
    </row>
    <row r="500" spans="1:13" x14ac:dyDescent="0.25">
      <c r="A500" s="168">
        <v>46195</v>
      </c>
      <c r="B500" s="32">
        <v>1</v>
      </c>
      <c r="C500" s="32" t="s">
        <v>1129</v>
      </c>
      <c r="D500" s="169" t="s">
        <v>2396</v>
      </c>
      <c r="E500" s="169" t="s">
        <v>166</v>
      </c>
      <c r="F500" s="32" t="s">
        <v>164</v>
      </c>
      <c r="G500" s="32">
        <v>58</v>
      </c>
      <c r="H500" s="32" t="s">
        <v>165</v>
      </c>
      <c r="I500" s="32">
        <v>2642</v>
      </c>
      <c r="J500" s="36">
        <v>566.97</v>
      </c>
      <c r="K500" s="32" t="s">
        <v>4252</v>
      </c>
      <c r="L500" s="169" t="s">
        <v>27</v>
      </c>
      <c r="M500" s="32" t="s">
        <v>224</v>
      </c>
    </row>
    <row r="501" spans="1:13" x14ac:dyDescent="0.25">
      <c r="A501" s="168">
        <v>46195</v>
      </c>
      <c r="B501" s="32">
        <v>1</v>
      </c>
      <c r="C501" s="32" t="s">
        <v>1948</v>
      </c>
      <c r="D501" s="169" t="s">
        <v>1949</v>
      </c>
      <c r="E501" s="169" t="s">
        <v>190</v>
      </c>
      <c r="F501" s="32" t="s">
        <v>212</v>
      </c>
      <c r="G501" s="32">
        <v>376</v>
      </c>
      <c r="H501" s="32" t="s">
        <v>165</v>
      </c>
      <c r="I501" s="32">
        <v>462</v>
      </c>
      <c r="J501" s="36">
        <v>5558.78</v>
      </c>
      <c r="K501" s="32" t="s">
        <v>4253</v>
      </c>
      <c r="L501" s="169" t="s">
        <v>22</v>
      </c>
      <c r="M501" s="32" t="s">
        <v>223</v>
      </c>
    </row>
    <row r="502" spans="1:13" x14ac:dyDescent="0.25">
      <c r="A502" s="168">
        <v>46195</v>
      </c>
      <c r="B502" s="32">
        <v>1</v>
      </c>
      <c r="C502" s="32" t="s">
        <v>183</v>
      </c>
      <c r="D502" s="169" t="s">
        <v>184</v>
      </c>
      <c r="E502" s="169" t="s">
        <v>163</v>
      </c>
      <c r="F502" s="32" t="s">
        <v>164</v>
      </c>
      <c r="G502" s="32">
        <v>52</v>
      </c>
      <c r="H502" s="32" t="s">
        <v>175</v>
      </c>
      <c r="I502" s="32">
        <v>2679</v>
      </c>
      <c r="J502" s="36">
        <v>515.44000000000005</v>
      </c>
      <c r="K502" s="32" t="s">
        <v>4254</v>
      </c>
      <c r="L502" s="169" t="s">
        <v>21</v>
      </c>
      <c r="M502" s="32" t="s">
        <v>224</v>
      </c>
    </row>
    <row r="503" spans="1:13" x14ac:dyDescent="0.25">
      <c r="A503" s="168">
        <v>46195</v>
      </c>
      <c r="B503" s="32">
        <v>1</v>
      </c>
      <c r="C503" s="32" t="s">
        <v>193</v>
      </c>
      <c r="D503" s="169" t="s">
        <v>285</v>
      </c>
      <c r="E503" s="169" t="s">
        <v>166</v>
      </c>
      <c r="F503" s="32" t="s">
        <v>111</v>
      </c>
      <c r="G503" s="32">
        <v>79</v>
      </c>
      <c r="H503" s="32" t="s">
        <v>169</v>
      </c>
      <c r="I503" s="32">
        <v>261</v>
      </c>
      <c r="J503" s="36">
        <v>762.9</v>
      </c>
      <c r="K503" s="32" t="s">
        <v>4255</v>
      </c>
      <c r="L503" s="169" t="s">
        <v>116</v>
      </c>
      <c r="M503" s="32" t="s">
        <v>111</v>
      </c>
    </row>
    <row r="504" spans="1:13" x14ac:dyDescent="0.25">
      <c r="A504" s="168">
        <v>46195</v>
      </c>
      <c r="B504" s="32">
        <v>1</v>
      </c>
      <c r="C504" s="32" t="s">
        <v>193</v>
      </c>
      <c r="D504" s="169" t="s">
        <v>285</v>
      </c>
      <c r="E504" s="169" t="s">
        <v>166</v>
      </c>
      <c r="F504" s="32" t="s">
        <v>111</v>
      </c>
      <c r="G504" s="32">
        <v>79</v>
      </c>
      <c r="H504" s="32" t="s">
        <v>169</v>
      </c>
      <c r="I504" s="32">
        <v>2904</v>
      </c>
      <c r="J504" s="36">
        <v>848.84</v>
      </c>
      <c r="K504" s="32" t="s">
        <v>4256</v>
      </c>
      <c r="L504" s="169" t="s">
        <v>116</v>
      </c>
      <c r="M504" s="32" t="s">
        <v>111</v>
      </c>
    </row>
    <row r="505" spans="1:13" x14ac:dyDescent="0.25">
      <c r="A505" s="168">
        <v>46196</v>
      </c>
      <c r="B505" s="32">
        <v>1</v>
      </c>
      <c r="C505" s="32" t="s">
        <v>196</v>
      </c>
      <c r="D505" s="169" t="s">
        <v>197</v>
      </c>
      <c r="E505" s="169" t="s">
        <v>190</v>
      </c>
      <c r="F505" s="32" t="s">
        <v>212</v>
      </c>
      <c r="G505" s="32">
        <v>376</v>
      </c>
      <c r="H505" s="32" t="s">
        <v>165</v>
      </c>
      <c r="I505" s="32">
        <v>6742</v>
      </c>
      <c r="J505" s="36">
        <v>8111.97</v>
      </c>
      <c r="K505" s="32" t="s">
        <v>4257</v>
      </c>
      <c r="L505" s="169" t="s">
        <v>22</v>
      </c>
      <c r="M505" s="32" t="s">
        <v>223</v>
      </c>
    </row>
    <row r="506" spans="1:13" x14ac:dyDescent="0.25">
      <c r="A506" s="168">
        <v>46196</v>
      </c>
      <c r="B506" s="32">
        <v>1</v>
      </c>
      <c r="C506" s="32" t="s">
        <v>213</v>
      </c>
      <c r="D506" s="169" t="s">
        <v>1153</v>
      </c>
      <c r="E506" s="169" t="s">
        <v>190</v>
      </c>
      <c r="F506" s="32" t="s">
        <v>212</v>
      </c>
      <c r="G506" s="32">
        <v>376</v>
      </c>
      <c r="H506" s="32" t="s">
        <v>165</v>
      </c>
      <c r="I506" s="32">
        <v>6374</v>
      </c>
      <c r="J506" s="36">
        <v>7669.2</v>
      </c>
      <c r="K506" s="32" t="s">
        <v>4258</v>
      </c>
      <c r="L506" s="169" t="s">
        <v>22</v>
      </c>
      <c r="M506" s="32" t="s">
        <v>223</v>
      </c>
    </row>
    <row r="507" spans="1:13" x14ac:dyDescent="0.25">
      <c r="A507" s="168">
        <v>46196</v>
      </c>
      <c r="B507" s="32">
        <v>1</v>
      </c>
      <c r="C507" s="32" t="s">
        <v>176</v>
      </c>
      <c r="D507" s="169" t="s">
        <v>177</v>
      </c>
      <c r="E507" s="169" t="s">
        <v>190</v>
      </c>
      <c r="F507" s="32" t="s">
        <v>212</v>
      </c>
      <c r="G507" s="32">
        <v>376</v>
      </c>
      <c r="H507" s="32" t="s">
        <v>165</v>
      </c>
      <c r="I507" s="32">
        <v>4874</v>
      </c>
      <c r="J507" s="36">
        <v>5864.4</v>
      </c>
      <c r="K507" s="32" t="s">
        <v>4259</v>
      </c>
      <c r="L507" s="169" t="s">
        <v>22</v>
      </c>
      <c r="M507" s="32" t="s">
        <v>223</v>
      </c>
    </row>
    <row r="508" spans="1:13" x14ac:dyDescent="0.25">
      <c r="A508" s="168">
        <v>46196</v>
      </c>
      <c r="B508" s="32">
        <v>1</v>
      </c>
      <c r="C508" s="32" t="s">
        <v>203</v>
      </c>
      <c r="D508" s="169" t="s">
        <v>204</v>
      </c>
      <c r="E508" s="169" t="s">
        <v>190</v>
      </c>
      <c r="F508" s="32" t="s">
        <v>212</v>
      </c>
      <c r="G508" s="32">
        <v>376</v>
      </c>
      <c r="H508" s="32" t="s">
        <v>165</v>
      </c>
      <c r="I508" s="32">
        <v>5146</v>
      </c>
      <c r="J508" s="36">
        <v>6191.67</v>
      </c>
      <c r="K508" s="32" t="s">
        <v>4260</v>
      </c>
      <c r="L508" s="169" t="s">
        <v>22</v>
      </c>
      <c r="M508" s="32" t="s">
        <v>223</v>
      </c>
    </row>
    <row r="509" spans="1:13" x14ac:dyDescent="0.25">
      <c r="A509" s="168">
        <v>46196</v>
      </c>
      <c r="B509" s="32">
        <v>1</v>
      </c>
      <c r="C509" s="32" t="s">
        <v>342</v>
      </c>
      <c r="D509" s="169" t="s">
        <v>171</v>
      </c>
      <c r="E509" s="169" t="s">
        <v>163</v>
      </c>
      <c r="F509" s="32" t="s">
        <v>164</v>
      </c>
      <c r="G509" s="32">
        <v>52</v>
      </c>
      <c r="H509" s="32" t="s">
        <v>185</v>
      </c>
      <c r="I509" s="32">
        <v>4632</v>
      </c>
      <c r="J509" s="36">
        <v>891.2</v>
      </c>
      <c r="K509" s="32" t="s">
        <v>4261</v>
      </c>
      <c r="L509" s="169" t="s">
        <v>20</v>
      </c>
      <c r="M509" s="32" t="s">
        <v>224</v>
      </c>
    </row>
    <row r="510" spans="1:13" x14ac:dyDescent="0.25">
      <c r="A510" s="168">
        <v>46196</v>
      </c>
      <c r="B510" s="32">
        <v>1</v>
      </c>
      <c r="C510" s="32" t="s">
        <v>2866</v>
      </c>
      <c r="D510" s="169" t="s">
        <v>281</v>
      </c>
      <c r="E510" s="169" t="s">
        <v>166</v>
      </c>
      <c r="F510" s="32" t="s">
        <v>164</v>
      </c>
      <c r="G510" s="32">
        <v>58</v>
      </c>
      <c r="H510" s="32" t="s">
        <v>195</v>
      </c>
      <c r="I510" s="32">
        <v>3904</v>
      </c>
      <c r="J510" s="36">
        <v>837.8</v>
      </c>
      <c r="K510" s="32" t="s">
        <v>4262</v>
      </c>
      <c r="L510" s="169" t="s">
        <v>91</v>
      </c>
      <c r="M510" s="32" t="s">
        <v>224</v>
      </c>
    </row>
    <row r="511" spans="1:13" x14ac:dyDescent="0.25">
      <c r="A511" s="168">
        <v>46196</v>
      </c>
      <c r="B511" s="32">
        <v>1</v>
      </c>
      <c r="C511" s="32" t="s">
        <v>199</v>
      </c>
      <c r="D511" s="169" t="s">
        <v>180</v>
      </c>
      <c r="E511" s="169" t="s">
        <v>166</v>
      </c>
      <c r="F511" s="32" t="s">
        <v>111</v>
      </c>
      <c r="G511" s="32">
        <v>79</v>
      </c>
      <c r="H511" s="32" t="s">
        <v>169</v>
      </c>
      <c r="I511" s="32">
        <v>2826</v>
      </c>
      <c r="J511" s="36">
        <v>826.04</v>
      </c>
      <c r="K511" s="32" t="s">
        <v>4263</v>
      </c>
      <c r="L511" s="169" t="s">
        <v>116</v>
      </c>
      <c r="M511" s="32" t="s">
        <v>111</v>
      </c>
    </row>
    <row r="512" spans="1:13" x14ac:dyDescent="0.25">
      <c r="A512" s="168">
        <v>46196</v>
      </c>
      <c r="B512" s="32">
        <v>1</v>
      </c>
      <c r="C512" s="32" t="s">
        <v>167</v>
      </c>
      <c r="D512" s="169" t="s">
        <v>168</v>
      </c>
      <c r="E512" s="169" t="s">
        <v>163</v>
      </c>
      <c r="F512" s="32" t="s">
        <v>164</v>
      </c>
      <c r="G512" s="32">
        <v>52</v>
      </c>
      <c r="H512" s="32" t="s">
        <v>175</v>
      </c>
      <c r="I512" s="32">
        <v>2671</v>
      </c>
      <c r="J512" s="36">
        <v>513.9</v>
      </c>
      <c r="K512" s="32" t="s">
        <v>4264</v>
      </c>
      <c r="L512" s="169" t="s">
        <v>21</v>
      </c>
      <c r="M512" s="32" t="s">
        <v>224</v>
      </c>
    </row>
    <row r="513" spans="1:13" x14ac:dyDescent="0.25">
      <c r="A513" s="168">
        <v>46196</v>
      </c>
      <c r="B513" s="32">
        <v>1</v>
      </c>
      <c r="C513" s="32" t="s">
        <v>167</v>
      </c>
      <c r="D513" s="169" t="s">
        <v>168</v>
      </c>
      <c r="E513" s="169" t="s">
        <v>166</v>
      </c>
      <c r="F513" s="32" t="s">
        <v>111</v>
      </c>
      <c r="G513" s="32">
        <v>79</v>
      </c>
      <c r="H513" s="32" t="s">
        <v>169</v>
      </c>
      <c r="I513" s="32">
        <v>2612</v>
      </c>
      <c r="J513" s="36">
        <v>763.49</v>
      </c>
      <c r="K513" s="32" t="s">
        <v>4265</v>
      </c>
      <c r="L513" s="169" t="s">
        <v>116</v>
      </c>
      <c r="M513" s="32" t="s">
        <v>111</v>
      </c>
    </row>
    <row r="514" spans="1:13" x14ac:dyDescent="0.25">
      <c r="A514" s="168">
        <v>46196</v>
      </c>
      <c r="B514" s="32">
        <v>1</v>
      </c>
      <c r="C514" s="32" t="s">
        <v>2866</v>
      </c>
      <c r="D514" s="169" t="s">
        <v>281</v>
      </c>
      <c r="E514" s="169" t="s">
        <v>166</v>
      </c>
      <c r="F514" s="32" t="s">
        <v>164</v>
      </c>
      <c r="G514" s="32">
        <v>58</v>
      </c>
      <c r="H514" s="32" t="s">
        <v>165</v>
      </c>
      <c r="I514" s="32">
        <v>2614</v>
      </c>
      <c r="J514" s="36">
        <v>560.96</v>
      </c>
      <c r="K514" s="32" t="s">
        <v>4266</v>
      </c>
      <c r="L514" s="169" t="s">
        <v>27</v>
      </c>
      <c r="M514" s="32" t="s">
        <v>224</v>
      </c>
    </row>
    <row r="515" spans="1:13" x14ac:dyDescent="0.25">
      <c r="A515" s="168">
        <v>46196</v>
      </c>
      <c r="B515" s="32">
        <v>1</v>
      </c>
      <c r="C515" s="32" t="s">
        <v>342</v>
      </c>
      <c r="D515" s="169" t="s">
        <v>171</v>
      </c>
      <c r="E515" s="169" t="s">
        <v>163</v>
      </c>
      <c r="F515" s="32" t="s">
        <v>164</v>
      </c>
      <c r="G515" s="32">
        <v>52</v>
      </c>
      <c r="H515" s="32" t="s">
        <v>175</v>
      </c>
      <c r="I515" s="32">
        <v>4531</v>
      </c>
      <c r="J515" s="36">
        <v>871.76</v>
      </c>
      <c r="K515" s="32" t="s">
        <v>4267</v>
      </c>
      <c r="L515" s="169" t="s">
        <v>21</v>
      </c>
      <c r="M515" s="32" t="s">
        <v>224</v>
      </c>
    </row>
    <row r="516" spans="1:13" x14ac:dyDescent="0.25">
      <c r="A516" s="168">
        <v>46196</v>
      </c>
      <c r="B516" s="32">
        <v>1</v>
      </c>
      <c r="C516" s="32" t="s">
        <v>219</v>
      </c>
      <c r="D516" s="169" t="s">
        <v>220</v>
      </c>
      <c r="E516" s="169" t="s">
        <v>163</v>
      </c>
      <c r="F516" s="32" t="s">
        <v>164</v>
      </c>
      <c r="G516" s="32">
        <v>52</v>
      </c>
      <c r="H516" s="32" t="s">
        <v>175</v>
      </c>
      <c r="I516" s="32">
        <v>993</v>
      </c>
      <c r="J516" s="36">
        <v>1910.53</v>
      </c>
      <c r="K516" s="32" t="s">
        <v>4268</v>
      </c>
      <c r="L516" s="169" t="s">
        <v>21</v>
      </c>
      <c r="M516" s="32" t="s">
        <v>224</v>
      </c>
    </row>
    <row r="517" spans="1:13" x14ac:dyDescent="0.25">
      <c r="A517" s="168">
        <v>46196</v>
      </c>
      <c r="B517" s="32">
        <v>1</v>
      </c>
      <c r="C517" s="32" t="s">
        <v>199</v>
      </c>
      <c r="D517" s="169" t="s">
        <v>180</v>
      </c>
      <c r="E517" s="169" t="s">
        <v>166</v>
      </c>
      <c r="F517" s="32" t="s">
        <v>111</v>
      </c>
      <c r="G517" s="32">
        <v>79</v>
      </c>
      <c r="H517" s="32" t="s">
        <v>169</v>
      </c>
      <c r="I517" s="32">
        <v>284</v>
      </c>
      <c r="J517" s="36">
        <v>830.13</v>
      </c>
      <c r="K517" s="32" t="s">
        <v>4269</v>
      </c>
      <c r="L517" s="169" t="s">
        <v>116</v>
      </c>
      <c r="M517" s="32" t="s">
        <v>111</v>
      </c>
    </row>
    <row r="518" spans="1:13" x14ac:dyDescent="0.25">
      <c r="A518" s="168">
        <v>46196</v>
      </c>
      <c r="B518" s="32">
        <v>1</v>
      </c>
      <c r="C518" s="32" t="s">
        <v>167</v>
      </c>
      <c r="D518" s="169" t="s">
        <v>168</v>
      </c>
      <c r="E518" s="169" t="s">
        <v>166</v>
      </c>
      <c r="F518" s="32" t="s">
        <v>164</v>
      </c>
      <c r="G518" s="32">
        <v>58</v>
      </c>
      <c r="H518" s="32" t="s">
        <v>175</v>
      </c>
      <c r="I518" s="32">
        <v>279</v>
      </c>
      <c r="J518" s="36">
        <v>598.73</v>
      </c>
      <c r="K518" s="32" t="s">
        <v>4270</v>
      </c>
      <c r="L518" s="169" t="s">
        <v>86</v>
      </c>
      <c r="M518" s="32" t="s">
        <v>224</v>
      </c>
    </row>
    <row r="519" spans="1:13" x14ac:dyDescent="0.25">
      <c r="A519" s="168">
        <v>46196</v>
      </c>
      <c r="B519" s="32">
        <v>1</v>
      </c>
      <c r="C519" s="32" t="s">
        <v>2866</v>
      </c>
      <c r="D519" s="169" t="s">
        <v>281</v>
      </c>
      <c r="E519" s="169" t="s">
        <v>166</v>
      </c>
      <c r="F519" s="32" t="s">
        <v>164</v>
      </c>
      <c r="G519" s="32">
        <v>58</v>
      </c>
      <c r="H519" s="32" t="s">
        <v>165</v>
      </c>
      <c r="I519" s="32">
        <v>283</v>
      </c>
      <c r="J519" s="36">
        <v>607.32000000000005</v>
      </c>
      <c r="K519" s="32" t="s">
        <v>4271</v>
      </c>
      <c r="L519" s="169" t="s">
        <v>27</v>
      </c>
      <c r="M519" s="32" t="s">
        <v>224</v>
      </c>
    </row>
    <row r="520" spans="1:13" x14ac:dyDescent="0.25">
      <c r="A520" s="168">
        <v>46196</v>
      </c>
      <c r="B520" s="32">
        <v>1</v>
      </c>
      <c r="C520" s="32" t="s">
        <v>202</v>
      </c>
      <c r="D520" s="169" t="s">
        <v>214</v>
      </c>
      <c r="E520" s="169" t="s">
        <v>190</v>
      </c>
      <c r="F520" s="32" t="s">
        <v>212</v>
      </c>
      <c r="G520" s="32">
        <v>376</v>
      </c>
      <c r="H520" s="32" t="s">
        <v>165</v>
      </c>
      <c r="I520" s="32">
        <v>7014</v>
      </c>
      <c r="J520" s="36">
        <v>8439.24</v>
      </c>
      <c r="K520" s="32" t="s">
        <v>4272</v>
      </c>
      <c r="L520" s="169" t="s">
        <v>22</v>
      </c>
      <c r="M520" s="32" t="s">
        <v>223</v>
      </c>
    </row>
    <row r="521" spans="1:13" x14ac:dyDescent="0.25">
      <c r="A521" s="168">
        <v>46196</v>
      </c>
      <c r="B521" s="32">
        <v>1</v>
      </c>
      <c r="C521" s="32" t="s">
        <v>283</v>
      </c>
      <c r="D521" s="169" t="s">
        <v>282</v>
      </c>
      <c r="E521" s="169" t="s">
        <v>166</v>
      </c>
      <c r="F521" s="32" t="s">
        <v>1178</v>
      </c>
      <c r="G521" s="32">
        <v>51</v>
      </c>
      <c r="H521" s="32" t="s">
        <v>172</v>
      </c>
      <c r="I521" s="32">
        <v>2754</v>
      </c>
      <c r="J521" s="36">
        <v>519.67999999999995</v>
      </c>
      <c r="K521" s="32" t="s">
        <v>4273</v>
      </c>
      <c r="L521" s="169" t="s">
        <v>3847</v>
      </c>
      <c r="M521" s="32" t="s">
        <v>1178</v>
      </c>
    </row>
    <row r="522" spans="1:13" x14ac:dyDescent="0.25">
      <c r="A522" s="168">
        <v>46196</v>
      </c>
      <c r="B522" s="32">
        <v>1</v>
      </c>
      <c r="C522" s="32" t="s">
        <v>283</v>
      </c>
      <c r="D522" s="169" t="s">
        <v>282</v>
      </c>
      <c r="E522" s="169" t="s">
        <v>166</v>
      </c>
      <c r="F522" s="32" t="s">
        <v>1178</v>
      </c>
      <c r="G522" s="32">
        <v>51</v>
      </c>
      <c r="H522" s="32" t="s">
        <v>172</v>
      </c>
      <c r="I522" s="32">
        <v>2728</v>
      </c>
      <c r="J522" s="36">
        <v>514.77</v>
      </c>
      <c r="K522" s="32" t="s">
        <v>4274</v>
      </c>
      <c r="L522" s="169" t="s">
        <v>3847</v>
      </c>
      <c r="M522" s="32" t="s">
        <v>1178</v>
      </c>
    </row>
    <row r="523" spans="1:13" x14ac:dyDescent="0.25">
      <c r="A523" s="168">
        <v>46196</v>
      </c>
      <c r="B523" s="32">
        <v>1</v>
      </c>
      <c r="C523" s="32" t="s">
        <v>283</v>
      </c>
      <c r="D523" s="169" t="s">
        <v>282</v>
      </c>
      <c r="E523" s="169" t="s">
        <v>166</v>
      </c>
      <c r="F523" s="32" t="s">
        <v>1178</v>
      </c>
      <c r="G523" s="32">
        <v>51</v>
      </c>
      <c r="H523" s="32" t="s">
        <v>169</v>
      </c>
      <c r="I523" s="32">
        <v>276</v>
      </c>
      <c r="J523" s="36">
        <v>520.80999999999995</v>
      </c>
      <c r="K523" s="32" t="s">
        <v>4275</v>
      </c>
      <c r="L523" s="169" t="s">
        <v>3744</v>
      </c>
      <c r="M523" s="32" t="s">
        <v>1178</v>
      </c>
    </row>
    <row r="524" spans="1:13" x14ac:dyDescent="0.25">
      <c r="A524" s="168">
        <v>46196</v>
      </c>
      <c r="B524" s="32">
        <v>1</v>
      </c>
      <c r="C524" s="32" t="s">
        <v>296</v>
      </c>
      <c r="D524" s="169" t="s">
        <v>1536</v>
      </c>
      <c r="E524" s="169" t="s">
        <v>276</v>
      </c>
      <c r="F524" s="32" t="s">
        <v>919</v>
      </c>
      <c r="G524" s="32">
        <v>358</v>
      </c>
      <c r="H524" s="32" t="s">
        <v>207</v>
      </c>
      <c r="I524" s="32">
        <v>3988</v>
      </c>
      <c r="J524" s="36">
        <v>4568.6499999999996</v>
      </c>
      <c r="K524" s="32" t="s">
        <v>4276</v>
      </c>
      <c r="L524" s="169" t="s">
        <v>4277</v>
      </c>
      <c r="M524" s="32" t="s">
        <v>15</v>
      </c>
    </row>
    <row r="525" spans="1:13" x14ac:dyDescent="0.25">
      <c r="A525" s="168">
        <v>46196</v>
      </c>
      <c r="B525" s="32">
        <v>1</v>
      </c>
      <c r="C525" s="32" t="s">
        <v>183</v>
      </c>
      <c r="D525" s="169" t="s">
        <v>184</v>
      </c>
      <c r="E525" s="169" t="s">
        <v>166</v>
      </c>
      <c r="F525" s="32" t="s">
        <v>111</v>
      </c>
      <c r="G525" s="32">
        <v>79</v>
      </c>
      <c r="H525" s="32" t="s">
        <v>169</v>
      </c>
      <c r="I525" s="32">
        <v>2834</v>
      </c>
      <c r="J525" s="36">
        <v>828.38</v>
      </c>
      <c r="K525" s="32" t="s">
        <v>4278</v>
      </c>
      <c r="L525" s="169" t="s">
        <v>116</v>
      </c>
      <c r="M525" s="32" t="s">
        <v>111</v>
      </c>
    </row>
    <row r="526" spans="1:13" x14ac:dyDescent="0.25">
      <c r="A526" s="168">
        <v>46196</v>
      </c>
      <c r="B526" s="32">
        <v>1</v>
      </c>
      <c r="C526" s="32" t="s">
        <v>183</v>
      </c>
      <c r="D526" s="169" t="s">
        <v>184</v>
      </c>
      <c r="E526" s="169" t="s">
        <v>163</v>
      </c>
      <c r="F526" s="32" t="s">
        <v>164</v>
      </c>
      <c r="G526" s="32">
        <v>52</v>
      </c>
      <c r="H526" s="32" t="s">
        <v>175</v>
      </c>
      <c r="I526" s="32">
        <v>2722</v>
      </c>
      <c r="J526" s="36">
        <v>523.71</v>
      </c>
      <c r="K526" s="32" t="s">
        <v>4279</v>
      </c>
      <c r="L526" s="169" t="s">
        <v>21</v>
      </c>
      <c r="M526" s="32" t="s">
        <v>224</v>
      </c>
    </row>
    <row r="527" spans="1:13" x14ac:dyDescent="0.25">
      <c r="A527" s="168">
        <v>46196</v>
      </c>
      <c r="B527" s="32">
        <v>1</v>
      </c>
      <c r="C527" s="32" t="s">
        <v>199</v>
      </c>
      <c r="D527" s="169" t="s">
        <v>180</v>
      </c>
      <c r="E527" s="169" t="s">
        <v>163</v>
      </c>
      <c r="F527" s="32" t="s">
        <v>164</v>
      </c>
      <c r="G527" s="32">
        <v>52</v>
      </c>
      <c r="H527" s="32" t="s">
        <v>175</v>
      </c>
      <c r="I527" s="32">
        <v>2753</v>
      </c>
      <c r="J527" s="36">
        <v>529.67999999999995</v>
      </c>
      <c r="K527" s="32" t="s">
        <v>4280</v>
      </c>
      <c r="L527" s="169" t="s">
        <v>21</v>
      </c>
      <c r="M527" s="32" t="s">
        <v>224</v>
      </c>
    </row>
    <row r="528" spans="1:13" x14ac:dyDescent="0.25">
      <c r="A528" s="168">
        <v>46196</v>
      </c>
      <c r="B528" s="32">
        <v>1</v>
      </c>
      <c r="C528" s="32" t="s">
        <v>208</v>
      </c>
      <c r="D528" s="169" t="s">
        <v>209</v>
      </c>
      <c r="E528" s="169" t="s">
        <v>190</v>
      </c>
      <c r="F528" s="32" t="s">
        <v>212</v>
      </c>
      <c r="G528" s="32">
        <v>376</v>
      </c>
      <c r="H528" s="32" t="s">
        <v>165</v>
      </c>
      <c r="I528" s="32">
        <v>570</v>
      </c>
      <c r="J528" s="36">
        <v>6858.24</v>
      </c>
      <c r="K528" s="32" t="s">
        <v>4281</v>
      </c>
      <c r="L528" s="169" t="s">
        <v>22</v>
      </c>
      <c r="M528" s="32" t="s">
        <v>223</v>
      </c>
    </row>
    <row r="529" spans="1:13" x14ac:dyDescent="0.25">
      <c r="A529" s="168">
        <v>46196</v>
      </c>
      <c r="B529" s="32">
        <v>1</v>
      </c>
      <c r="C529" s="32" t="s">
        <v>193</v>
      </c>
      <c r="D529" s="169" t="s">
        <v>285</v>
      </c>
      <c r="E529" s="169" t="s">
        <v>166</v>
      </c>
      <c r="F529" s="32" t="s">
        <v>111</v>
      </c>
      <c r="G529" s="32">
        <v>79</v>
      </c>
      <c r="H529" s="32" t="s">
        <v>169</v>
      </c>
      <c r="I529" s="32">
        <v>2738</v>
      </c>
      <c r="J529" s="36">
        <v>800.32</v>
      </c>
      <c r="K529" s="32" t="s">
        <v>4282</v>
      </c>
      <c r="L529" s="169" t="s">
        <v>116</v>
      </c>
      <c r="M529" s="32" t="s">
        <v>111</v>
      </c>
    </row>
    <row r="530" spans="1:13" x14ac:dyDescent="0.25">
      <c r="A530" s="168">
        <v>46196</v>
      </c>
      <c r="B530" s="32">
        <v>1</v>
      </c>
      <c r="C530" s="32" t="s">
        <v>193</v>
      </c>
      <c r="D530" s="169" t="s">
        <v>285</v>
      </c>
      <c r="E530" s="169" t="s">
        <v>166</v>
      </c>
      <c r="F530" s="32" t="s">
        <v>111</v>
      </c>
      <c r="G530" s="32">
        <v>79</v>
      </c>
      <c r="H530" s="32" t="s">
        <v>169</v>
      </c>
      <c r="I530" s="32">
        <v>274</v>
      </c>
      <c r="J530" s="36">
        <v>800.9</v>
      </c>
      <c r="K530" s="32" t="s">
        <v>4283</v>
      </c>
      <c r="L530" s="169" t="s">
        <v>116</v>
      </c>
      <c r="M530" s="32" t="s">
        <v>111</v>
      </c>
    </row>
    <row r="531" spans="1:13" x14ac:dyDescent="0.25">
      <c r="A531" s="168">
        <v>46196</v>
      </c>
      <c r="B531" s="32">
        <v>1</v>
      </c>
      <c r="C531" s="32" t="s">
        <v>188</v>
      </c>
      <c r="D531" s="169" t="s">
        <v>189</v>
      </c>
      <c r="E531" s="169" t="s">
        <v>163</v>
      </c>
      <c r="F531" s="32" t="s">
        <v>164</v>
      </c>
      <c r="G531" s="32">
        <v>52</v>
      </c>
      <c r="H531" s="32" t="s">
        <v>175</v>
      </c>
      <c r="I531" s="32">
        <v>4999</v>
      </c>
      <c r="J531" s="36">
        <v>961.81</v>
      </c>
      <c r="K531" s="32" t="s">
        <v>4284</v>
      </c>
      <c r="L531" s="169" t="s">
        <v>21</v>
      </c>
      <c r="M531" s="32" t="s">
        <v>224</v>
      </c>
    </row>
    <row r="532" spans="1:13" x14ac:dyDescent="0.25">
      <c r="A532" s="168">
        <v>46196</v>
      </c>
      <c r="B532" s="32">
        <v>1</v>
      </c>
      <c r="C532" s="32" t="s">
        <v>188</v>
      </c>
      <c r="D532" s="169" t="s">
        <v>189</v>
      </c>
      <c r="E532" s="169" t="s">
        <v>163</v>
      </c>
      <c r="F532" s="32" t="s">
        <v>164</v>
      </c>
      <c r="G532" s="32">
        <v>52</v>
      </c>
      <c r="H532" s="32" t="s">
        <v>175</v>
      </c>
      <c r="I532" s="32">
        <v>6907</v>
      </c>
      <c r="J532" s="36">
        <v>1328.91</v>
      </c>
      <c r="K532" s="32" t="s">
        <v>4285</v>
      </c>
      <c r="L532" s="169" t="s">
        <v>21</v>
      </c>
      <c r="M532" s="32" t="s">
        <v>224</v>
      </c>
    </row>
    <row r="533" spans="1:13" x14ac:dyDescent="0.25">
      <c r="A533" s="168">
        <v>46196</v>
      </c>
      <c r="B533" s="32">
        <v>1</v>
      </c>
      <c r="C533" s="32" t="s">
        <v>286</v>
      </c>
      <c r="D533" s="169" t="s">
        <v>506</v>
      </c>
      <c r="E533" s="169" t="s">
        <v>166</v>
      </c>
      <c r="F533" s="32" t="s">
        <v>164</v>
      </c>
      <c r="G533" s="32">
        <v>58</v>
      </c>
      <c r="H533" s="32" t="s">
        <v>165</v>
      </c>
      <c r="I533" s="32">
        <v>4834</v>
      </c>
      <c r="J533" s="36">
        <v>1037.3800000000001</v>
      </c>
      <c r="K533" s="32" t="s">
        <v>4286</v>
      </c>
      <c r="L533" s="169" t="s">
        <v>27</v>
      </c>
      <c r="M533" s="32" t="s">
        <v>224</v>
      </c>
    </row>
    <row r="534" spans="1:13" x14ac:dyDescent="0.25">
      <c r="A534" s="168">
        <v>46196</v>
      </c>
      <c r="B534" s="32">
        <v>1</v>
      </c>
      <c r="C534" s="32" t="s">
        <v>286</v>
      </c>
      <c r="D534" s="169" t="s">
        <v>506</v>
      </c>
      <c r="E534" s="169" t="s">
        <v>166</v>
      </c>
      <c r="F534" s="32" t="s">
        <v>164</v>
      </c>
      <c r="G534" s="32">
        <v>58</v>
      </c>
      <c r="H534" s="32" t="s">
        <v>165</v>
      </c>
      <c r="I534" s="32">
        <v>4508</v>
      </c>
      <c r="J534" s="36">
        <v>967.42</v>
      </c>
      <c r="K534" s="32" t="s">
        <v>4287</v>
      </c>
      <c r="L534" s="169" t="s">
        <v>27</v>
      </c>
      <c r="M534" s="32" t="s">
        <v>224</v>
      </c>
    </row>
    <row r="535" spans="1:13" x14ac:dyDescent="0.25">
      <c r="A535" s="168">
        <v>46196</v>
      </c>
      <c r="B535" s="32">
        <v>1</v>
      </c>
      <c r="C535" s="32" t="s">
        <v>1129</v>
      </c>
      <c r="D535" s="169" t="s">
        <v>2396</v>
      </c>
      <c r="E535" s="169" t="s">
        <v>166</v>
      </c>
      <c r="F535" s="32" t="s">
        <v>111</v>
      </c>
      <c r="G535" s="32">
        <v>79</v>
      </c>
      <c r="H535" s="32" t="s">
        <v>169</v>
      </c>
      <c r="I535" s="32">
        <v>2722</v>
      </c>
      <c r="J535" s="36">
        <v>795.64</v>
      </c>
      <c r="K535" s="32" t="s">
        <v>4288</v>
      </c>
      <c r="L535" s="169" t="s">
        <v>116</v>
      </c>
      <c r="M535" s="32" t="s">
        <v>111</v>
      </c>
    </row>
    <row r="536" spans="1:13" x14ac:dyDescent="0.25">
      <c r="A536" s="168">
        <v>46196</v>
      </c>
      <c r="B536" s="32">
        <v>1</v>
      </c>
      <c r="C536" s="32" t="s">
        <v>1129</v>
      </c>
      <c r="D536" s="169" t="s">
        <v>2396</v>
      </c>
      <c r="E536" s="169" t="s">
        <v>166</v>
      </c>
      <c r="F536" s="32" t="s">
        <v>111</v>
      </c>
      <c r="G536" s="32">
        <v>79</v>
      </c>
      <c r="H536" s="32" t="s">
        <v>169</v>
      </c>
      <c r="I536" s="32">
        <v>2726</v>
      </c>
      <c r="J536" s="36">
        <v>796.81</v>
      </c>
      <c r="K536" s="32" t="s">
        <v>4289</v>
      </c>
      <c r="L536" s="169" t="s">
        <v>116</v>
      </c>
      <c r="M536" s="32" t="s">
        <v>111</v>
      </c>
    </row>
    <row r="537" spans="1:13" x14ac:dyDescent="0.25">
      <c r="A537" s="168">
        <v>46196</v>
      </c>
      <c r="B537" s="32">
        <v>1</v>
      </c>
      <c r="C537" s="32" t="s">
        <v>1129</v>
      </c>
      <c r="D537" s="169" t="s">
        <v>2396</v>
      </c>
      <c r="E537" s="169" t="s">
        <v>163</v>
      </c>
      <c r="F537" s="32" t="s">
        <v>164</v>
      </c>
      <c r="G537" s="32">
        <v>52</v>
      </c>
      <c r="H537" s="32" t="s">
        <v>175</v>
      </c>
      <c r="I537" s="32">
        <v>2741</v>
      </c>
      <c r="J537" s="36">
        <v>527.37</v>
      </c>
      <c r="K537" s="32" t="s">
        <v>4290</v>
      </c>
      <c r="L537" s="169" t="s">
        <v>21</v>
      </c>
      <c r="M537" s="32" t="s">
        <v>224</v>
      </c>
    </row>
    <row r="538" spans="1:13" x14ac:dyDescent="0.25">
      <c r="A538" s="168">
        <v>46196</v>
      </c>
      <c r="B538" s="32">
        <v>1</v>
      </c>
      <c r="C538" s="32" t="s">
        <v>1948</v>
      </c>
      <c r="D538" s="169" t="s">
        <v>1949</v>
      </c>
      <c r="E538" s="169" t="s">
        <v>190</v>
      </c>
      <c r="F538" s="32" t="s">
        <v>212</v>
      </c>
      <c r="G538" s="32">
        <v>376</v>
      </c>
      <c r="H538" s="32" t="s">
        <v>165</v>
      </c>
      <c r="I538" s="32">
        <v>469</v>
      </c>
      <c r="J538" s="36">
        <v>5643.01</v>
      </c>
      <c r="K538" s="32" t="s">
        <v>4291</v>
      </c>
      <c r="L538" s="169" t="s">
        <v>22</v>
      </c>
      <c r="M538" s="32" t="s">
        <v>223</v>
      </c>
    </row>
    <row r="539" spans="1:13" x14ac:dyDescent="0.25">
      <c r="A539" s="168">
        <v>46196</v>
      </c>
      <c r="B539" s="32">
        <v>1</v>
      </c>
      <c r="C539" s="32" t="s">
        <v>179</v>
      </c>
      <c r="D539" s="169" t="s">
        <v>2863</v>
      </c>
      <c r="E539" s="169" t="s">
        <v>166</v>
      </c>
      <c r="F539" s="32" t="s">
        <v>111</v>
      </c>
      <c r="G539" s="32">
        <v>79</v>
      </c>
      <c r="H539" s="32" t="s">
        <v>169</v>
      </c>
      <c r="I539" s="32">
        <v>2762</v>
      </c>
      <c r="J539" s="36">
        <v>807.33</v>
      </c>
      <c r="K539" s="32" t="s">
        <v>4292</v>
      </c>
      <c r="L539" s="169" t="s">
        <v>116</v>
      </c>
      <c r="M539" s="32" t="s">
        <v>111</v>
      </c>
    </row>
    <row r="540" spans="1:13" x14ac:dyDescent="0.25">
      <c r="A540" s="168">
        <v>46196</v>
      </c>
      <c r="B540" s="32">
        <v>1</v>
      </c>
      <c r="C540" s="32" t="s">
        <v>179</v>
      </c>
      <c r="D540" s="169" t="s">
        <v>2863</v>
      </c>
      <c r="E540" s="169" t="s">
        <v>166</v>
      </c>
      <c r="F540" s="32" t="s">
        <v>111</v>
      </c>
      <c r="G540" s="32">
        <v>79</v>
      </c>
      <c r="H540" s="32" t="s">
        <v>169</v>
      </c>
      <c r="I540" s="32">
        <v>2612</v>
      </c>
      <c r="J540" s="36">
        <v>763.49</v>
      </c>
      <c r="K540" s="32" t="s">
        <v>4293</v>
      </c>
      <c r="L540" s="169" t="s">
        <v>116</v>
      </c>
      <c r="M540" s="32" t="s">
        <v>111</v>
      </c>
    </row>
    <row r="541" spans="1:13" x14ac:dyDescent="0.25">
      <c r="A541" s="168">
        <v>46196</v>
      </c>
      <c r="B541" s="32">
        <v>1</v>
      </c>
      <c r="C541" s="32" t="s">
        <v>186</v>
      </c>
      <c r="D541" s="169" t="s">
        <v>187</v>
      </c>
      <c r="E541" s="169" t="s">
        <v>2757</v>
      </c>
      <c r="F541" s="32" t="s">
        <v>2867</v>
      </c>
      <c r="G541" s="32">
        <v>383</v>
      </c>
      <c r="H541" s="32" t="s">
        <v>172</v>
      </c>
      <c r="I541" s="32">
        <v>6152</v>
      </c>
      <c r="J541" s="36">
        <v>7539.89</v>
      </c>
      <c r="K541" s="32" t="s">
        <v>4294</v>
      </c>
      <c r="L541" s="169" t="s">
        <v>3865</v>
      </c>
      <c r="M541" s="32" t="s">
        <v>15</v>
      </c>
    </row>
    <row r="542" spans="1:13" x14ac:dyDescent="0.25">
      <c r="A542" s="168">
        <v>46196</v>
      </c>
      <c r="B542" s="32">
        <v>1</v>
      </c>
      <c r="C542" s="32" t="s">
        <v>270</v>
      </c>
      <c r="D542" s="169" t="s">
        <v>288</v>
      </c>
      <c r="E542" s="169" t="s">
        <v>190</v>
      </c>
      <c r="F542" s="32" t="s">
        <v>212</v>
      </c>
      <c r="G542" s="32">
        <v>376</v>
      </c>
      <c r="H542" s="32" t="s">
        <v>165</v>
      </c>
      <c r="I542" s="32">
        <v>5016</v>
      </c>
      <c r="J542" s="36">
        <v>6035.25</v>
      </c>
      <c r="K542" s="32" t="s">
        <v>4295</v>
      </c>
      <c r="L542" s="169" t="s">
        <v>22</v>
      </c>
      <c r="M542" s="32" t="s">
        <v>223</v>
      </c>
    </row>
    <row r="543" spans="1:13" x14ac:dyDescent="0.25">
      <c r="A543" s="168">
        <v>46197</v>
      </c>
      <c r="B543" s="32">
        <v>1</v>
      </c>
      <c r="C543" s="32" t="s">
        <v>213</v>
      </c>
      <c r="D543" s="169" t="s">
        <v>1153</v>
      </c>
      <c r="E543" s="169" t="s">
        <v>163</v>
      </c>
      <c r="F543" s="32" t="s">
        <v>164</v>
      </c>
      <c r="G543" s="32">
        <v>52</v>
      </c>
      <c r="H543" s="32" t="s">
        <v>175</v>
      </c>
      <c r="I543" s="32">
        <v>4541</v>
      </c>
      <c r="J543" s="36">
        <v>873.69</v>
      </c>
      <c r="K543" s="32" t="s">
        <v>4296</v>
      </c>
      <c r="L543" s="169" t="s">
        <v>21</v>
      </c>
      <c r="M543" s="32" t="s">
        <v>224</v>
      </c>
    </row>
    <row r="544" spans="1:13" x14ac:dyDescent="0.25">
      <c r="A544" s="168">
        <v>46197</v>
      </c>
      <c r="B544" s="32">
        <v>1</v>
      </c>
      <c r="C544" s="32" t="s">
        <v>196</v>
      </c>
      <c r="D544" s="169" t="s">
        <v>197</v>
      </c>
      <c r="E544" s="169" t="s">
        <v>163</v>
      </c>
      <c r="F544" s="32" t="s">
        <v>164</v>
      </c>
      <c r="G544" s="32">
        <v>52</v>
      </c>
      <c r="H544" s="32" t="s">
        <v>175</v>
      </c>
      <c r="I544" s="32">
        <v>4499</v>
      </c>
      <c r="J544" s="36">
        <v>865.61</v>
      </c>
      <c r="K544" s="32" t="s">
        <v>4297</v>
      </c>
      <c r="L544" s="169" t="s">
        <v>21</v>
      </c>
      <c r="M544" s="32" t="s">
        <v>224</v>
      </c>
    </row>
    <row r="545" spans="1:13" x14ac:dyDescent="0.25">
      <c r="A545" s="168">
        <v>46197</v>
      </c>
      <c r="B545" s="32">
        <v>1</v>
      </c>
      <c r="C545" s="32" t="s">
        <v>342</v>
      </c>
      <c r="D545" s="169" t="s">
        <v>171</v>
      </c>
      <c r="E545" s="169" t="s">
        <v>163</v>
      </c>
      <c r="F545" s="32" t="s">
        <v>164</v>
      </c>
      <c r="G545" s="32">
        <v>52</v>
      </c>
      <c r="H545" s="32" t="s">
        <v>175</v>
      </c>
      <c r="I545" s="32">
        <v>4582</v>
      </c>
      <c r="J545" s="36">
        <v>881.58</v>
      </c>
      <c r="K545" s="32" t="s">
        <v>4298</v>
      </c>
      <c r="L545" s="169" t="s">
        <v>21</v>
      </c>
      <c r="M545" s="32" t="s">
        <v>224</v>
      </c>
    </row>
    <row r="546" spans="1:13" x14ac:dyDescent="0.25">
      <c r="A546" s="168">
        <v>46197</v>
      </c>
      <c r="B546" s="32">
        <v>1</v>
      </c>
      <c r="C546" s="32" t="s">
        <v>199</v>
      </c>
      <c r="D546" s="169" t="s">
        <v>180</v>
      </c>
      <c r="E546" s="169" t="s">
        <v>166</v>
      </c>
      <c r="F546" s="32" t="s">
        <v>111</v>
      </c>
      <c r="G546" s="32">
        <v>79</v>
      </c>
      <c r="H546" s="32" t="s">
        <v>169</v>
      </c>
      <c r="I546" s="32">
        <v>2842</v>
      </c>
      <c r="J546" s="36">
        <v>830.72</v>
      </c>
      <c r="K546" s="32" t="s">
        <v>4299</v>
      </c>
      <c r="L546" s="169" t="s">
        <v>116</v>
      </c>
      <c r="M546" s="32" t="s">
        <v>111</v>
      </c>
    </row>
    <row r="547" spans="1:13" x14ac:dyDescent="0.25">
      <c r="A547" s="168">
        <v>46197</v>
      </c>
      <c r="B547" s="32">
        <v>1</v>
      </c>
      <c r="C547" s="32" t="s">
        <v>188</v>
      </c>
      <c r="D547" s="169" t="s">
        <v>189</v>
      </c>
      <c r="E547" s="169" t="s">
        <v>163</v>
      </c>
      <c r="F547" s="32" t="s">
        <v>164</v>
      </c>
      <c r="G547" s="32">
        <v>52</v>
      </c>
      <c r="H547" s="32" t="s">
        <v>175</v>
      </c>
      <c r="I547" s="32">
        <v>4786</v>
      </c>
      <c r="J547" s="36">
        <v>920.83</v>
      </c>
      <c r="K547" s="32" t="s">
        <v>4300</v>
      </c>
      <c r="L547" s="169" t="s">
        <v>21</v>
      </c>
      <c r="M547" s="32" t="s">
        <v>224</v>
      </c>
    </row>
    <row r="548" spans="1:13" x14ac:dyDescent="0.25">
      <c r="A548" s="168">
        <v>46197</v>
      </c>
      <c r="B548" s="32">
        <v>1</v>
      </c>
      <c r="C548" s="32" t="s">
        <v>167</v>
      </c>
      <c r="D548" s="169" t="s">
        <v>168</v>
      </c>
      <c r="E548" s="169" t="s">
        <v>163</v>
      </c>
      <c r="F548" s="32" t="s">
        <v>164</v>
      </c>
      <c r="G548" s="32">
        <v>52</v>
      </c>
      <c r="H548" s="32" t="s">
        <v>175</v>
      </c>
      <c r="I548" s="32">
        <v>2812</v>
      </c>
      <c r="J548" s="36">
        <v>541.03</v>
      </c>
      <c r="K548" s="32" t="s">
        <v>4301</v>
      </c>
      <c r="L548" s="169" t="s">
        <v>21</v>
      </c>
      <c r="M548" s="32" t="s">
        <v>224</v>
      </c>
    </row>
    <row r="549" spans="1:13" x14ac:dyDescent="0.25">
      <c r="A549" s="168">
        <v>46197</v>
      </c>
      <c r="B549" s="32">
        <v>1</v>
      </c>
      <c r="C549" s="32" t="s">
        <v>167</v>
      </c>
      <c r="D549" s="169" t="s">
        <v>168</v>
      </c>
      <c r="E549" s="169" t="s">
        <v>166</v>
      </c>
      <c r="F549" s="32" t="s">
        <v>111</v>
      </c>
      <c r="G549" s="32">
        <v>79</v>
      </c>
      <c r="H549" s="32" t="s">
        <v>169</v>
      </c>
      <c r="I549" s="32">
        <v>2672</v>
      </c>
      <c r="J549" s="36">
        <v>781.03</v>
      </c>
      <c r="K549" s="32" t="s">
        <v>4302</v>
      </c>
      <c r="L549" s="169" t="s">
        <v>116</v>
      </c>
      <c r="M549" s="32" t="s">
        <v>111</v>
      </c>
    </row>
    <row r="550" spans="1:13" x14ac:dyDescent="0.25">
      <c r="A550" s="168">
        <v>46197</v>
      </c>
      <c r="B550" s="32">
        <v>1</v>
      </c>
      <c r="C550" s="32" t="s">
        <v>167</v>
      </c>
      <c r="D550" s="169" t="s">
        <v>168</v>
      </c>
      <c r="E550" s="169" t="s">
        <v>163</v>
      </c>
      <c r="F550" s="32" t="s">
        <v>164</v>
      </c>
      <c r="G550" s="32">
        <v>52</v>
      </c>
      <c r="H550" s="32" t="s">
        <v>195</v>
      </c>
      <c r="I550" s="32">
        <v>2612</v>
      </c>
      <c r="J550" s="36">
        <v>502.55</v>
      </c>
      <c r="K550" s="32" t="s">
        <v>4303</v>
      </c>
      <c r="L550" s="169" t="s">
        <v>137</v>
      </c>
      <c r="M550" s="32" t="s">
        <v>224</v>
      </c>
    </row>
    <row r="551" spans="1:13" x14ac:dyDescent="0.25">
      <c r="A551" s="168">
        <v>46197</v>
      </c>
      <c r="B551" s="32">
        <v>1</v>
      </c>
      <c r="C551" s="32" t="s">
        <v>342</v>
      </c>
      <c r="D551" s="169" t="s">
        <v>171</v>
      </c>
      <c r="E551" s="169" t="s">
        <v>163</v>
      </c>
      <c r="F551" s="32" t="s">
        <v>164</v>
      </c>
      <c r="G551" s="32">
        <v>52</v>
      </c>
      <c r="H551" s="32" t="s">
        <v>165</v>
      </c>
      <c r="I551" s="32">
        <v>4608</v>
      </c>
      <c r="J551" s="36">
        <v>886.58</v>
      </c>
      <c r="K551" s="32" t="s">
        <v>4304</v>
      </c>
      <c r="L551" s="169" t="s">
        <v>31</v>
      </c>
      <c r="M551" s="32" t="s">
        <v>224</v>
      </c>
    </row>
    <row r="552" spans="1:13" x14ac:dyDescent="0.25">
      <c r="A552" s="168">
        <v>46197</v>
      </c>
      <c r="B552" s="32">
        <v>1</v>
      </c>
      <c r="C552" s="32" t="s">
        <v>181</v>
      </c>
      <c r="D552" s="169" t="s">
        <v>182</v>
      </c>
      <c r="E552" s="169" t="s">
        <v>166</v>
      </c>
      <c r="F552" s="32" t="s">
        <v>164</v>
      </c>
      <c r="G552" s="32">
        <v>58</v>
      </c>
      <c r="H552" s="32" t="s">
        <v>165</v>
      </c>
      <c r="I552" s="32">
        <v>2694</v>
      </c>
      <c r="J552" s="36">
        <v>578.13</v>
      </c>
      <c r="K552" s="32" t="s">
        <v>4305</v>
      </c>
      <c r="L552" s="169" t="s">
        <v>27</v>
      </c>
      <c r="M552" s="32" t="s">
        <v>224</v>
      </c>
    </row>
    <row r="553" spans="1:13" x14ac:dyDescent="0.25">
      <c r="A553" s="168">
        <v>46197</v>
      </c>
      <c r="B553" s="32">
        <v>1</v>
      </c>
      <c r="C553" s="32" t="s">
        <v>2866</v>
      </c>
      <c r="D553" s="169" t="s">
        <v>281</v>
      </c>
      <c r="E553" s="169" t="s">
        <v>166</v>
      </c>
      <c r="F553" s="32" t="s">
        <v>111</v>
      </c>
      <c r="G553" s="32">
        <v>79</v>
      </c>
      <c r="H553" s="32" t="s">
        <v>195</v>
      </c>
      <c r="I553" s="32">
        <v>2774</v>
      </c>
      <c r="J553" s="36">
        <v>810.84</v>
      </c>
      <c r="K553" s="32" t="s">
        <v>4306</v>
      </c>
      <c r="L553" s="169" t="s">
        <v>4307</v>
      </c>
      <c r="M553" s="32" t="s">
        <v>111</v>
      </c>
    </row>
    <row r="554" spans="1:13" x14ac:dyDescent="0.25">
      <c r="A554" s="168">
        <v>46197</v>
      </c>
      <c r="B554" s="32">
        <v>1</v>
      </c>
      <c r="C554" s="32" t="s">
        <v>188</v>
      </c>
      <c r="D554" s="169" t="s">
        <v>189</v>
      </c>
      <c r="E554" s="169" t="s">
        <v>163</v>
      </c>
      <c r="F554" s="32" t="s">
        <v>164</v>
      </c>
      <c r="G554" s="32">
        <v>52</v>
      </c>
      <c r="H554" s="32" t="s">
        <v>175</v>
      </c>
      <c r="I554" s="32">
        <v>481</v>
      </c>
      <c r="J554" s="36">
        <v>925.44</v>
      </c>
      <c r="K554" s="32" t="s">
        <v>4308</v>
      </c>
      <c r="L554" s="169" t="s">
        <v>21</v>
      </c>
      <c r="M554" s="32" t="s">
        <v>224</v>
      </c>
    </row>
    <row r="555" spans="1:13" x14ac:dyDescent="0.25">
      <c r="A555" s="168">
        <v>46197</v>
      </c>
      <c r="B555" s="32">
        <v>1</v>
      </c>
      <c r="C555" s="32" t="s">
        <v>199</v>
      </c>
      <c r="D555" s="169" t="s">
        <v>180</v>
      </c>
      <c r="E555" s="169" t="s">
        <v>166</v>
      </c>
      <c r="F555" s="32" t="s">
        <v>111</v>
      </c>
      <c r="G555" s="32">
        <v>79</v>
      </c>
      <c r="H555" s="32" t="s">
        <v>169</v>
      </c>
      <c r="I555" s="32">
        <v>2746</v>
      </c>
      <c r="J555" s="36">
        <v>802.66</v>
      </c>
      <c r="K555" s="32" t="s">
        <v>4309</v>
      </c>
      <c r="L555" s="169" t="s">
        <v>116</v>
      </c>
      <c r="M555" s="32" t="s">
        <v>111</v>
      </c>
    </row>
    <row r="556" spans="1:13" x14ac:dyDescent="0.25">
      <c r="A556" s="168">
        <v>46197</v>
      </c>
      <c r="B556" s="32">
        <v>1</v>
      </c>
      <c r="C556" s="32" t="s">
        <v>2866</v>
      </c>
      <c r="D556" s="169" t="s">
        <v>281</v>
      </c>
      <c r="E556" s="169" t="s">
        <v>166</v>
      </c>
      <c r="F556" s="32" t="s">
        <v>111</v>
      </c>
      <c r="G556" s="32">
        <v>79</v>
      </c>
      <c r="H556" s="32" t="s">
        <v>169</v>
      </c>
      <c r="I556" s="32">
        <v>2716</v>
      </c>
      <c r="J556" s="36">
        <v>793.89</v>
      </c>
      <c r="K556" s="32" t="s">
        <v>4310</v>
      </c>
      <c r="L556" s="169" t="s">
        <v>116</v>
      </c>
      <c r="M556" s="32" t="s">
        <v>111</v>
      </c>
    </row>
    <row r="557" spans="1:13" x14ac:dyDescent="0.25">
      <c r="A557" s="168">
        <v>46197</v>
      </c>
      <c r="B557" s="32">
        <v>1</v>
      </c>
      <c r="C557" s="32" t="s">
        <v>2866</v>
      </c>
      <c r="D557" s="169" t="s">
        <v>281</v>
      </c>
      <c r="E557" s="169" t="s">
        <v>166</v>
      </c>
      <c r="F557" s="32" t="s">
        <v>111</v>
      </c>
      <c r="G557" s="32">
        <v>79</v>
      </c>
      <c r="H557" s="32" t="s">
        <v>169</v>
      </c>
      <c r="I557" s="32">
        <v>2704</v>
      </c>
      <c r="J557" s="36">
        <v>790.38</v>
      </c>
      <c r="K557" s="32" t="s">
        <v>4311</v>
      </c>
      <c r="L557" s="169" t="s">
        <v>116</v>
      </c>
      <c r="M557" s="32" t="s">
        <v>111</v>
      </c>
    </row>
    <row r="558" spans="1:13" x14ac:dyDescent="0.25">
      <c r="A558" s="168">
        <v>46197</v>
      </c>
      <c r="B558" s="32">
        <v>1</v>
      </c>
      <c r="C558" s="32" t="s">
        <v>219</v>
      </c>
      <c r="D558" s="169" t="s">
        <v>220</v>
      </c>
      <c r="E558" s="169" t="s">
        <v>163</v>
      </c>
      <c r="F558" s="32" t="s">
        <v>164</v>
      </c>
      <c r="G558" s="32">
        <v>52</v>
      </c>
      <c r="H558" s="32" t="s">
        <v>165</v>
      </c>
      <c r="I558" s="32">
        <v>623</v>
      </c>
      <c r="J558" s="36">
        <v>1198.6500000000001</v>
      </c>
      <c r="K558" s="32" t="s">
        <v>4312</v>
      </c>
      <c r="L558" s="169" t="s">
        <v>31</v>
      </c>
      <c r="M558" s="32" t="s">
        <v>224</v>
      </c>
    </row>
    <row r="559" spans="1:13" x14ac:dyDescent="0.25">
      <c r="A559" s="168">
        <v>46197</v>
      </c>
      <c r="B559" s="32">
        <v>1</v>
      </c>
      <c r="C559" s="32" t="s">
        <v>219</v>
      </c>
      <c r="D559" s="169" t="s">
        <v>220</v>
      </c>
      <c r="E559" s="169" t="s">
        <v>163</v>
      </c>
      <c r="F559" s="32" t="s">
        <v>164</v>
      </c>
      <c r="G559" s="32">
        <v>52</v>
      </c>
      <c r="H559" s="32" t="s">
        <v>175</v>
      </c>
      <c r="I559" s="32">
        <v>977</v>
      </c>
      <c r="J559" s="36">
        <v>1879.75</v>
      </c>
      <c r="K559" s="32" t="s">
        <v>4313</v>
      </c>
      <c r="L559" s="169" t="s">
        <v>21</v>
      </c>
      <c r="M559" s="32" t="s">
        <v>224</v>
      </c>
    </row>
    <row r="560" spans="1:13" x14ac:dyDescent="0.25">
      <c r="A560" s="168">
        <v>46197</v>
      </c>
      <c r="B560" s="32">
        <v>1</v>
      </c>
      <c r="C560" s="32" t="s">
        <v>173</v>
      </c>
      <c r="D560" s="169" t="s">
        <v>174</v>
      </c>
      <c r="E560" s="169" t="s">
        <v>166</v>
      </c>
      <c r="F560" s="32" t="s">
        <v>164</v>
      </c>
      <c r="G560" s="32">
        <v>58</v>
      </c>
      <c r="H560" s="32" t="s">
        <v>165</v>
      </c>
      <c r="I560" s="32">
        <v>2688</v>
      </c>
      <c r="J560" s="36">
        <v>576.84</v>
      </c>
      <c r="K560" s="32" t="s">
        <v>4314</v>
      </c>
      <c r="L560" s="169" t="s">
        <v>27</v>
      </c>
      <c r="M560" s="32" t="s">
        <v>224</v>
      </c>
    </row>
    <row r="561" spans="1:13" x14ac:dyDescent="0.25">
      <c r="A561" s="168">
        <v>46197</v>
      </c>
      <c r="B561" s="32">
        <v>1</v>
      </c>
      <c r="C561" s="32" t="s">
        <v>173</v>
      </c>
      <c r="D561" s="169" t="s">
        <v>174</v>
      </c>
      <c r="E561" s="169" t="s">
        <v>166</v>
      </c>
      <c r="F561" s="32" t="s">
        <v>164</v>
      </c>
      <c r="G561" s="32">
        <v>58</v>
      </c>
      <c r="H561" s="32" t="s">
        <v>169</v>
      </c>
      <c r="I561" s="32">
        <v>2602</v>
      </c>
      <c r="J561" s="36">
        <v>558.39</v>
      </c>
      <c r="K561" s="32" t="s">
        <v>4315</v>
      </c>
      <c r="L561" s="169" t="s">
        <v>57</v>
      </c>
      <c r="M561" s="32" t="s">
        <v>224</v>
      </c>
    </row>
    <row r="562" spans="1:13" x14ac:dyDescent="0.25">
      <c r="A562" s="168">
        <v>46197</v>
      </c>
      <c r="B562" s="32">
        <v>1</v>
      </c>
      <c r="C562" s="32" t="s">
        <v>183</v>
      </c>
      <c r="D562" s="169" t="s">
        <v>184</v>
      </c>
      <c r="E562" s="169" t="s">
        <v>166</v>
      </c>
      <c r="F562" s="32" t="s">
        <v>111</v>
      </c>
      <c r="G562" s="32">
        <v>79</v>
      </c>
      <c r="H562" s="32" t="s">
        <v>169</v>
      </c>
      <c r="I562" s="32">
        <v>281</v>
      </c>
      <c r="J562" s="36">
        <v>821.36</v>
      </c>
      <c r="K562" s="32" t="s">
        <v>4316</v>
      </c>
      <c r="L562" s="169" t="s">
        <v>116</v>
      </c>
      <c r="M562" s="32" t="s">
        <v>111</v>
      </c>
    </row>
    <row r="563" spans="1:13" x14ac:dyDescent="0.25">
      <c r="A563" s="168">
        <v>46197</v>
      </c>
      <c r="B563" s="32">
        <v>1</v>
      </c>
      <c r="C563" s="32" t="s">
        <v>183</v>
      </c>
      <c r="D563" s="169" t="s">
        <v>184</v>
      </c>
      <c r="E563" s="169" t="s">
        <v>166</v>
      </c>
      <c r="F563" s="32" t="s">
        <v>111</v>
      </c>
      <c r="G563" s="32">
        <v>79</v>
      </c>
      <c r="H563" s="32" t="s">
        <v>169</v>
      </c>
      <c r="I563" s="32">
        <v>2882</v>
      </c>
      <c r="J563" s="36">
        <v>842.41</v>
      </c>
      <c r="K563" s="32" t="s">
        <v>4317</v>
      </c>
      <c r="L563" s="169" t="s">
        <v>116</v>
      </c>
      <c r="M563" s="32" t="s">
        <v>111</v>
      </c>
    </row>
    <row r="564" spans="1:13" x14ac:dyDescent="0.25">
      <c r="A564" s="168">
        <v>46197</v>
      </c>
      <c r="B564" s="32">
        <v>1</v>
      </c>
      <c r="C564" s="32" t="s">
        <v>183</v>
      </c>
      <c r="D564" s="169" t="s">
        <v>184</v>
      </c>
      <c r="E564" s="169" t="s">
        <v>163</v>
      </c>
      <c r="F564" s="32" t="s">
        <v>164</v>
      </c>
      <c r="G564" s="32">
        <v>52</v>
      </c>
      <c r="H564" s="32" t="s">
        <v>175</v>
      </c>
      <c r="I564" s="32">
        <v>2722</v>
      </c>
      <c r="J564" s="36">
        <v>523.71</v>
      </c>
      <c r="K564" s="32" t="s">
        <v>4279</v>
      </c>
      <c r="L564" s="169" t="s">
        <v>21</v>
      </c>
      <c r="M564" s="32" t="s">
        <v>224</v>
      </c>
    </row>
    <row r="565" spans="1:13" x14ac:dyDescent="0.25">
      <c r="A565" s="168">
        <v>46197</v>
      </c>
      <c r="B565" s="32">
        <v>1</v>
      </c>
      <c r="C565" s="32" t="s">
        <v>296</v>
      </c>
      <c r="D565" s="169" t="s">
        <v>1536</v>
      </c>
      <c r="E565" s="169" t="s">
        <v>276</v>
      </c>
      <c r="F565" s="32" t="s">
        <v>2865</v>
      </c>
      <c r="G565" s="32">
        <v>37</v>
      </c>
      <c r="H565" s="32" t="s">
        <v>165</v>
      </c>
      <c r="I565" s="32">
        <v>3764</v>
      </c>
      <c r="J565" s="36">
        <v>515.29</v>
      </c>
      <c r="K565" s="32" t="s">
        <v>4318</v>
      </c>
      <c r="L565" s="169" t="s">
        <v>118</v>
      </c>
      <c r="M565" s="32" t="s">
        <v>15</v>
      </c>
    </row>
    <row r="566" spans="1:13" x14ac:dyDescent="0.25">
      <c r="A566" s="168">
        <v>46197</v>
      </c>
      <c r="B566" s="32">
        <v>1</v>
      </c>
      <c r="C566" s="32" t="s">
        <v>283</v>
      </c>
      <c r="D566" s="169" t="s">
        <v>282</v>
      </c>
      <c r="E566" s="169" t="s">
        <v>166</v>
      </c>
      <c r="F566" s="32" t="s">
        <v>1178</v>
      </c>
      <c r="G566" s="32">
        <v>51</v>
      </c>
      <c r="H566" s="32" t="s">
        <v>172</v>
      </c>
      <c r="I566" s="32">
        <v>238</v>
      </c>
      <c r="J566" s="36">
        <v>449.11</v>
      </c>
      <c r="K566" s="32" t="s">
        <v>4319</v>
      </c>
      <c r="L566" s="169" t="s">
        <v>3847</v>
      </c>
      <c r="M566" s="32" t="s">
        <v>1178</v>
      </c>
    </row>
    <row r="567" spans="1:13" x14ac:dyDescent="0.25">
      <c r="A567" s="168">
        <v>46197</v>
      </c>
      <c r="B567" s="32">
        <v>1</v>
      </c>
      <c r="C567" s="32" t="s">
        <v>283</v>
      </c>
      <c r="D567" s="169" t="s">
        <v>282</v>
      </c>
      <c r="E567" s="169" t="s">
        <v>166</v>
      </c>
      <c r="F567" s="32" t="s">
        <v>1178</v>
      </c>
      <c r="G567" s="32">
        <v>51</v>
      </c>
      <c r="H567" s="32" t="s">
        <v>172</v>
      </c>
      <c r="I567" s="32">
        <v>2782</v>
      </c>
      <c r="J567" s="36">
        <v>524.96</v>
      </c>
      <c r="K567" s="32" t="s">
        <v>4320</v>
      </c>
      <c r="L567" s="169" t="s">
        <v>3847</v>
      </c>
      <c r="M567" s="32" t="s">
        <v>1178</v>
      </c>
    </row>
    <row r="568" spans="1:13" x14ac:dyDescent="0.25">
      <c r="A568" s="168">
        <v>46197</v>
      </c>
      <c r="B568" s="32">
        <v>1</v>
      </c>
      <c r="C568" s="32" t="s">
        <v>283</v>
      </c>
      <c r="D568" s="169" t="s">
        <v>282</v>
      </c>
      <c r="E568" s="169" t="s">
        <v>166</v>
      </c>
      <c r="F568" s="32" t="s">
        <v>1178</v>
      </c>
      <c r="G568" s="32">
        <v>51</v>
      </c>
      <c r="H568" s="32" t="s">
        <v>169</v>
      </c>
      <c r="I568" s="32">
        <v>2738</v>
      </c>
      <c r="J568" s="36">
        <v>516.66</v>
      </c>
      <c r="K568" s="32" t="s">
        <v>4321</v>
      </c>
      <c r="L568" s="169" t="s">
        <v>3744</v>
      </c>
      <c r="M568" s="32" t="s">
        <v>1178</v>
      </c>
    </row>
    <row r="569" spans="1:13" x14ac:dyDescent="0.25">
      <c r="A569" s="168">
        <v>46197</v>
      </c>
      <c r="B569" s="32">
        <v>1</v>
      </c>
      <c r="C569" s="32" t="s">
        <v>179</v>
      </c>
      <c r="D569" s="169" t="s">
        <v>2863</v>
      </c>
      <c r="E569" s="169" t="s">
        <v>166</v>
      </c>
      <c r="F569" s="32" t="s">
        <v>111</v>
      </c>
      <c r="G569" s="32">
        <v>79</v>
      </c>
      <c r="H569" s="32" t="s">
        <v>169</v>
      </c>
      <c r="I569" s="32">
        <v>262</v>
      </c>
      <c r="J569" s="36">
        <v>765.83</v>
      </c>
      <c r="K569" s="32" t="s">
        <v>4322</v>
      </c>
      <c r="L569" s="169" t="s">
        <v>116</v>
      </c>
      <c r="M569" s="32" t="s">
        <v>111</v>
      </c>
    </row>
    <row r="570" spans="1:13" x14ac:dyDescent="0.25">
      <c r="A570" s="168">
        <v>46197</v>
      </c>
      <c r="B570" s="32">
        <v>1</v>
      </c>
      <c r="C570" s="32" t="s">
        <v>179</v>
      </c>
      <c r="D570" s="169" t="s">
        <v>2863</v>
      </c>
      <c r="E570" s="169" t="s">
        <v>166</v>
      </c>
      <c r="F570" s="32" t="s">
        <v>111</v>
      </c>
      <c r="G570" s="32">
        <v>79</v>
      </c>
      <c r="H570" s="32" t="s">
        <v>169</v>
      </c>
      <c r="I570" s="32">
        <v>2648</v>
      </c>
      <c r="J570" s="36">
        <v>774.01</v>
      </c>
      <c r="K570" s="32" t="s">
        <v>4323</v>
      </c>
      <c r="L570" s="169" t="s">
        <v>116</v>
      </c>
      <c r="M570" s="32" t="s">
        <v>111</v>
      </c>
    </row>
    <row r="571" spans="1:13" x14ac:dyDescent="0.25">
      <c r="A571" s="168">
        <v>46197</v>
      </c>
      <c r="B571" s="32">
        <v>1</v>
      </c>
      <c r="C571" s="32" t="s">
        <v>286</v>
      </c>
      <c r="D571" s="169" t="s">
        <v>506</v>
      </c>
      <c r="E571" s="169" t="s">
        <v>166</v>
      </c>
      <c r="F571" s="32" t="s">
        <v>164</v>
      </c>
      <c r="G571" s="32">
        <v>58</v>
      </c>
      <c r="H571" s="32" t="s">
        <v>165</v>
      </c>
      <c r="I571" s="32">
        <v>4574</v>
      </c>
      <c r="J571" s="36">
        <v>981.58</v>
      </c>
      <c r="K571" s="32" t="s">
        <v>4324</v>
      </c>
      <c r="L571" s="169" t="s">
        <v>27</v>
      </c>
      <c r="M571" s="32" t="s">
        <v>224</v>
      </c>
    </row>
    <row r="572" spans="1:13" x14ac:dyDescent="0.25">
      <c r="A572" s="168">
        <v>46197</v>
      </c>
      <c r="B572" s="32">
        <v>1</v>
      </c>
      <c r="C572" s="32" t="s">
        <v>286</v>
      </c>
      <c r="D572" s="169" t="s">
        <v>506</v>
      </c>
      <c r="E572" s="169" t="s">
        <v>166</v>
      </c>
      <c r="F572" s="32" t="s">
        <v>164</v>
      </c>
      <c r="G572" s="32">
        <v>58</v>
      </c>
      <c r="H572" s="32" t="s">
        <v>165</v>
      </c>
      <c r="I572" s="32">
        <v>466</v>
      </c>
      <c r="J572" s="36">
        <v>1000.04</v>
      </c>
      <c r="K572" s="32" t="s">
        <v>4325</v>
      </c>
      <c r="L572" s="169" t="s">
        <v>27</v>
      </c>
      <c r="M572" s="32" t="s">
        <v>224</v>
      </c>
    </row>
    <row r="573" spans="1:13" x14ac:dyDescent="0.25">
      <c r="A573" s="168">
        <v>46197</v>
      </c>
      <c r="B573" s="32">
        <v>1</v>
      </c>
      <c r="C573" s="32" t="s">
        <v>188</v>
      </c>
      <c r="D573" s="169" t="s">
        <v>189</v>
      </c>
      <c r="E573" s="169" t="s">
        <v>163</v>
      </c>
      <c r="F573" s="32" t="s">
        <v>164</v>
      </c>
      <c r="G573" s="32">
        <v>52</v>
      </c>
      <c r="H573" s="32" t="s">
        <v>175</v>
      </c>
      <c r="I573" s="32">
        <v>7109</v>
      </c>
      <c r="J573" s="36">
        <v>1367.77</v>
      </c>
      <c r="K573" s="32" t="s">
        <v>4326</v>
      </c>
      <c r="L573" s="169" t="s">
        <v>21</v>
      </c>
      <c r="M573" s="32" t="s">
        <v>224</v>
      </c>
    </row>
    <row r="574" spans="1:13" x14ac:dyDescent="0.25">
      <c r="A574" s="168">
        <v>46197</v>
      </c>
      <c r="B574" s="32">
        <v>1</v>
      </c>
      <c r="C574" s="32" t="s">
        <v>1129</v>
      </c>
      <c r="D574" s="169" t="s">
        <v>2396</v>
      </c>
      <c r="E574" s="169" t="s">
        <v>166</v>
      </c>
      <c r="F574" s="32" t="s">
        <v>111</v>
      </c>
      <c r="G574" s="32">
        <v>79</v>
      </c>
      <c r="H574" s="32" t="s">
        <v>169</v>
      </c>
      <c r="I574" s="32">
        <v>2846</v>
      </c>
      <c r="J574" s="36">
        <v>831.89</v>
      </c>
      <c r="K574" s="32" t="s">
        <v>4327</v>
      </c>
      <c r="L574" s="169" t="s">
        <v>116</v>
      </c>
      <c r="M574" s="32" t="s">
        <v>111</v>
      </c>
    </row>
    <row r="575" spans="1:13" x14ac:dyDescent="0.25">
      <c r="A575" s="168">
        <v>46197</v>
      </c>
      <c r="B575" s="32">
        <v>1</v>
      </c>
      <c r="C575" s="32" t="s">
        <v>1129</v>
      </c>
      <c r="D575" s="169" t="s">
        <v>2396</v>
      </c>
      <c r="E575" s="169" t="s">
        <v>166</v>
      </c>
      <c r="F575" s="32" t="s">
        <v>111</v>
      </c>
      <c r="G575" s="32">
        <v>79</v>
      </c>
      <c r="H575" s="32" t="s">
        <v>169</v>
      </c>
      <c r="I575" s="32">
        <v>2912</v>
      </c>
      <c r="J575" s="36">
        <v>851.18</v>
      </c>
      <c r="K575" s="32" t="s">
        <v>4328</v>
      </c>
      <c r="L575" s="169" t="s">
        <v>116</v>
      </c>
      <c r="M575" s="32" t="s">
        <v>111</v>
      </c>
    </row>
    <row r="576" spans="1:13" x14ac:dyDescent="0.25">
      <c r="A576" s="168">
        <v>46197</v>
      </c>
      <c r="B576" s="32">
        <v>1</v>
      </c>
      <c r="C576" s="32" t="s">
        <v>1129</v>
      </c>
      <c r="D576" s="169" t="s">
        <v>2396</v>
      </c>
      <c r="E576" s="169" t="s">
        <v>163</v>
      </c>
      <c r="F576" s="32" t="s">
        <v>164</v>
      </c>
      <c r="G576" s="32">
        <v>52</v>
      </c>
      <c r="H576" s="32" t="s">
        <v>175</v>
      </c>
      <c r="I576" s="32">
        <v>2712</v>
      </c>
      <c r="J576" s="36">
        <v>521.79</v>
      </c>
      <c r="K576" s="32" t="s">
        <v>4329</v>
      </c>
      <c r="L576" s="169" t="s">
        <v>21</v>
      </c>
      <c r="M576" s="32" t="s">
        <v>224</v>
      </c>
    </row>
    <row r="577" spans="1:13" x14ac:dyDescent="0.25">
      <c r="A577" s="168">
        <v>46197</v>
      </c>
      <c r="B577" s="32">
        <v>1</v>
      </c>
      <c r="C577" s="32" t="s">
        <v>193</v>
      </c>
      <c r="D577" s="169" t="s">
        <v>285</v>
      </c>
      <c r="E577" s="169" t="s">
        <v>166</v>
      </c>
      <c r="F577" s="32" t="s">
        <v>111</v>
      </c>
      <c r="G577" s="32">
        <v>79</v>
      </c>
      <c r="H577" s="32" t="s">
        <v>169</v>
      </c>
      <c r="I577" s="32">
        <v>2466</v>
      </c>
      <c r="J577" s="36">
        <v>720.81</v>
      </c>
      <c r="K577" s="32" t="s">
        <v>4330</v>
      </c>
      <c r="L577" s="169" t="s">
        <v>116</v>
      </c>
      <c r="M577" s="32" t="s">
        <v>111</v>
      </c>
    </row>
    <row r="578" spans="1:13" x14ac:dyDescent="0.25">
      <c r="A578" s="168">
        <v>46197</v>
      </c>
      <c r="B578" s="32">
        <v>1</v>
      </c>
      <c r="C578" s="32" t="s">
        <v>192</v>
      </c>
      <c r="D578" s="169" t="s">
        <v>287</v>
      </c>
      <c r="E578" s="169" t="s">
        <v>166</v>
      </c>
      <c r="F578" s="32" t="s">
        <v>223</v>
      </c>
      <c r="G578" s="32">
        <v>370</v>
      </c>
      <c r="H578" s="32" t="s">
        <v>165</v>
      </c>
      <c r="I578" s="32">
        <v>5024</v>
      </c>
      <c r="J578" s="36">
        <v>6877.86</v>
      </c>
      <c r="K578" s="32" t="s">
        <v>4331</v>
      </c>
      <c r="L578" s="169" t="s">
        <v>29</v>
      </c>
      <c r="M578" s="32" t="s">
        <v>223</v>
      </c>
    </row>
    <row r="579" spans="1:13" x14ac:dyDescent="0.25">
      <c r="A579" s="168">
        <v>46197</v>
      </c>
      <c r="B579" s="32">
        <v>1</v>
      </c>
      <c r="C579" s="32" t="s">
        <v>1948</v>
      </c>
      <c r="D579" s="169" t="s">
        <v>1949</v>
      </c>
      <c r="E579" s="169" t="s">
        <v>166</v>
      </c>
      <c r="F579" s="32" t="s">
        <v>223</v>
      </c>
      <c r="G579" s="32">
        <v>370</v>
      </c>
      <c r="H579" s="32" t="s">
        <v>165</v>
      </c>
      <c r="I579" s="32">
        <v>475</v>
      </c>
      <c r="J579" s="36">
        <v>6502.75</v>
      </c>
      <c r="K579" s="32" t="s">
        <v>4332</v>
      </c>
      <c r="L579" s="169" t="s">
        <v>29</v>
      </c>
      <c r="M579" s="32" t="s">
        <v>223</v>
      </c>
    </row>
    <row r="580" spans="1:13" x14ac:dyDescent="0.25">
      <c r="A580" s="168">
        <v>46198</v>
      </c>
      <c r="B580" s="32">
        <v>1</v>
      </c>
      <c r="C580" s="32" t="s">
        <v>196</v>
      </c>
      <c r="D580" s="169" t="s">
        <v>197</v>
      </c>
      <c r="E580" s="169" t="s">
        <v>166</v>
      </c>
      <c r="F580" s="32" t="s">
        <v>223</v>
      </c>
      <c r="G580" s="32">
        <v>370</v>
      </c>
      <c r="H580" s="32" t="s">
        <v>165</v>
      </c>
      <c r="I580" s="32">
        <v>640</v>
      </c>
      <c r="J580" s="36">
        <v>8761.6</v>
      </c>
      <c r="K580" s="32" t="s">
        <v>4333</v>
      </c>
      <c r="L580" s="169" t="s">
        <v>29</v>
      </c>
      <c r="M580" s="32" t="s">
        <v>223</v>
      </c>
    </row>
    <row r="581" spans="1:13" x14ac:dyDescent="0.25">
      <c r="A581" s="168">
        <v>46198</v>
      </c>
      <c r="B581" s="32">
        <v>1</v>
      </c>
      <c r="C581" s="32" t="s">
        <v>202</v>
      </c>
      <c r="D581" s="169" t="s">
        <v>214</v>
      </c>
      <c r="E581" s="169" t="s">
        <v>166</v>
      </c>
      <c r="F581" s="32" t="s">
        <v>223</v>
      </c>
      <c r="G581" s="32">
        <v>370</v>
      </c>
      <c r="H581" s="32" t="s">
        <v>165</v>
      </c>
      <c r="I581" s="32">
        <v>6318</v>
      </c>
      <c r="J581" s="36">
        <v>8649.34</v>
      </c>
      <c r="K581" s="32" t="s">
        <v>4334</v>
      </c>
      <c r="L581" s="169" t="s">
        <v>29</v>
      </c>
      <c r="M581" s="32" t="s">
        <v>223</v>
      </c>
    </row>
    <row r="582" spans="1:13" x14ac:dyDescent="0.25">
      <c r="A582" s="168">
        <v>46198</v>
      </c>
      <c r="B582" s="32">
        <v>1</v>
      </c>
      <c r="C582" s="32" t="s">
        <v>181</v>
      </c>
      <c r="D582" s="169" t="s">
        <v>182</v>
      </c>
      <c r="E582" s="169" t="s">
        <v>166</v>
      </c>
      <c r="F582" s="32" t="s">
        <v>111</v>
      </c>
      <c r="G582" s="32">
        <v>79</v>
      </c>
      <c r="H582" s="32" t="s">
        <v>169</v>
      </c>
      <c r="I582" s="32">
        <v>2372</v>
      </c>
      <c r="J582" s="36">
        <v>693.34</v>
      </c>
      <c r="K582" s="32" t="s">
        <v>4335</v>
      </c>
      <c r="L582" s="169" t="s">
        <v>116</v>
      </c>
      <c r="M582" s="32" t="s">
        <v>111</v>
      </c>
    </row>
    <row r="583" spans="1:13" x14ac:dyDescent="0.25">
      <c r="A583" s="168">
        <v>46198</v>
      </c>
      <c r="B583" s="32">
        <v>1</v>
      </c>
      <c r="C583" s="32" t="s">
        <v>342</v>
      </c>
      <c r="D583" s="169" t="s">
        <v>171</v>
      </c>
      <c r="E583" s="169" t="s">
        <v>163</v>
      </c>
      <c r="F583" s="32" t="s">
        <v>164</v>
      </c>
      <c r="G583" s="32">
        <v>52</v>
      </c>
      <c r="H583" s="32" t="s">
        <v>175</v>
      </c>
      <c r="I583" s="32">
        <v>453</v>
      </c>
      <c r="J583" s="36">
        <v>871.57</v>
      </c>
      <c r="K583" s="32" t="s">
        <v>4336</v>
      </c>
      <c r="L583" s="169" t="s">
        <v>21</v>
      </c>
      <c r="M583" s="32" t="s">
        <v>224</v>
      </c>
    </row>
    <row r="584" spans="1:13" x14ac:dyDescent="0.25">
      <c r="A584" s="168">
        <v>46198</v>
      </c>
      <c r="B584" s="32">
        <v>1</v>
      </c>
      <c r="C584" s="32" t="s">
        <v>199</v>
      </c>
      <c r="D584" s="169" t="s">
        <v>180</v>
      </c>
      <c r="E584" s="169" t="s">
        <v>166</v>
      </c>
      <c r="F584" s="32" t="s">
        <v>111</v>
      </c>
      <c r="G584" s="32">
        <v>79</v>
      </c>
      <c r="H584" s="32" t="s">
        <v>169</v>
      </c>
      <c r="I584" s="32">
        <v>2858</v>
      </c>
      <c r="J584" s="36">
        <v>835.39</v>
      </c>
      <c r="K584" s="32" t="s">
        <v>4337</v>
      </c>
      <c r="L584" s="169" t="s">
        <v>116</v>
      </c>
      <c r="M584" s="32" t="s">
        <v>111</v>
      </c>
    </row>
    <row r="585" spans="1:13" x14ac:dyDescent="0.25">
      <c r="A585" s="168">
        <v>46198</v>
      </c>
      <c r="B585" s="32">
        <v>1</v>
      </c>
      <c r="C585" s="32" t="s">
        <v>213</v>
      </c>
      <c r="D585" s="169" t="s">
        <v>1153</v>
      </c>
      <c r="E585" s="169" t="s">
        <v>166</v>
      </c>
      <c r="F585" s="32" t="s">
        <v>223</v>
      </c>
      <c r="G585" s="32">
        <v>370</v>
      </c>
      <c r="H585" s="32" t="s">
        <v>165</v>
      </c>
      <c r="I585" s="32">
        <v>5966</v>
      </c>
      <c r="J585" s="36">
        <v>8167.45</v>
      </c>
      <c r="K585" s="32" t="s">
        <v>4338</v>
      </c>
      <c r="L585" s="169" t="s">
        <v>29</v>
      </c>
      <c r="M585" s="32" t="s">
        <v>223</v>
      </c>
    </row>
    <row r="586" spans="1:13" x14ac:dyDescent="0.25">
      <c r="A586" s="168">
        <v>46198</v>
      </c>
      <c r="B586" s="32">
        <v>1</v>
      </c>
      <c r="C586" s="32" t="s">
        <v>176</v>
      </c>
      <c r="D586" s="169" t="s">
        <v>177</v>
      </c>
      <c r="E586" s="169" t="s">
        <v>166</v>
      </c>
      <c r="F586" s="32" t="s">
        <v>223</v>
      </c>
      <c r="G586" s="32">
        <v>370</v>
      </c>
      <c r="H586" s="32" t="s">
        <v>165</v>
      </c>
      <c r="I586" s="32">
        <v>5646</v>
      </c>
      <c r="J586" s="36">
        <v>7729.37</v>
      </c>
      <c r="K586" s="32" t="s">
        <v>4339</v>
      </c>
      <c r="L586" s="169" t="s">
        <v>29</v>
      </c>
      <c r="M586" s="32" t="s">
        <v>223</v>
      </c>
    </row>
    <row r="587" spans="1:13" x14ac:dyDescent="0.25">
      <c r="A587" s="168">
        <v>46198</v>
      </c>
      <c r="B587" s="32">
        <v>1</v>
      </c>
      <c r="C587" s="32" t="s">
        <v>199</v>
      </c>
      <c r="D587" s="169" t="s">
        <v>180</v>
      </c>
      <c r="E587" s="169" t="s">
        <v>166</v>
      </c>
      <c r="F587" s="32" t="s">
        <v>111</v>
      </c>
      <c r="G587" s="32">
        <v>79</v>
      </c>
      <c r="H587" s="32" t="s">
        <v>169</v>
      </c>
      <c r="I587" s="32">
        <v>2576</v>
      </c>
      <c r="J587" s="36">
        <v>752.96</v>
      </c>
      <c r="K587" s="32" t="s">
        <v>4340</v>
      </c>
      <c r="L587" s="169" t="s">
        <v>116</v>
      </c>
      <c r="M587" s="32" t="s">
        <v>111</v>
      </c>
    </row>
    <row r="588" spans="1:13" x14ac:dyDescent="0.25">
      <c r="A588" s="168">
        <v>46198</v>
      </c>
      <c r="B588" s="32">
        <v>1</v>
      </c>
      <c r="C588" s="32" t="s">
        <v>167</v>
      </c>
      <c r="D588" s="169" t="s">
        <v>168</v>
      </c>
      <c r="E588" s="169" t="s">
        <v>163</v>
      </c>
      <c r="F588" s="32" t="s">
        <v>164</v>
      </c>
      <c r="G588" s="32">
        <v>52</v>
      </c>
      <c r="H588" s="32" t="s">
        <v>175</v>
      </c>
      <c r="I588" s="32">
        <v>2903</v>
      </c>
      <c r="J588" s="36">
        <v>558.54</v>
      </c>
      <c r="K588" s="32" t="s">
        <v>4341</v>
      </c>
      <c r="L588" s="169" t="s">
        <v>21</v>
      </c>
      <c r="M588" s="32" t="s">
        <v>224</v>
      </c>
    </row>
    <row r="589" spans="1:13" x14ac:dyDescent="0.25">
      <c r="A589" s="168">
        <v>46198</v>
      </c>
      <c r="B589" s="32">
        <v>1</v>
      </c>
      <c r="C589" s="32" t="s">
        <v>270</v>
      </c>
      <c r="D589" s="169" t="s">
        <v>288</v>
      </c>
      <c r="E589" s="169" t="s">
        <v>166</v>
      </c>
      <c r="F589" s="32" t="s">
        <v>223</v>
      </c>
      <c r="G589" s="32">
        <v>370</v>
      </c>
      <c r="H589" s="32" t="s">
        <v>165</v>
      </c>
      <c r="I589" s="32">
        <v>5404</v>
      </c>
      <c r="J589" s="36">
        <v>6398.34</v>
      </c>
      <c r="K589" s="32" t="s">
        <v>4340</v>
      </c>
      <c r="L589" s="169" t="s">
        <v>29</v>
      </c>
      <c r="M589" s="32" t="s">
        <v>223</v>
      </c>
    </row>
    <row r="590" spans="1:13" x14ac:dyDescent="0.25">
      <c r="A590" s="168">
        <v>46198</v>
      </c>
      <c r="B590" s="32">
        <v>1</v>
      </c>
      <c r="C590" s="32" t="s">
        <v>342</v>
      </c>
      <c r="D590" s="169" t="s">
        <v>171</v>
      </c>
      <c r="E590" s="169" t="s">
        <v>163</v>
      </c>
      <c r="F590" s="32" t="s">
        <v>164</v>
      </c>
      <c r="G590" s="32">
        <v>52</v>
      </c>
      <c r="H590" s="32" t="s">
        <v>175</v>
      </c>
      <c r="I590" s="32">
        <v>4604</v>
      </c>
      <c r="J590" s="36">
        <v>885.81</v>
      </c>
      <c r="K590" s="32" t="s">
        <v>4342</v>
      </c>
      <c r="L590" s="169" t="s">
        <v>21</v>
      </c>
      <c r="M590" s="32" t="s">
        <v>224</v>
      </c>
    </row>
    <row r="591" spans="1:13" x14ac:dyDescent="0.25">
      <c r="A591" s="168">
        <v>46198</v>
      </c>
      <c r="B591" s="32">
        <v>1</v>
      </c>
      <c r="C591" s="32" t="s">
        <v>2866</v>
      </c>
      <c r="D591" s="169" t="s">
        <v>281</v>
      </c>
      <c r="E591" s="169" t="s">
        <v>166</v>
      </c>
      <c r="F591" s="32" t="s">
        <v>111</v>
      </c>
      <c r="G591" s="32">
        <v>79</v>
      </c>
      <c r="H591" s="32" t="s">
        <v>169</v>
      </c>
      <c r="I591" s="32">
        <v>2668</v>
      </c>
      <c r="J591" s="36">
        <v>779.86</v>
      </c>
      <c r="K591" s="32" t="s">
        <v>4343</v>
      </c>
      <c r="L591" s="169" t="s">
        <v>116</v>
      </c>
      <c r="M591" s="32" t="s">
        <v>111</v>
      </c>
    </row>
    <row r="592" spans="1:13" x14ac:dyDescent="0.25">
      <c r="A592" s="168">
        <v>46198</v>
      </c>
      <c r="B592" s="32">
        <v>1</v>
      </c>
      <c r="C592" s="32" t="s">
        <v>181</v>
      </c>
      <c r="D592" s="169" t="s">
        <v>182</v>
      </c>
      <c r="E592" s="169" t="s">
        <v>166</v>
      </c>
      <c r="F592" s="32" t="s">
        <v>111</v>
      </c>
      <c r="G592" s="32">
        <v>79</v>
      </c>
      <c r="H592" s="32" t="s">
        <v>169</v>
      </c>
      <c r="I592" s="32">
        <v>2562</v>
      </c>
      <c r="J592" s="36">
        <v>748.87</v>
      </c>
      <c r="K592" s="32" t="s">
        <v>4344</v>
      </c>
      <c r="L592" s="169" t="s">
        <v>116</v>
      </c>
      <c r="M592" s="32" t="s">
        <v>111</v>
      </c>
    </row>
    <row r="593" spans="1:13" x14ac:dyDescent="0.25">
      <c r="A593" s="168">
        <v>46198</v>
      </c>
      <c r="B593" s="32">
        <v>1</v>
      </c>
      <c r="C593" s="32" t="s">
        <v>203</v>
      </c>
      <c r="D593" s="169" t="s">
        <v>204</v>
      </c>
      <c r="E593" s="169" t="s">
        <v>190</v>
      </c>
      <c r="F593" s="32" t="s">
        <v>212</v>
      </c>
      <c r="G593" s="32">
        <v>376</v>
      </c>
      <c r="H593" s="32" t="s">
        <v>165</v>
      </c>
      <c r="I593" s="32">
        <v>5512</v>
      </c>
      <c r="J593" s="36">
        <v>6632.04</v>
      </c>
      <c r="K593" s="32" t="s">
        <v>4345</v>
      </c>
      <c r="L593" s="169" t="s">
        <v>22</v>
      </c>
      <c r="M593" s="32" t="s">
        <v>223</v>
      </c>
    </row>
    <row r="594" spans="1:13" x14ac:dyDescent="0.25">
      <c r="A594" s="168">
        <v>46198</v>
      </c>
      <c r="B594" s="32">
        <v>1</v>
      </c>
      <c r="C594" s="32" t="s">
        <v>173</v>
      </c>
      <c r="D594" s="169" t="s">
        <v>174</v>
      </c>
      <c r="E594" s="169" t="s">
        <v>166</v>
      </c>
      <c r="F594" s="32" t="s">
        <v>218</v>
      </c>
      <c r="G594" s="32">
        <v>71</v>
      </c>
      <c r="H594" s="32" t="s">
        <v>169</v>
      </c>
      <c r="I594" s="32">
        <v>258</v>
      </c>
      <c r="J594" s="36">
        <v>677.77</v>
      </c>
      <c r="K594" s="32" t="s">
        <v>4346</v>
      </c>
      <c r="L594" s="169" t="s">
        <v>35</v>
      </c>
      <c r="M594" s="32" t="s">
        <v>108</v>
      </c>
    </row>
    <row r="595" spans="1:13" x14ac:dyDescent="0.25">
      <c r="A595" s="168">
        <v>46198</v>
      </c>
      <c r="B595" s="32">
        <v>1</v>
      </c>
      <c r="C595" s="32" t="s">
        <v>199</v>
      </c>
      <c r="D595" s="169" t="s">
        <v>180</v>
      </c>
      <c r="E595" s="169" t="s">
        <v>166</v>
      </c>
      <c r="F595" s="32" t="s">
        <v>111</v>
      </c>
      <c r="G595" s="32">
        <v>79</v>
      </c>
      <c r="H595" s="32" t="s">
        <v>169</v>
      </c>
      <c r="I595" s="32">
        <v>2814</v>
      </c>
      <c r="J595" s="36">
        <v>822.53</v>
      </c>
      <c r="K595" s="32" t="s">
        <v>4347</v>
      </c>
      <c r="L595" s="169" t="s">
        <v>116</v>
      </c>
      <c r="M595" s="32" t="s">
        <v>111</v>
      </c>
    </row>
    <row r="596" spans="1:13" x14ac:dyDescent="0.25">
      <c r="A596" s="168">
        <v>46198</v>
      </c>
      <c r="B596" s="32">
        <v>1</v>
      </c>
      <c r="C596" s="32" t="s">
        <v>193</v>
      </c>
      <c r="D596" s="169" t="s">
        <v>285</v>
      </c>
      <c r="E596" s="169" t="s">
        <v>166</v>
      </c>
      <c r="F596" s="32" t="s">
        <v>164</v>
      </c>
      <c r="G596" s="32">
        <v>58</v>
      </c>
      <c r="H596" s="32" t="s">
        <v>175</v>
      </c>
      <c r="I596" s="32">
        <v>254</v>
      </c>
      <c r="J596" s="36">
        <v>545.08000000000004</v>
      </c>
      <c r="K596" s="32" t="s">
        <v>4348</v>
      </c>
      <c r="L596" s="169" t="s">
        <v>86</v>
      </c>
      <c r="M596" s="32" t="s">
        <v>224</v>
      </c>
    </row>
    <row r="597" spans="1:13" x14ac:dyDescent="0.25">
      <c r="A597" s="168">
        <v>46198</v>
      </c>
      <c r="B597" s="32">
        <v>1</v>
      </c>
      <c r="C597" s="32" t="s">
        <v>183</v>
      </c>
      <c r="D597" s="169" t="s">
        <v>184</v>
      </c>
      <c r="E597" s="169" t="s">
        <v>166</v>
      </c>
      <c r="F597" s="32" t="s">
        <v>218</v>
      </c>
      <c r="G597" s="32">
        <v>71</v>
      </c>
      <c r="H597" s="32" t="s">
        <v>169</v>
      </c>
      <c r="I597" s="32">
        <v>2858</v>
      </c>
      <c r="J597" s="36">
        <v>750.8</v>
      </c>
      <c r="K597" s="32" t="s">
        <v>4349</v>
      </c>
      <c r="L597" s="169" t="s">
        <v>35</v>
      </c>
      <c r="M597" s="32" t="s">
        <v>108</v>
      </c>
    </row>
    <row r="598" spans="1:13" x14ac:dyDescent="0.25">
      <c r="A598" s="168">
        <v>46198</v>
      </c>
      <c r="B598" s="32">
        <v>1</v>
      </c>
      <c r="C598" s="32" t="s">
        <v>183</v>
      </c>
      <c r="D598" s="169" t="s">
        <v>184</v>
      </c>
      <c r="E598" s="169" t="s">
        <v>166</v>
      </c>
      <c r="F598" s="32" t="s">
        <v>218</v>
      </c>
      <c r="G598" s="32">
        <v>71</v>
      </c>
      <c r="H598" s="32" t="s">
        <v>169</v>
      </c>
      <c r="I598" s="32">
        <v>2664</v>
      </c>
      <c r="J598" s="36">
        <v>699.83</v>
      </c>
      <c r="K598" s="32" t="s">
        <v>4350</v>
      </c>
      <c r="L598" s="169" t="s">
        <v>35</v>
      </c>
      <c r="M598" s="32" t="s">
        <v>108</v>
      </c>
    </row>
    <row r="599" spans="1:13" x14ac:dyDescent="0.25">
      <c r="A599" s="168">
        <v>46198</v>
      </c>
      <c r="B599" s="32">
        <v>1</v>
      </c>
      <c r="C599" s="32" t="s">
        <v>183</v>
      </c>
      <c r="D599" s="169" t="s">
        <v>184</v>
      </c>
      <c r="E599" s="169" t="s">
        <v>166</v>
      </c>
      <c r="F599" s="32" t="s">
        <v>111</v>
      </c>
      <c r="G599" s="32">
        <v>79</v>
      </c>
      <c r="H599" s="32" t="s">
        <v>169</v>
      </c>
      <c r="I599" s="32">
        <v>2726</v>
      </c>
      <c r="J599" s="36">
        <v>796.81</v>
      </c>
      <c r="K599" s="32" t="s">
        <v>4351</v>
      </c>
      <c r="L599" s="169" t="s">
        <v>116</v>
      </c>
      <c r="M599" s="32" t="s">
        <v>111</v>
      </c>
    </row>
    <row r="600" spans="1:13" x14ac:dyDescent="0.25">
      <c r="A600" s="168">
        <v>46198</v>
      </c>
      <c r="B600" s="32">
        <v>1</v>
      </c>
      <c r="C600" s="32" t="s">
        <v>179</v>
      </c>
      <c r="D600" s="169" t="s">
        <v>2863</v>
      </c>
      <c r="E600" s="169" t="s">
        <v>166</v>
      </c>
      <c r="F600" s="32" t="s">
        <v>111</v>
      </c>
      <c r="G600" s="32">
        <v>79</v>
      </c>
      <c r="H600" s="32" t="s">
        <v>169</v>
      </c>
      <c r="I600" s="32">
        <v>2576</v>
      </c>
      <c r="J600" s="36">
        <v>752.96</v>
      </c>
      <c r="K600" s="32" t="s">
        <v>4352</v>
      </c>
      <c r="L600" s="169" t="s">
        <v>116</v>
      </c>
      <c r="M600" s="32" t="s">
        <v>111</v>
      </c>
    </row>
    <row r="601" spans="1:13" x14ac:dyDescent="0.25">
      <c r="A601" s="168">
        <v>46198</v>
      </c>
      <c r="B601" s="32">
        <v>1</v>
      </c>
      <c r="C601" s="32" t="s">
        <v>179</v>
      </c>
      <c r="D601" s="169" t="s">
        <v>2863</v>
      </c>
      <c r="E601" s="169" t="s">
        <v>166</v>
      </c>
      <c r="F601" s="32" t="s">
        <v>111</v>
      </c>
      <c r="G601" s="32">
        <v>79</v>
      </c>
      <c r="H601" s="32" t="s">
        <v>169</v>
      </c>
      <c r="I601" s="32">
        <v>280</v>
      </c>
      <c r="J601" s="36">
        <v>818.44</v>
      </c>
      <c r="K601" s="32" t="s">
        <v>4353</v>
      </c>
      <c r="L601" s="169" t="s">
        <v>116</v>
      </c>
      <c r="M601" s="32" t="s">
        <v>111</v>
      </c>
    </row>
    <row r="602" spans="1:13" x14ac:dyDescent="0.25">
      <c r="A602" s="168">
        <v>46198</v>
      </c>
      <c r="B602" s="32">
        <v>1</v>
      </c>
      <c r="C602" s="32" t="s">
        <v>208</v>
      </c>
      <c r="D602" s="169" t="s">
        <v>209</v>
      </c>
      <c r="E602" s="169" t="s">
        <v>166</v>
      </c>
      <c r="F602" s="32" t="s">
        <v>223</v>
      </c>
      <c r="G602" s="32">
        <v>370</v>
      </c>
      <c r="H602" s="32" t="s">
        <v>165</v>
      </c>
      <c r="I602" s="32">
        <v>540</v>
      </c>
      <c r="J602" s="36">
        <v>7392.6</v>
      </c>
      <c r="K602" s="32" t="s">
        <v>4354</v>
      </c>
      <c r="L602" s="169" t="s">
        <v>29</v>
      </c>
      <c r="M602" s="32" t="s">
        <v>223</v>
      </c>
    </row>
    <row r="603" spans="1:13" x14ac:dyDescent="0.25">
      <c r="A603" s="168">
        <v>46198</v>
      </c>
      <c r="B603" s="32">
        <v>1</v>
      </c>
      <c r="C603" s="32" t="s">
        <v>1129</v>
      </c>
      <c r="D603" s="169" t="s">
        <v>2396</v>
      </c>
      <c r="E603" s="169" t="s">
        <v>166</v>
      </c>
      <c r="F603" s="32" t="s">
        <v>111</v>
      </c>
      <c r="G603" s="32">
        <v>79</v>
      </c>
      <c r="H603" s="32" t="s">
        <v>169</v>
      </c>
      <c r="I603" s="32">
        <v>2896</v>
      </c>
      <c r="J603" s="36">
        <v>846.5</v>
      </c>
      <c r="K603" s="32" t="s">
        <v>4355</v>
      </c>
      <c r="L603" s="169" t="s">
        <v>116</v>
      </c>
      <c r="M603" s="32" t="s">
        <v>111</v>
      </c>
    </row>
    <row r="604" spans="1:13" x14ac:dyDescent="0.25">
      <c r="A604" s="168">
        <v>46198</v>
      </c>
      <c r="B604" s="32">
        <v>1</v>
      </c>
      <c r="C604" s="32" t="s">
        <v>1129</v>
      </c>
      <c r="D604" s="169" t="s">
        <v>2396</v>
      </c>
      <c r="E604" s="169" t="s">
        <v>166</v>
      </c>
      <c r="F604" s="32" t="s">
        <v>111</v>
      </c>
      <c r="G604" s="32">
        <v>79</v>
      </c>
      <c r="H604" s="32" t="s">
        <v>169</v>
      </c>
      <c r="I604" s="32">
        <v>2826</v>
      </c>
      <c r="J604" s="36">
        <v>826.04</v>
      </c>
      <c r="K604" s="32" t="s">
        <v>4356</v>
      </c>
      <c r="L604" s="169" t="s">
        <v>116</v>
      </c>
      <c r="M604" s="32" t="s">
        <v>111</v>
      </c>
    </row>
    <row r="605" spans="1:13" x14ac:dyDescent="0.25">
      <c r="A605" s="168">
        <v>46198</v>
      </c>
      <c r="B605" s="32">
        <v>1</v>
      </c>
      <c r="C605" s="32" t="s">
        <v>1129</v>
      </c>
      <c r="D605" s="169" t="s">
        <v>2396</v>
      </c>
      <c r="E605" s="169" t="s">
        <v>163</v>
      </c>
      <c r="F605" s="32" t="s">
        <v>164</v>
      </c>
      <c r="G605" s="32">
        <v>52</v>
      </c>
      <c r="H605" s="32" t="s">
        <v>165</v>
      </c>
      <c r="I605" s="32">
        <v>2635</v>
      </c>
      <c r="J605" s="36">
        <v>506.97</v>
      </c>
      <c r="K605" s="32" t="s">
        <v>4357</v>
      </c>
      <c r="L605" s="169" t="s">
        <v>31</v>
      </c>
      <c r="M605" s="32" t="s">
        <v>224</v>
      </c>
    </row>
    <row r="606" spans="1:13" x14ac:dyDescent="0.25">
      <c r="A606" s="168">
        <v>46198</v>
      </c>
      <c r="B606" s="32">
        <v>1</v>
      </c>
      <c r="C606" s="32" t="s">
        <v>219</v>
      </c>
      <c r="D606" s="169" t="s">
        <v>220</v>
      </c>
      <c r="E606" s="169" t="s">
        <v>163</v>
      </c>
      <c r="F606" s="32" t="s">
        <v>164</v>
      </c>
      <c r="G606" s="32">
        <v>52</v>
      </c>
      <c r="H606" s="32" t="s">
        <v>175</v>
      </c>
      <c r="I606" s="32">
        <v>619</v>
      </c>
      <c r="J606" s="36">
        <v>1190.96</v>
      </c>
      <c r="K606" s="32" t="s">
        <v>4358</v>
      </c>
      <c r="L606" s="169" t="s">
        <v>21</v>
      </c>
      <c r="M606" s="32" t="s">
        <v>224</v>
      </c>
    </row>
    <row r="607" spans="1:13" x14ac:dyDescent="0.25">
      <c r="A607" s="168">
        <v>46198</v>
      </c>
      <c r="B607" s="32">
        <v>1</v>
      </c>
      <c r="C607" s="32" t="s">
        <v>219</v>
      </c>
      <c r="D607" s="169" t="s">
        <v>220</v>
      </c>
      <c r="E607" s="169" t="s">
        <v>163</v>
      </c>
      <c r="F607" s="32" t="s">
        <v>164</v>
      </c>
      <c r="G607" s="32">
        <v>52</v>
      </c>
      <c r="H607" s="32" t="s">
        <v>165</v>
      </c>
      <c r="I607" s="32">
        <v>974</v>
      </c>
      <c r="J607" s="36">
        <v>1873.98</v>
      </c>
      <c r="K607" s="32" t="s">
        <v>4359</v>
      </c>
      <c r="L607" s="169" t="s">
        <v>31</v>
      </c>
      <c r="M607" s="32" t="s">
        <v>224</v>
      </c>
    </row>
    <row r="608" spans="1:13" x14ac:dyDescent="0.25">
      <c r="A608" s="168">
        <v>46198</v>
      </c>
      <c r="B608" s="32">
        <v>1</v>
      </c>
      <c r="C608" s="32" t="s">
        <v>219</v>
      </c>
      <c r="D608" s="169" t="s">
        <v>220</v>
      </c>
      <c r="E608" s="169" t="s">
        <v>163</v>
      </c>
      <c r="F608" s="32" t="s">
        <v>164</v>
      </c>
      <c r="G608" s="32">
        <v>52</v>
      </c>
      <c r="H608" s="32" t="s">
        <v>175</v>
      </c>
      <c r="I608" s="32">
        <v>975</v>
      </c>
      <c r="J608" s="36">
        <v>1875.9</v>
      </c>
      <c r="K608" s="32" t="s">
        <v>4360</v>
      </c>
      <c r="L608" s="169" t="s">
        <v>21</v>
      </c>
      <c r="M608" s="32" t="s">
        <v>224</v>
      </c>
    </row>
    <row r="609" spans="1:13" x14ac:dyDescent="0.25">
      <c r="A609" s="168">
        <v>46198</v>
      </c>
      <c r="B609" s="32">
        <v>1</v>
      </c>
      <c r="C609" s="32" t="s">
        <v>219</v>
      </c>
      <c r="D609" s="169" t="s">
        <v>220</v>
      </c>
      <c r="E609" s="169" t="s">
        <v>163</v>
      </c>
      <c r="F609" s="32" t="s">
        <v>164</v>
      </c>
      <c r="G609" s="32">
        <v>52</v>
      </c>
      <c r="H609" s="32" t="s">
        <v>165</v>
      </c>
      <c r="I609" s="32">
        <v>616</v>
      </c>
      <c r="J609" s="36">
        <v>1185.18</v>
      </c>
      <c r="K609" s="32" t="s">
        <v>4361</v>
      </c>
      <c r="L609" s="169" t="s">
        <v>31</v>
      </c>
      <c r="M609" s="32" t="s">
        <v>224</v>
      </c>
    </row>
    <row r="610" spans="1:13" x14ac:dyDescent="0.25">
      <c r="A610" s="168">
        <v>46198</v>
      </c>
      <c r="B610" s="32">
        <v>1</v>
      </c>
      <c r="C610" s="32" t="s">
        <v>286</v>
      </c>
      <c r="D610" s="169" t="s">
        <v>506</v>
      </c>
      <c r="E610" s="169" t="s">
        <v>166</v>
      </c>
      <c r="F610" s="32" t="s">
        <v>164</v>
      </c>
      <c r="G610" s="32">
        <v>58</v>
      </c>
      <c r="H610" s="32" t="s">
        <v>165</v>
      </c>
      <c r="I610" s="32">
        <v>450</v>
      </c>
      <c r="J610" s="36">
        <v>965.7</v>
      </c>
      <c r="K610" s="32" t="s">
        <v>4362</v>
      </c>
      <c r="L610" s="169" t="s">
        <v>27</v>
      </c>
      <c r="M610" s="32" t="s">
        <v>224</v>
      </c>
    </row>
    <row r="611" spans="1:13" x14ac:dyDescent="0.25">
      <c r="A611" s="168">
        <v>46198</v>
      </c>
      <c r="B611" s="32">
        <v>1</v>
      </c>
      <c r="C611" s="32" t="s">
        <v>286</v>
      </c>
      <c r="D611" s="169" t="s">
        <v>506</v>
      </c>
      <c r="E611" s="169" t="s">
        <v>166</v>
      </c>
      <c r="F611" s="32" t="s">
        <v>164</v>
      </c>
      <c r="G611" s="32">
        <v>58</v>
      </c>
      <c r="H611" s="32" t="s">
        <v>165</v>
      </c>
      <c r="I611" s="32">
        <v>4626</v>
      </c>
      <c r="J611" s="36">
        <v>992.74</v>
      </c>
      <c r="K611" s="32" t="s">
        <v>4363</v>
      </c>
      <c r="L611" s="169" t="s">
        <v>27</v>
      </c>
      <c r="M611" s="32" t="s">
        <v>224</v>
      </c>
    </row>
    <row r="612" spans="1:13" x14ac:dyDescent="0.25">
      <c r="A612" s="168">
        <v>46199</v>
      </c>
      <c r="B612" s="32">
        <v>1</v>
      </c>
      <c r="C612" s="32" t="s">
        <v>342</v>
      </c>
      <c r="D612" s="169" t="s">
        <v>171</v>
      </c>
      <c r="E612" s="169" t="s">
        <v>163</v>
      </c>
      <c r="F612" s="32" t="s">
        <v>164</v>
      </c>
      <c r="G612" s="32">
        <v>52</v>
      </c>
      <c r="H612" s="32" t="s">
        <v>185</v>
      </c>
      <c r="I612" s="32">
        <v>454</v>
      </c>
      <c r="J612" s="36">
        <v>873.5</v>
      </c>
      <c r="K612" s="32" t="s">
        <v>4364</v>
      </c>
      <c r="L612" s="169" t="s">
        <v>20</v>
      </c>
      <c r="M612" s="32" t="s">
        <v>224</v>
      </c>
    </row>
    <row r="613" spans="1:13" x14ac:dyDescent="0.25">
      <c r="A613" s="168">
        <v>46199</v>
      </c>
      <c r="B613" s="32">
        <v>1</v>
      </c>
      <c r="C613" s="32" t="s">
        <v>213</v>
      </c>
      <c r="D613" s="169" t="s">
        <v>1153</v>
      </c>
      <c r="E613" s="169" t="s">
        <v>166</v>
      </c>
      <c r="F613" s="32" t="s">
        <v>164</v>
      </c>
      <c r="G613" s="32">
        <v>58</v>
      </c>
      <c r="H613" s="32" t="s">
        <v>165</v>
      </c>
      <c r="I613" s="32">
        <v>478</v>
      </c>
      <c r="J613" s="36">
        <v>1025.79</v>
      </c>
      <c r="K613" s="32" t="s">
        <v>4365</v>
      </c>
      <c r="L613" s="169" t="s">
        <v>27</v>
      </c>
      <c r="M613" s="32" t="s">
        <v>224</v>
      </c>
    </row>
    <row r="614" spans="1:13" x14ac:dyDescent="0.25">
      <c r="A614" s="168">
        <v>46199</v>
      </c>
      <c r="B614" s="32">
        <v>1</v>
      </c>
      <c r="C614" s="32" t="s">
        <v>176</v>
      </c>
      <c r="D614" s="169" t="s">
        <v>177</v>
      </c>
      <c r="E614" s="169" t="s">
        <v>166</v>
      </c>
      <c r="F614" s="32" t="s">
        <v>164</v>
      </c>
      <c r="G614" s="32">
        <v>58</v>
      </c>
      <c r="H614" s="32" t="s">
        <v>165</v>
      </c>
      <c r="I614" s="32">
        <v>4966</v>
      </c>
      <c r="J614" s="36">
        <v>1065.7</v>
      </c>
      <c r="K614" s="32" t="s">
        <v>4366</v>
      </c>
      <c r="L614" s="169" t="s">
        <v>27</v>
      </c>
      <c r="M614" s="32" t="s">
        <v>224</v>
      </c>
    </row>
    <row r="615" spans="1:13" x14ac:dyDescent="0.25">
      <c r="A615" s="168">
        <v>46199</v>
      </c>
      <c r="B615" s="32">
        <v>1</v>
      </c>
      <c r="C615" s="32" t="s">
        <v>199</v>
      </c>
      <c r="D615" s="169" t="s">
        <v>180</v>
      </c>
      <c r="E615" s="169" t="s">
        <v>166</v>
      </c>
      <c r="F615" s="32" t="s">
        <v>111</v>
      </c>
      <c r="G615" s="32">
        <v>79</v>
      </c>
      <c r="H615" s="32" t="s">
        <v>169</v>
      </c>
      <c r="I615" s="32">
        <v>2826</v>
      </c>
      <c r="J615" s="36">
        <v>826.04</v>
      </c>
      <c r="K615" s="32" t="s">
        <v>4367</v>
      </c>
      <c r="L615" s="169" t="s">
        <v>116</v>
      </c>
      <c r="M615" s="32" t="s">
        <v>111</v>
      </c>
    </row>
    <row r="616" spans="1:13" x14ac:dyDescent="0.25">
      <c r="A616" s="168">
        <v>46199</v>
      </c>
      <c r="B616" s="32">
        <v>1</v>
      </c>
      <c r="C616" s="32" t="s">
        <v>196</v>
      </c>
      <c r="D616" s="169" t="s">
        <v>197</v>
      </c>
      <c r="E616" s="169" t="s">
        <v>166</v>
      </c>
      <c r="F616" s="32" t="s">
        <v>164</v>
      </c>
      <c r="G616" s="32">
        <v>58</v>
      </c>
      <c r="H616" s="32" t="s">
        <v>165</v>
      </c>
      <c r="I616" s="32">
        <v>7334</v>
      </c>
      <c r="J616" s="36">
        <v>1573.88</v>
      </c>
      <c r="K616" s="32" t="s">
        <v>4368</v>
      </c>
      <c r="L616" s="169" t="s">
        <v>27</v>
      </c>
      <c r="M616" s="32" t="s">
        <v>224</v>
      </c>
    </row>
    <row r="617" spans="1:13" x14ac:dyDescent="0.25">
      <c r="A617" s="168">
        <v>46199</v>
      </c>
      <c r="B617" s="32">
        <v>1</v>
      </c>
      <c r="C617" s="32" t="s">
        <v>2866</v>
      </c>
      <c r="D617" s="169" t="s">
        <v>281</v>
      </c>
      <c r="E617" s="169" t="s">
        <v>163</v>
      </c>
      <c r="F617" s="32" t="s">
        <v>164</v>
      </c>
      <c r="G617" s="32">
        <v>52</v>
      </c>
      <c r="H617" s="32" t="s">
        <v>165</v>
      </c>
      <c r="I617" s="32">
        <v>4486</v>
      </c>
      <c r="J617" s="36">
        <v>863.11</v>
      </c>
      <c r="K617" s="32" t="s">
        <v>4369</v>
      </c>
      <c r="L617" s="169" t="s">
        <v>31</v>
      </c>
      <c r="M617" s="32" t="s">
        <v>224</v>
      </c>
    </row>
    <row r="618" spans="1:13" x14ac:dyDescent="0.25">
      <c r="A618" s="168">
        <v>46199</v>
      </c>
      <c r="B618" s="32">
        <v>1</v>
      </c>
      <c r="C618" s="32" t="s">
        <v>167</v>
      </c>
      <c r="D618" s="169" t="s">
        <v>168</v>
      </c>
      <c r="E618" s="169" t="s">
        <v>166</v>
      </c>
      <c r="F618" s="32" t="s">
        <v>111</v>
      </c>
      <c r="G618" s="32">
        <v>79</v>
      </c>
      <c r="H618" s="32" t="s">
        <v>169</v>
      </c>
      <c r="I618" s="32">
        <v>266</v>
      </c>
      <c r="J618" s="36">
        <v>777.52</v>
      </c>
      <c r="K618" s="32" t="s">
        <v>4370</v>
      </c>
      <c r="L618" s="169" t="s">
        <v>116</v>
      </c>
      <c r="M618" s="32" t="s">
        <v>111</v>
      </c>
    </row>
    <row r="619" spans="1:13" x14ac:dyDescent="0.25">
      <c r="A619" s="168">
        <v>46199</v>
      </c>
      <c r="B619" s="32">
        <v>1</v>
      </c>
      <c r="C619" s="32" t="s">
        <v>219</v>
      </c>
      <c r="D619" s="169" t="s">
        <v>220</v>
      </c>
      <c r="E619" s="169" t="s">
        <v>163</v>
      </c>
      <c r="F619" s="32" t="s">
        <v>164</v>
      </c>
      <c r="G619" s="32">
        <v>52</v>
      </c>
      <c r="H619" s="32" t="s">
        <v>165</v>
      </c>
      <c r="I619" s="32">
        <v>973</v>
      </c>
      <c r="J619" s="36">
        <v>1872.05</v>
      </c>
      <c r="K619" s="32" t="s">
        <v>4371</v>
      </c>
      <c r="L619" s="169" t="s">
        <v>31</v>
      </c>
      <c r="M619" s="32" t="s">
        <v>224</v>
      </c>
    </row>
    <row r="620" spans="1:13" x14ac:dyDescent="0.25">
      <c r="A620" s="168">
        <v>46199</v>
      </c>
      <c r="B620" s="32">
        <v>1</v>
      </c>
      <c r="C620" s="32" t="s">
        <v>219</v>
      </c>
      <c r="D620" s="169" t="s">
        <v>220</v>
      </c>
      <c r="E620" s="169" t="s">
        <v>163</v>
      </c>
      <c r="F620" s="32" t="s">
        <v>164</v>
      </c>
      <c r="G620" s="32">
        <v>52</v>
      </c>
      <c r="H620" s="32" t="s">
        <v>175</v>
      </c>
      <c r="I620" s="32">
        <v>627</v>
      </c>
      <c r="J620" s="36">
        <v>1206.3499999999999</v>
      </c>
      <c r="K620" s="32" t="s">
        <v>4372</v>
      </c>
      <c r="L620" s="169" t="s">
        <v>21</v>
      </c>
      <c r="M620" s="32" t="s">
        <v>224</v>
      </c>
    </row>
    <row r="621" spans="1:13" x14ac:dyDescent="0.25">
      <c r="A621" s="168">
        <v>46199</v>
      </c>
      <c r="B621" s="32">
        <v>1</v>
      </c>
      <c r="C621" s="32" t="s">
        <v>167</v>
      </c>
      <c r="D621" s="169" t="s">
        <v>168</v>
      </c>
      <c r="E621" s="169" t="s">
        <v>166</v>
      </c>
      <c r="F621" s="32" t="s">
        <v>164</v>
      </c>
      <c r="G621" s="32">
        <v>58</v>
      </c>
      <c r="H621" s="32" t="s">
        <v>175</v>
      </c>
      <c r="I621" s="32">
        <v>2752</v>
      </c>
      <c r="J621" s="36">
        <v>590.58000000000004</v>
      </c>
      <c r="K621" s="32" t="s">
        <v>4373</v>
      </c>
      <c r="L621" s="169" t="s">
        <v>86</v>
      </c>
      <c r="M621" s="32" t="s">
        <v>224</v>
      </c>
    </row>
    <row r="622" spans="1:13" x14ac:dyDescent="0.25">
      <c r="A622" s="168">
        <v>46199</v>
      </c>
      <c r="B622" s="32">
        <v>1</v>
      </c>
      <c r="C622" s="32" t="s">
        <v>296</v>
      </c>
      <c r="D622" s="169" t="s">
        <v>1536</v>
      </c>
      <c r="E622" s="169" t="s">
        <v>276</v>
      </c>
      <c r="F622" s="32" t="s">
        <v>919</v>
      </c>
      <c r="G622" s="32">
        <v>358</v>
      </c>
      <c r="H622" s="32" t="s">
        <v>207</v>
      </c>
      <c r="I622" s="32">
        <v>378</v>
      </c>
      <c r="J622" s="36">
        <v>4330.37</v>
      </c>
      <c r="K622" s="32" t="s">
        <v>4374</v>
      </c>
      <c r="L622" s="169" t="s">
        <v>4277</v>
      </c>
      <c r="M622" s="32" t="s">
        <v>15</v>
      </c>
    </row>
    <row r="623" spans="1:13" x14ac:dyDescent="0.25">
      <c r="A623" s="168">
        <v>46199</v>
      </c>
      <c r="B623" s="32">
        <v>1</v>
      </c>
      <c r="C623" s="32" t="s">
        <v>342</v>
      </c>
      <c r="D623" s="169" t="s">
        <v>171</v>
      </c>
      <c r="E623" s="169" t="s">
        <v>163</v>
      </c>
      <c r="F623" s="32" t="s">
        <v>164</v>
      </c>
      <c r="G623" s="32">
        <v>52</v>
      </c>
      <c r="H623" s="32" t="s">
        <v>185</v>
      </c>
      <c r="I623" s="32">
        <v>4577</v>
      </c>
      <c r="J623" s="36">
        <v>880.61</v>
      </c>
      <c r="K623" s="32" t="s">
        <v>4375</v>
      </c>
      <c r="L623" s="169" t="s">
        <v>20</v>
      </c>
      <c r="M623" s="32" t="s">
        <v>224</v>
      </c>
    </row>
    <row r="624" spans="1:13" x14ac:dyDescent="0.25">
      <c r="A624" s="168">
        <v>46199</v>
      </c>
      <c r="B624" s="32">
        <v>1</v>
      </c>
      <c r="C624" s="32" t="s">
        <v>199</v>
      </c>
      <c r="D624" s="169" t="s">
        <v>180</v>
      </c>
      <c r="E624" s="169" t="s">
        <v>166</v>
      </c>
      <c r="F624" s="32" t="s">
        <v>164</v>
      </c>
      <c r="G624" s="32">
        <v>58</v>
      </c>
      <c r="H624" s="32" t="s">
        <v>165</v>
      </c>
      <c r="I624" s="32">
        <v>2888</v>
      </c>
      <c r="J624" s="36">
        <v>619.76</v>
      </c>
      <c r="K624" s="32" t="s">
        <v>4376</v>
      </c>
      <c r="L624" s="169" t="s">
        <v>27</v>
      </c>
      <c r="M624" s="32" t="s">
        <v>224</v>
      </c>
    </row>
    <row r="625" spans="1:13" x14ac:dyDescent="0.25">
      <c r="A625" s="168">
        <v>46199</v>
      </c>
      <c r="B625" s="32">
        <v>1</v>
      </c>
      <c r="C625" s="32" t="s">
        <v>176</v>
      </c>
      <c r="D625" s="169" t="s">
        <v>177</v>
      </c>
      <c r="E625" s="169" t="s">
        <v>166</v>
      </c>
      <c r="F625" s="32" t="s">
        <v>164</v>
      </c>
      <c r="G625" s="32">
        <v>58</v>
      </c>
      <c r="H625" s="32" t="s">
        <v>165</v>
      </c>
      <c r="I625" s="32">
        <v>5212</v>
      </c>
      <c r="J625" s="36">
        <v>1118.5</v>
      </c>
      <c r="K625" s="32" t="s">
        <v>4377</v>
      </c>
      <c r="L625" s="169" t="s">
        <v>27</v>
      </c>
      <c r="M625" s="32" t="s">
        <v>224</v>
      </c>
    </row>
    <row r="626" spans="1:13" x14ac:dyDescent="0.25">
      <c r="A626" s="168">
        <v>46199</v>
      </c>
      <c r="B626" s="32">
        <v>1</v>
      </c>
      <c r="C626" s="32" t="s">
        <v>208</v>
      </c>
      <c r="D626" s="169" t="s">
        <v>209</v>
      </c>
      <c r="E626" s="169" t="s">
        <v>190</v>
      </c>
      <c r="F626" s="32" t="s">
        <v>212</v>
      </c>
      <c r="G626" s="32">
        <v>376</v>
      </c>
      <c r="H626" s="32" t="s">
        <v>165</v>
      </c>
      <c r="I626" s="32">
        <v>630</v>
      </c>
      <c r="J626" s="36">
        <v>7580.16</v>
      </c>
      <c r="K626" s="32" t="s">
        <v>4378</v>
      </c>
      <c r="L626" s="169" t="s">
        <v>22</v>
      </c>
      <c r="M626" s="32" t="s">
        <v>223</v>
      </c>
    </row>
    <row r="627" spans="1:13" x14ac:dyDescent="0.25">
      <c r="A627" s="168">
        <v>46199</v>
      </c>
      <c r="B627" s="32">
        <v>1</v>
      </c>
      <c r="C627" s="32" t="s">
        <v>2866</v>
      </c>
      <c r="D627" s="169" t="s">
        <v>281</v>
      </c>
      <c r="E627" s="169" t="s">
        <v>163</v>
      </c>
      <c r="F627" s="32" t="s">
        <v>164</v>
      </c>
      <c r="G627" s="32">
        <v>52</v>
      </c>
      <c r="H627" s="32" t="s">
        <v>165</v>
      </c>
      <c r="I627" s="32">
        <v>4382</v>
      </c>
      <c r="J627" s="36">
        <v>843.1</v>
      </c>
      <c r="K627" s="32" t="s">
        <v>4379</v>
      </c>
      <c r="L627" s="169" t="s">
        <v>31</v>
      </c>
      <c r="M627" s="32" t="s">
        <v>224</v>
      </c>
    </row>
    <row r="628" spans="1:13" x14ac:dyDescent="0.25">
      <c r="A628" s="168">
        <v>46199</v>
      </c>
      <c r="B628" s="32">
        <v>1</v>
      </c>
      <c r="C628" s="32" t="s">
        <v>200</v>
      </c>
      <c r="D628" s="169" t="s">
        <v>201</v>
      </c>
      <c r="E628" s="169" t="s">
        <v>190</v>
      </c>
      <c r="F628" s="32" t="s">
        <v>198</v>
      </c>
      <c r="G628" s="32">
        <v>70</v>
      </c>
      <c r="H628" s="32" t="s">
        <v>165</v>
      </c>
      <c r="I628" s="32">
        <v>4472</v>
      </c>
      <c r="J628" s="36">
        <v>1158.25</v>
      </c>
      <c r="K628" s="32" t="s">
        <v>4380</v>
      </c>
      <c r="L628" s="169" t="s">
        <v>30</v>
      </c>
      <c r="M628" s="32" t="s">
        <v>224</v>
      </c>
    </row>
    <row r="629" spans="1:13" x14ac:dyDescent="0.25">
      <c r="A629" s="168">
        <v>46199</v>
      </c>
      <c r="B629" s="32">
        <v>1</v>
      </c>
      <c r="C629" s="32" t="s">
        <v>181</v>
      </c>
      <c r="D629" s="169" t="s">
        <v>182</v>
      </c>
      <c r="E629" s="169" t="s">
        <v>166</v>
      </c>
      <c r="F629" s="32" t="s">
        <v>111</v>
      </c>
      <c r="G629" s="32">
        <v>79</v>
      </c>
      <c r="H629" s="32" t="s">
        <v>169</v>
      </c>
      <c r="I629" s="32">
        <v>269</v>
      </c>
      <c r="J629" s="36">
        <v>786.29</v>
      </c>
      <c r="K629" s="32" t="s">
        <v>4381</v>
      </c>
      <c r="L629" s="169" t="s">
        <v>116</v>
      </c>
      <c r="M629" s="32" t="s">
        <v>111</v>
      </c>
    </row>
    <row r="630" spans="1:13" x14ac:dyDescent="0.25">
      <c r="A630" s="168">
        <v>46199</v>
      </c>
      <c r="B630" s="32">
        <v>1</v>
      </c>
      <c r="C630" s="32" t="s">
        <v>181</v>
      </c>
      <c r="D630" s="169" t="s">
        <v>182</v>
      </c>
      <c r="E630" s="169" t="s">
        <v>166</v>
      </c>
      <c r="F630" s="32" t="s">
        <v>164</v>
      </c>
      <c r="G630" s="32">
        <v>58</v>
      </c>
      <c r="H630" s="32" t="s">
        <v>165</v>
      </c>
      <c r="I630" s="32">
        <v>2578</v>
      </c>
      <c r="J630" s="36">
        <v>553.24</v>
      </c>
      <c r="K630" s="32" t="s">
        <v>4382</v>
      </c>
      <c r="L630" s="169" t="s">
        <v>27</v>
      </c>
      <c r="M630" s="32" t="s">
        <v>224</v>
      </c>
    </row>
    <row r="631" spans="1:13" x14ac:dyDescent="0.25">
      <c r="A631" s="168">
        <v>46199</v>
      </c>
      <c r="B631" s="32">
        <v>1</v>
      </c>
      <c r="C631" s="32" t="s">
        <v>196</v>
      </c>
      <c r="D631" s="169" t="s">
        <v>197</v>
      </c>
      <c r="E631" s="169" t="s">
        <v>166</v>
      </c>
      <c r="F631" s="32" t="s">
        <v>164</v>
      </c>
      <c r="G631" s="32">
        <v>58</v>
      </c>
      <c r="H631" s="32" t="s">
        <v>165</v>
      </c>
      <c r="I631" s="32">
        <v>4784</v>
      </c>
      <c r="J631" s="36">
        <v>1026.6500000000001</v>
      </c>
      <c r="K631" s="32" t="s">
        <v>4383</v>
      </c>
      <c r="L631" s="169" t="s">
        <v>27</v>
      </c>
      <c r="M631" s="32" t="s">
        <v>224</v>
      </c>
    </row>
    <row r="632" spans="1:13" x14ac:dyDescent="0.25">
      <c r="A632" s="168">
        <v>46199</v>
      </c>
      <c r="B632" s="32">
        <v>1</v>
      </c>
      <c r="C632" s="32" t="s">
        <v>219</v>
      </c>
      <c r="D632" s="169" t="s">
        <v>220</v>
      </c>
      <c r="E632" s="169" t="s">
        <v>163</v>
      </c>
      <c r="F632" s="32" t="s">
        <v>164</v>
      </c>
      <c r="G632" s="32">
        <v>52</v>
      </c>
      <c r="H632" s="32" t="s">
        <v>175</v>
      </c>
      <c r="I632" s="32">
        <v>562</v>
      </c>
      <c r="J632" s="36">
        <v>1081.29</v>
      </c>
      <c r="K632" s="32" t="s">
        <v>4384</v>
      </c>
      <c r="L632" s="169" t="s">
        <v>21</v>
      </c>
      <c r="M632" s="32" t="s">
        <v>224</v>
      </c>
    </row>
    <row r="633" spans="1:13" x14ac:dyDescent="0.25">
      <c r="A633" s="168">
        <v>46199</v>
      </c>
      <c r="B633" s="32">
        <v>1</v>
      </c>
      <c r="C633" s="32" t="s">
        <v>188</v>
      </c>
      <c r="D633" s="169" t="s">
        <v>189</v>
      </c>
      <c r="E633" s="169" t="s">
        <v>166</v>
      </c>
      <c r="F633" s="32" t="s">
        <v>191</v>
      </c>
      <c r="G633" s="32">
        <v>243</v>
      </c>
      <c r="H633" s="32" t="s">
        <v>165</v>
      </c>
      <c r="I633" s="32">
        <v>6118</v>
      </c>
      <c r="J633" s="36">
        <v>5500.69</v>
      </c>
      <c r="K633" s="32" t="s">
        <v>4385</v>
      </c>
      <c r="L633" s="169" t="s">
        <v>36</v>
      </c>
      <c r="M633" s="32" t="s">
        <v>3780</v>
      </c>
    </row>
    <row r="634" spans="1:13" x14ac:dyDescent="0.25">
      <c r="A634" s="168">
        <v>46199</v>
      </c>
      <c r="B634" s="32">
        <v>1</v>
      </c>
      <c r="C634" s="32" t="s">
        <v>1129</v>
      </c>
      <c r="D634" s="169" t="s">
        <v>2396</v>
      </c>
      <c r="E634" s="169" t="s">
        <v>166</v>
      </c>
      <c r="F634" s="32" t="s">
        <v>111</v>
      </c>
      <c r="G634" s="32">
        <v>79</v>
      </c>
      <c r="H634" s="32" t="s">
        <v>169</v>
      </c>
      <c r="I634" s="32">
        <v>2788</v>
      </c>
      <c r="J634" s="36">
        <v>814.93</v>
      </c>
      <c r="K634" s="32" t="s">
        <v>4386</v>
      </c>
      <c r="L634" s="169" t="s">
        <v>116</v>
      </c>
      <c r="M634" s="32" t="s">
        <v>111</v>
      </c>
    </row>
    <row r="635" spans="1:13" x14ac:dyDescent="0.25">
      <c r="A635" s="168">
        <v>46199</v>
      </c>
      <c r="B635" s="32">
        <v>1</v>
      </c>
      <c r="C635" s="32" t="s">
        <v>283</v>
      </c>
      <c r="D635" s="169" t="s">
        <v>282</v>
      </c>
      <c r="E635" s="169" t="s">
        <v>166</v>
      </c>
      <c r="F635" s="32" t="s">
        <v>1178</v>
      </c>
      <c r="G635" s="32">
        <v>51</v>
      </c>
      <c r="H635" s="32" t="s">
        <v>169</v>
      </c>
      <c r="I635" s="32">
        <v>2795</v>
      </c>
      <c r="J635" s="36">
        <v>527.41999999999996</v>
      </c>
      <c r="K635" s="32" t="s">
        <v>4387</v>
      </c>
      <c r="L635" s="169" t="s">
        <v>3744</v>
      </c>
      <c r="M635" s="32" t="s">
        <v>1178</v>
      </c>
    </row>
    <row r="636" spans="1:13" x14ac:dyDescent="0.25">
      <c r="A636" s="168">
        <v>46199</v>
      </c>
      <c r="B636" s="32">
        <v>1</v>
      </c>
      <c r="C636" s="32" t="s">
        <v>1129</v>
      </c>
      <c r="D636" s="169" t="s">
        <v>2396</v>
      </c>
      <c r="E636" s="169" t="s">
        <v>166</v>
      </c>
      <c r="F636" s="32" t="s">
        <v>164</v>
      </c>
      <c r="G636" s="32">
        <v>58</v>
      </c>
      <c r="H636" s="32" t="s">
        <v>165</v>
      </c>
      <c r="I636" s="32">
        <v>2696</v>
      </c>
      <c r="J636" s="36">
        <v>578.55999999999995</v>
      </c>
      <c r="K636" s="32" t="s">
        <v>4388</v>
      </c>
      <c r="L636" s="169" t="s">
        <v>27</v>
      </c>
      <c r="M636" s="32" t="s">
        <v>224</v>
      </c>
    </row>
    <row r="637" spans="1:13" x14ac:dyDescent="0.25">
      <c r="A637" s="168">
        <v>46199</v>
      </c>
      <c r="B637" s="32">
        <v>1</v>
      </c>
      <c r="C637" s="32" t="s">
        <v>1129</v>
      </c>
      <c r="D637" s="169" t="s">
        <v>2396</v>
      </c>
      <c r="E637" s="169" t="s">
        <v>166</v>
      </c>
      <c r="F637" s="32" t="s">
        <v>164</v>
      </c>
      <c r="G637" s="32">
        <v>58</v>
      </c>
      <c r="H637" s="32" t="s">
        <v>165</v>
      </c>
      <c r="I637" s="32">
        <v>2684</v>
      </c>
      <c r="J637" s="36">
        <v>575.99</v>
      </c>
      <c r="K637" s="32" t="s">
        <v>4389</v>
      </c>
      <c r="L637" s="169" t="s">
        <v>27</v>
      </c>
      <c r="M637" s="32" t="s">
        <v>224</v>
      </c>
    </row>
    <row r="638" spans="1:13" x14ac:dyDescent="0.25">
      <c r="A638" s="168">
        <v>46199</v>
      </c>
      <c r="B638" s="32">
        <v>1</v>
      </c>
      <c r="C638" s="32" t="s">
        <v>283</v>
      </c>
      <c r="D638" s="169" t="s">
        <v>282</v>
      </c>
      <c r="E638" s="169" t="s">
        <v>166</v>
      </c>
      <c r="F638" s="32" t="s">
        <v>1178</v>
      </c>
      <c r="G638" s="32">
        <v>51</v>
      </c>
      <c r="H638" s="32" t="s">
        <v>172</v>
      </c>
      <c r="I638" s="32">
        <v>287</v>
      </c>
      <c r="J638" s="36">
        <v>541.57000000000005</v>
      </c>
      <c r="K638" s="32" t="s">
        <v>4390</v>
      </c>
      <c r="L638" s="169" t="s">
        <v>3847</v>
      </c>
      <c r="M638" s="32" t="s">
        <v>1178</v>
      </c>
    </row>
    <row r="639" spans="1:13" x14ac:dyDescent="0.25">
      <c r="A639" s="168">
        <v>46199</v>
      </c>
      <c r="B639" s="32">
        <v>1</v>
      </c>
      <c r="C639" s="32" t="s">
        <v>173</v>
      </c>
      <c r="D639" s="169" t="s">
        <v>174</v>
      </c>
      <c r="E639" s="169" t="s">
        <v>166</v>
      </c>
      <c r="F639" s="32" t="s">
        <v>164</v>
      </c>
      <c r="G639" s="32">
        <v>58</v>
      </c>
      <c r="H639" s="32" t="s">
        <v>172</v>
      </c>
      <c r="I639" s="32">
        <v>2604</v>
      </c>
      <c r="J639" s="36">
        <v>558.82000000000005</v>
      </c>
      <c r="K639" s="32" t="s">
        <v>4391</v>
      </c>
      <c r="L639" s="169" t="s">
        <v>44</v>
      </c>
      <c r="M639" s="32" t="s">
        <v>224</v>
      </c>
    </row>
    <row r="640" spans="1:13" x14ac:dyDescent="0.25">
      <c r="A640" s="168">
        <v>46199</v>
      </c>
      <c r="B640" s="32">
        <v>1</v>
      </c>
      <c r="C640" s="32" t="s">
        <v>173</v>
      </c>
      <c r="D640" s="169" t="s">
        <v>174</v>
      </c>
      <c r="E640" s="169" t="s">
        <v>166</v>
      </c>
      <c r="F640" s="32" t="s">
        <v>164</v>
      </c>
      <c r="G640" s="32">
        <v>58</v>
      </c>
      <c r="H640" s="32" t="s">
        <v>165</v>
      </c>
      <c r="I640" s="32">
        <v>252</v>
      </c>
      <c r="J640" s="36">
        <v>540.79</v>
      </c>
      <c r="K640" s="32" t="s">
        <v>4392</v>
      </c>
      <c r="L640" s="169" t="s">
        <v>27</v>
      </c>
      <c r="M640" s="32" t="s">
        <v>224</v>
      </c>
    </row>
    <row r="641" spans="1:13" x14ac:dyDescent="0.25">
      <c r="A641" s="168">
        <v>46199</v>
      </c>
      <c r="B641" s="32">
        <v>1</v>
      </c>
      <c r="C641" s="32" t="s">
        <v>192</v>
      </c>
      <c r="D641" s="169" t="s">
        <v>287</v>
      </c>
      <c r="E641" s="169" t="s">
        <v>166</v>
      </c>
      <c r="F641" s="32" t="s">
        <v>191</v>
      </c>
      <c r="G641" s="32">
        <v>243</v>
      </c>
      <c r="H641" s="32" t="s">
        <v>165</v>
      </c>
      <c r="I641" s="32">
        <v>5588</v>
      </c>
      <c r="J641" s="36">
        <v>5024.17</v>
      </c>
      <c r="K641" s="32" t="s">
        <v>4393</v>
      </c>
      <c r="L641" s="169" t="s">
        <v>36</v>
      </c>
      <c r="M641" s="32" t="s">
        <v>3780</v>
      </c>
    </row>
    <row r="642" spans="1:13" x14ac:dyDescent="0.25">
      <c r="A642" s="168">
        <v>46199</v>
      </c>
      <c r="B642" s="32">
        <v>1</v>
      </c>
      <c r="C642" s="32" t="s">
        <v>286</v>
      </c>
      <c r="D642" s="169" t="s">
        <v>506</v>
      </c>
      <c r="E642" s="169" t="s">
        <v>166</v>
      </c>
      <c r="F642" s="32" t="s">
        <v>164</v>
      </c>
      <c r="G642" s="32">
        <v>58</v>
      </c>
      <c r="H642" s="32" t="s">
        <v>165</v>
      </c>
      <c r="I642" s="32">
        <v>4496</v>
      </c>
      <c r="J642" s="36">
        <v>964.84</v>
      </c>
      <c r="K642" s="32" t="s">
        <v>4394</v>
      </c>
      <c r="L642" s="169" t="s">
        <v>27</v>
      </c>
      <c r="M642" s="32" t="s">
        <v>224</v>
      </c>
    </row>
    <row r="643" spans="1:13" x14ac:dyDescent="0.25">
      <c r="A643" s="168">
        <v>46199</v>
      </c>
      <c r="B643" s="32">
        <v>1</v>
      </c>
      <c r="C643" s="32" t="s">
        <v>286</v>
      </c>
      <c r="D643" s="169" t="s">
        <v>506</v>
      </c>
      <c r="E643" s="169" t="s">
        <v>166</v>
      </c>
      <c r="F643" s="32" t="s">
        <v>164</v>
      </c>
      <c r="G643" s="32">
        <v>58</v>
      </c>
      <c r="H643" s="32" t="s">
        <v>165</v>
      </c>
      <c r="I643" s="32">
        <v>4672</v>
      </c>
      <c r="J643" s="36">
        <v>1002.61</v>
      </c>
      <c r="K643" s="32" t="s">
        <v>4395</v>
      </c>
      <c r="L643" s="169" t="s">
        <v>27</v>
      </c>
      <c r="M643" s="32" t="s">
        <v>224</v>
      </c>
    </row>
    <row r="644" spans="1:13" x14ac:dyDescent="0.25">
      <c r="A644" s="168">
        <v>46199</v>
      </c>
      <c r="B644" s="32">
        <v>1</v>
      </c>
      <c r="C644" s="32" t="s">
        <v>213</v>
      </c>
      <c r="D644" s="169" t="s">
        <v>1153</v>
      </c>
      <c r="E644" s="169" t="s">
        <v>166</v>
      </c>
      <c r="F644" s="32" t="s">
        <v>164</v>
      </c>
      <c r="G644" s="32">
        <v>58</v>
      </c>
      <c r="H644" s="32" t="s">
        <v>165</v>
      </c>
      <c r="I644" s="32">
        <v>478</v>
      </c>
      <c r="J644" s="36">
        <v>1025.79</v>
      </c>
      <c r="K644" s="32" t="s">
        <v>4396</v>
      </c>
      <c r="L644" s="169" t="s">
        <v>27</v>
      </c>
      <c r="M644" s="32" t="s">
        <v>224</v>
      </c>
    </row>
    <row r="645" spans="1:13" x14ac:dyDescent="0.25">
      <c r="A645" s="168">
        <v>46199</v>
      </c>
      <c r="B645" s="32">
        <v>1</v>
      </c>
      <c r="C645" s="32" t="s">
        <v>179</v>
      </c>
      <c r="D645" s="169" t="s">
        <v>2863</v>
      </c>
      <c r="E645" s="169" t="s">
        <v>166</v>
      </c>
      <c r="F645" s="32" t="s">
        <v>111</v>
      </c>
      <c r="G645" s="32">
        <v>79</v>
      </c>
      <c r="H645" s="32" t="s">
        <v>169</v>
      </c>
      <c r="I645" s="32">
        <v>2666</v>
      </c>
      <c r="J645" s="36">
        <v>779.27</v>
      </c>
      <c r="K645" s="32" t="s">
        <v>4397</v>
      </c>
      <c r="L645" s="169" t="s">
        <v>116</v>
      </c>
      <c r="M645" s="32" t="s">
        <v>111</v>
      </c>
    </row>
    <row r="646" spans="1:13" x14ac:dyDescent="0.25">
      <c r="A646" s="168">
        <v>46199</v>
      </c>
      <c r="B646" s="32">
        <v>1</v>
      </c>
      <c r="C646" s="32" t="s">
        <v>193</v>
      </c>
      <c r="D646" s="169" t="s">
        <v>285</v>
      </c>
      <c r="E646" s="169" t="s">
        <v>166</v>
      </c>
      <c r="F646" s="32" t="s">
        <v>111</v>
      </c>
      <c r="G646" s="32">
        <v>79</v>
      </c>
      <c r="H646" s="32" t="s">
        <v>169</v>
      </c>
      <c r="I646" s="32">
        <v>2692</v>
      </c>
      <c r="J646" s="36">
        <v>786.87</v>
      </c>
      <c r="K646" s="32" t="s">
        <v>4398</v>
      </c>
      <c r="L646" s="169" t="s">
        <v>116</v>
      </c>
      <c r="M646" s="32" t="s">
        <v>111</v>
      </c>
    </row>
    <row r="647" spans="1:13" x14ac:dyDescent="0.25">
      <c r="A647" s="168">
        <v>46199</v>
      </c>
      <c r="B647" s="32">
        <v>1</v>
      </c>
      <c r="C647" s="32" t="s">
        <v>193</v>
      </c>
      <c r="D647" s="169" t="s">
        <v>285</v>
      </c>
      <c r="E647" s="169" t="s">
        <v>163</v>
      </c>
      <c r="F647" s="32" t="s">
        <v>458</v>
      </c>
      <c r="G647" s="32">
        <v>52</v>
      </c>
      <c r="H647" s="32" t="s">
        <v>165</v>
      </c>
      <c r="I647" s="32">
        <v>2623</v>
      </c>
      <c r="J647" s="36">
        <v>504.67</v>
      </c>
      <c r="K647" s="32" t="s">
        <v>4399</v>
      </c>
      <c r="L647" s="169" t="s">
        <v>4400</v>
      </c>
      <c r="M647" s="32" t="s">
        <v>224</v>
      </c>
    </row>
    <row r="648" spans="1:13" x14ac:dyDescent="0.25">
      <c r="A648" s="168">
        <v>46199</v>
      </c>
      <c r="B648" s="32">
        <v>1</v>
      </c>
      <c r="C648" s="32" t="s">
        <v>193</v>
      </c>
      <c r="D648" s="169" t="s">
        <v>285</v>
      </c>
      <c r="E648" s="169" t="s">
        <v>163</v>
      </c>
      <c r="F648" s="32" t="s">
        <v>458</v>
      </c>
      <c r="G648" s="32">
        <v>52</v>
      </c>
      <c r="H648" s="32" t="s">
        <v>165</v>
      </c>
      <c r="I648" s="32">
        <v>2652</v>
      </c>
      <c r="J648" s="36">
        <v>510.24</v>
      </c>
      <c r="K648" s="32" t="s">
        <v>4401</v>
      </c>
      <c r="L648" s="169" t="s">
        <v>4400</v>
      </c>
      <c r="M648" s="32" t="s">
        <v>224</v>
      </c>
    </row>
    <row r="649" spans="1:13" x14ac:dyDescent="0.25">
      <c r="A649" s="168">
        <v>46199</v>
      </c>
      <c r="B649" s="32">
        <v>1</v>
      </c>
      <c r="C649" s="32" t="s">
        <v>183</v>
      </c>
      <c r="D649" s="169" t="s">
        <v>184</v>
      </c>
      <c r="E649" s="169" t="s">
        <v>166</v>
      </c>
      <c r="F649" s="32" t="s">
        <v>111</v>
      </c>
      <c r="G649" s="32">
        <v>79</v>
      </c>
      <c r="H649" s="32" t="s">
        <v>169</v>
      </c>
      <c r="I649" s="32">
        <v>2854</v>
      </c>
      <c r="J649" s="36">
        <v>834.22</v>
      </c>
      <c r="K649" s="32" t="s">
        <v>4402</v>
      </c>
      <c r="L649" s="169" t="s">
        <v>116</v>
      </c>
      <c r="M649" s="32" t="s">
        <v>111</v>
      </c>
    </row>
    <row r="650" spans="1:13" x14ac:dyDescent="0.25">
      <c r="A650" s="168">
        <v>46199</v>
      </c>
      <c r="B650" s="32">
        <v>1</v>
      </c>
      <c r="C650" s="32" t="s">
        <v>183</v>
      </c>
      <c r="D650" s="169" t="s">
        <v>184</v>
      </c>
      <c r="E650" s="169" t="s">
        <v>166</v>
      </c>
      <c r="F650" s="32" t="s">
        <v>1178</v>
      </c>
      <c r="G650" s="32">
        <v>51</v>
      </c>
      <c r="H650" s="32" t="s">
        <v>172</v>
      </c>
      <c r="I650" s="32">
        <v>285</v>
      </c>
      <c r="J650" s="36">
        <v>537.79999999999995</v>
      </c>
      <c r="K650" s="32" t="s">
        <v>4403</v>
      </c>
      <c r="L650" s="169" t="s">
        <v>3847</v>
      </c>
      <c r="M650" s="32" t="s">
        <v>1178</v>
      </c>
    </row>
    <row r="651" spans="1:13" x14ac:dyDescent="0.25">
      <c r="A651" s="168">
        <v>46199</v>
      </c>
      <c r="B651" s="32">
        <v>1</v>
      </c>
      <c r="C651" s="32" t="s">
        <v>1948</v>
      </c>
      <c r="D651" s="169" t="s">
        <v>1949</v>
      </c>
      <c r="E651" s="169" t="s">
        <v>166</v>
      </c>
      <c r="F651" s="32" t="s">
        <v>191</v>
      </c>
      <c r="G651" s="32">
        <v>243</v>
      </c>
      <c r="H651" s="32" t="s">
        <v>165</v>
      </c>
      <c r="I651" s="32">
        <v>472</v>
      </c>
      <c r="J651" s="36">
        <v>4243.75</v>
      </c>
      <c r="K651" s="32" t="s">
        <v>4404</v>
      </c>
      <c r="L651" s="169" t="s">
        <v>36</v>
      </c>
      <c r="M651" s="32" t="s">
        <v>3780</v>
      </c>
    </row>
    <row r="652" spans="1:13" x14ac:dyDescent="0.25">
      <c r="A652" s="168">
        <v>46200</v>
      </c>
      <c r="B652" s="32">
        <v>1</v>
      </c>
      <c r="C652" s="32" t="s">
        <v>342</v>
      </c>
      <c r="D652" s="169" t="s">
        <v>171</v>
      </c>
      <c r="E652" s="169" t="s">
        <v>163</v>
      </c>
      <c r="F652" s="32" t="s">
        <v>164</v>
      </c>
      <c r="G652" s="32">
        <v>52</v>
      </c>
      <c r="H652" s="32" t="s">
        <v>185</v>
      </c>
      <c r="I652" s="32">
        <v>4555</v>
      </c>
      <c r="J652" s="36">
        <v>876.38</v>
      </c>
      <c r="K652" s="32" t="s">
        <v>4405</v>
      </c>
      <c r="L652" s="169" t="s">
        <v>20</v>
      </c>
      <c r="M652" s="32" t="s">
        <v>224</v>
      </c>
    </row>
    <row r="653" spans="1:13" x14ac:dyDescent="0.25">
      <c r="A653" s="168">
        <v>46200</v>
      </c>
      <c r="B653" s="32">
        <v>1</v>
      </c>
      <c r="C653" s="32" t="s">
        <v>205</v>
      </c>
      <c r="D653" s="169" t="s">
        <v>206</v>
      </c>
      <c r="E653" s="169" t="s">
        <v>2757</v>
      </c>
      <c r="F653" s="32" t="s">
        <v>2867</v>
      </c>
      <c r="G653" s="32">
        <v>383</v>
      </c>
      <c r="H653" s="32" t="s">
        <v>221</v>
      </c>
      <c r="I653" s="32">
        <v>6168</v>
      </c>
      <c r="J653" s="36">
        <v>7559.5</v>
      </c>
      <c r="K653" s="32" t="s">
        <v>4406</v>
      </c>
      <c r="L653" s="169" t="s">
        <v>3752</v>
      </c>
      <c r="M653" s="32" t="s">
        <v>15</v>
      </c>
    </row>
    <row r="654" spans="1:13" x14ac:dyDescent="0.25">
      <c r="A654" s="168">
        <v>46200</v>
      </c>
      <c r="B654" s="32">
        <v>1</v>
      </c>
      <c r="C654" s="32" t="s">
        <v>2866</v>
      </c>
      <c r="D654" s="169" t="s">
        <v>281</v>
      </c>
      <c r="E654" s="169" t="s">
        <v>163</v>
      </c>
      <c r="F654" s="32" t="s">
        <v>164</v>
      </c>
      <c r="G654" s="32">
        <v>52</v>
      </c>
      <c r="H654" s="32" t="s">
        <v>165</v>
      </c>
      <c r="I654" s="32">
        <v>4374</v>
      </c>
      <c r="J654" s="36">
        <v>841.56</v>
      </c>
      <c r="K654" s="32" t="s">
        <v>4407</v>
      </c>
      <c r="L654" s="169" t="s">
        <v>31</v>
      </c>
      <c r="M654" s="32" t="s">
        <v>224</v>
      </c>
    </row>
    <row r="655" spans="1:13" x14ac:dyDescent="0.25">
      <c r="A655" s="168">
        <v>46200</v>
      </c>
      <c r="B655" s="32">
        <v>1</v>
      </c>
      <c r="C655" s="32" t="s">
        <v>275</v>
      </c>
      <c r="D655" s="169" t="s">
        <v>178</v>
      </c>
      <c r="E655" s="169" t="s">
        <v>166</v>
      </c>
      <c r="F655" s="32" t="s">
        <v>164</v>
      </c>
      <c r="G655" s="32">
        <v>58</v>
      </c>
      <c r="H655" s="32" t="s">
        <v>165</v>
      </c>
      <c r="I655" s="32">
        <v>4548</v>
      </c>
      <c r="J655" s="36">
        <v>976</v>
      </c>
      <c r="K655" s="32" t="s">
        <v>4408</v>
      </c>
      <c r="L655" s="169" t="s">
        <v>27</v>
      </c>
      <c r="M655" s="32" t="s">
        <v>224</v>
      </c>
    </row>
    <row r="656" spans="1:13" x14ac:dyDescent="0.25">
      <c r="A656" s="168">
        <v>46200</v>
      </c>
      <c r="B656" s="32">
        <v>1</v>
      </c>
      <c r="C656" s="32" t="s">
        <v>208</v>
      </c>
      <c r="D656" s="169" t="s">
        <v>209</v>
      </c>
      <c r="E656" s="169" t="s">
        <v>190</v>
      </c>
      <c r="F656" s="32" t="s">
        <v>198</v>
      </c>
      <c r="G656" s="32">
        <v>70</v>
      </c>
      <c r="H656" s="32" t="s">
        <v>165</v>
      </c>
      <c r="I656" s="32">
        <v>510</v>
      </c>
      <c r="J656" s="36">
        <v>1320.9</v>
      </c>
      <c r="K656" s="32" t="s">
        <v>4409</v>
      </c>
      <c r="L656" s="169" t="s">
        <v>30</v>
      </c>
      <c r="M656" s="32" t="s">
        <v>224</v>
      </c>
    </row>
    <row r="657" spans="1:13" x14ac:dyDescent="0.25">
      <c r="A657" s="168">
        <v>46200</v>
      </c>
      <c r="B657" s="32">
        <v>1</v>
      </c>
      <c r="C657" s="32" t="s">
        <v>199</v>
      </c>
      <c r="D657" s="169" t="s">
        <v>180</v>
      </c>
      <c r="E657" s="169" t="s">
        <v>166</v>
      </c>
      <c r="F657" s="32" t="s">
        <v>164</v>
      </c>
      <c r="G657" s="32">
        <v>58</v>
      </c>
      <c r="H657" s="32" t="s">
        <v>165</v>
      </c>
      <c r="I657" s="32">
        <v>278</v>
      </c>
      <c r="J657" s="36">
        <v>596.59</v>
      </c>
      <c r="K657" s="32" t="s">
        <v>4410</v>
      </c>
      <c r="L657" s="169" t="s">
        <v>27</v>
      </c>
      <c r="M657" s="32" t="s">
        <v>224</v>
      </c>
    </row>
    <row r="658" spans="1:13" x14ac:dyDescent="0.25">
      <c r="A658" s="168">
        <v>46200</v>
      </c>
      <c r="B658" s="32">
        <v>1</v>
      </c>
      <c r="C658" s="32" t="s">
        <v>181</v>
      </c>
      <c r="D658" s="169" t="s">
        <v>182</v>
      </c>
      <c r="E658" s="169" t="s">
        <v>166</v>
      </c>
      <c r="F658" s="32" t="s">
        <v>164</v>
      </c>
      <c r="G658" s="32">
        <v>58</v>
      </c>
      <c r="H658" s="32" t="s">
        <v>165</v>
      </c>
      <c r="I658" s="32">
        <v>2678</v>
      </c>
      <c r="J658" s="36">
        <v>574.70000000000005</v>
      </c>
      <c r="K658" s="32" t="s">
        <v>4411</v>
      </c>
      <c r="L658" s="169" t="s">
        <v>27</v>
      </c>
      <c r="M658" s="32" t="s">
        <v>224</v>
      </c>
    </row>
    <row r="659" spans="1:13" x14ac:dyDescent="0.25">
      <c r="A659" s="168">
        <v>46200</v>
      </c>
      <c r="B659" s="32">
        <v>1</v>
      </c>
      <c r="C659" s="32" t="s">
        <v>202</v>
      </c>
      <c r="D659" s="169" t="s">
        <v>214</v>
      </c>
      <c r="E659" s="169" t="s">
        <v>166</v>
      </c>
      <c r="F659" s="32" t="s">
        <v>164</v>
      </c>
      <c r="G659" s="32">
        <v>58</v>
      </c>
      <c r="H659" s="32" t="s">
        <v>165</v>
      </c>
      <c r="I659" s="32">
        <v>4964</v>
      </c>
      <c r="J659" s="36">
        <v>1065.27</v>
      </c>
      <c r="K659" s="32" t="s">
        <v>4412</v>
      </c>
      <c r="L659" s="169" t="s">
        <v>27</v>
      </c>
      <c r="M659" s="32" t="s">
        <v>224</v>
      </c>
    </row>
    <row r="660" spans="1:13" x14ac:dyDescent="0.25">
      <c r="A660" s="168">
        <v>46200</v>
      </c>
      <c r="B660" s="32">
        <v>1</v>
      </c>
      <c r="C660" s="32" t="s">
        <v>173</v>
      </c>
      <c r="D660" s="169" t="s">
        <v>174</v>
      </c>
      <c r="E660" s="169" t="s">
        <v>166</v>
      </c>
      <c r="F660" s="32" t="s">
        <v>164</v>
      </c>
      <c r="G660" s="32">
        <v>58</v>
      </c>
      <c r="H660" s="32" t="s">
        <v>175</v>
      </c>
      <c r="I660" s="32">
        <v>2644</v>
      </c>
      <c r="J660" s="36">
        <v>567.4</v>
      </c>
      <c r="K660" s="32" t="s">
        <v>4413</v>
      </c>
      <c r="L660" s="169" t="s">
        <v>86</v>
      </c>
      <c r="M660" s="32" t="s">
        <v>224</v>
      </c>
    </row>
    <row r="661" spans="1:13" x14ac:dyDescent="0.25">
      <c r="A661" s="168">
        <v>46200</v>
      </c>
      <c r="B661" s="32">
        <v>1</v>
      </c>
      <c r="C661" s="32" t="s">
        <v>173</v>
      </c>
      <c r="D661" s="169" t="s">
        <v>174</v>
      </c>
      <c r="E661" s="169" t="s">
        <v>166</v>
      </c>
      <c r="F661" s="32" t="s">
        <v>164</v>
      </c>
      <c r="G661" s="32">
        <v>58</v>
      </c>
      <c r="H661" s="32" t="s">
        <v>175</v>
      </c>
      <c r="I661" s="32">
        <v>252</v>
      </c>
      <c r="J661" s="36">
        <v>540.79</v>
      </c>
      <c r="K661" s="32" t="s">
        <v>4414</v>
      </c>
      <c r="L661" s="169" t="s">
        <v>86</v>
      </c>
      <c r="M661" s="32" t="s">
        <v>224</v>
      </c>
    </row>
    <row r="662" spans="1:13" x14ac:dyDescent="0.25">
      <c r="A662" s="168">
        <v>46200</v>
      </c>
      <c r="B662" s="32">
        <v>1</v>
      </c>
      <c r="C662" s="32" t="s">
        <v>219</v>
      </c>
      <c r="D662" s="169" t="s">
        <v>220</v>
      </c>
      <c r="E662" s="169" t="s">
        <v>163</v>
      </c>
      <c r="F662" s="32" t="s">
        <v>164</v>
      </c>
      <c r="G662" s="32">
        <v>52</v>
      </c>
      <c r="H662" s="32" t="s">
        <v>175</v>
      </c>
      <c r="I662" s="32">
        <v>557</v>
      </c>
      <c r="J662" s="36">
        <v>1071.67</v>
      </c>
      <c r="K662" s="32" t="s">
        <v>4415</v>
      </c>
      <c r="L662" s="169" t="s">
        <v>21</v>
      </c>
      <c r="M662" s="32" t="s">
        <v>224</v>
      </c>
    </row>
    <row r="663" spans="1:13" x14ac:dyDescent="0.25">
      <c r="A663" s="168">
        <v>46200</v>
      </c>
      <c r="B663" s="32">
        <v>1</v>
      </c>
      <c r="C663" s="32" t="s">
        <v>167</v>
      </c>
      <c r="D663" s="169" t="s">
        <v>168</v>
      </c>
      <c r="E663" s="169" t="s">
        <v>163</v>
      </c>
      <c r="F663" s="32" t="s">
        <v>164</v>
      </c>
      <c r="G663" s="32">
        <v>52</v>
      </c>
      <c r="H663" s="32" t="s">
        <v>175</v>
      </c>
      <c r="I663" s="32">
        <v>2872</v>
      </c>
      <c r="J663" s="36">
        <v>552.57000000000005</v>
      </c>
      <c r="K663" s="32" t="s">
        <v>4416</v>
      </c>
      <c r="L663" s="169" t="s">
        <v>21</v>
      </c>
      <c r="M663" s="32" t="s">
        <v>224</v>
      </c>
    </row>
    <row r="664" spans="1:13" x14ac:dyDescent="0.25">
      <c r="A664" s="168">
        <v>46200</v>
      </c>
      <c r="B664" s="32">
        <v>1</v>
      </c>
      <c r="C664" s="32" t="s">
        <v>1129</v>
      </c>
      <c r="D664" s="169" t="s">
        <v>2396</v>
      </c>
      <c r="E664" s="169" t="s">
        <v>166</v>
      </c>
      <c r="F664" s="32" t="s">
        <v>164</v>
      </c>
      <c r="G664" s="32">
        <v>58</v>
      </c>
      <c r="H664" s="32" t="s">
        <v>165</v>
      </c>
      <c r="I664" s="32">
        <v>2904</v>
      </c>
      <c r="J664" s="36">
        <v>623.20000000000005</v>
      </c>
      <c r="K664" s="32" t="s">
        <v>4417</v>
      </c>
      <c r="L664" s="169" t="s">
        <v>27</v>
      </c>
      <c r="M664" s="32" t="s">
        <v>224</v>
      </c>
    </row>
    <row r="665" spans="1:13" x14ac:dyDescent="0.25">
      <c r="A665" s="168">
        <v>46200</v>
      </c>
      <c r="B665" s="32">
        <v>1</v>
      </c>
      <c r="C665" s="32" t="s">
        <v>1129</v>
      </c>
      <c r="D665" s="169" t="s">
        <v>2396</v>
      </c>
      <c r="E665" s="169" t="s">
        <v>166</v>
      </c>
      <c r="F665" s="32" t="s">
        <v>164</v>
      </c>
      <c r="G665" s="32">
        <v>58</v>
      </c>
      <c r="H665" s="32" t="s">
        <v>165</v>
      </c>
      <c r="I665" s="32">
        <v>2674</v>
      </c>
      <c r="J665" s="36">
        <v>573.84</v>
      </c>
      <c r="K665" s="32" t="s">
        <v>4418</v>
      </c>
      <c r="L665" s="169" t="s">
        <v>27</v>
      </c>
      <c r="M665" s="32" t="s">
        <v>224</v>
      </c>
    </row>
    <row r="666" spans="1:13" x14ac:dyDescent="0.25">
      <c r="A666" s="168">
        <v>46200</v>
      </c>
      <c r="B666" s="32">
        <v>1</v>
      </c>
      <c r="C666" s="32" t="s">
        <v>183</v>
      </c>
      <c r="D666" s="169" t="s">
        <v>184</v>
      </c>
      <c r="E666" s="169" t="s">
        <v>163</v>
      </c>
      <c r="F666" s="32" t="s">
        <v>164</v>
      </c>
      <c r="G666" s="32">
        <v>52</v>
      </c>
      <c r="H666" s="32" t="s">
        <v>175</v>
      </c>
      <c r="I666" s="32">
        <v>268</v>
      </c>
      <c r="J666" s="36">
        <v>515.63</v>
      </c>
      <c r="K666" s="32" t="s">
        <v>4419</v>
      </c>
      <c r="L666" s="169" t="s">
        <v>21</v>
      </c>
      <c r="M666" s="32" t="s">
        <v>224</v>
      </c>
    </row>
    <row r="667" spans="1:13" x14ac:dyDescent="0.25">
      <c r="A667" s="168">
        <v>46200</v>
      </c>
      <c r="B667" s="32">
        <v>1</v>
      </c>
      <c r="C667" s="32" t="s">
        <v>183</v>
      </c>
      <c r="D667" s="169" t="s">
        <v>184</v>
      </c>
      <c r="E667" s="169" t="s">
        <v>166</v>
      </c>
      <c r="F667" s="32" t="s">
        <v>1178</v>
      </c>
      <c r="G667" s="32">
        <v>51</v>
      </c>
      <c r="H667" s="32" t="s">
        <v>172</v>
      </c>
      <c r="I667" s="32">
        <v>2718</v>
      </c>
      <c r="J667" s="36">
        <v>512.89</v>
      </c>
      <c r="K667" s="32" t="s">
        <v>4420</v>
      </c>
      <c r="L667" s="169" t="s">
        <v>3847</v>
      </c>
      <c r="M667" s="32" t="s">
        <v>1178</v>
      </c>
    </row>
    <row r="668" spans="1:13" x14ac:dyDescent="0.25">
      <c r="A668" s="168">
        <v>46200</v>
      </c>
      <c r="B668" s="32">
        <v>1</v>
      </c>
      <c r="C668" s="32" t="s">
        <v>179</v>
      </c>
      <c r="D668" s="169" t="s">
        <v>2863</v>
      </c>
      <c r="E668" s="169" t="s">
        <v>166</v>
      </c>
      <c r="F668" s="32" t="s">
        <v>164</v>
      </c>
      <c r="G668" s="32">
        <v>58</v>
      </c>
      <c r="H668" s="32" t="s">
        <v>175</v>
      </c>
      <c r="I668" s="32">
        <v>2653</v>
      </c>
      <c r="J668" s="36">
        <v>569.33000000000004</v>
      </c>
      <c r="K668" s="32" t="s">
        <v>4421</v>
      </c>
      <c r="L668" s="169" t="s">
        <v>86</v>
      </c>
      <c r="M668" s="32" t="s">
        <v>224</v>
      </c>
    </row>
    <row r="669" spans="1:13" x14ac:dyDescent="0.25">
      <c r="A669" s="168">
        <v>46200</v>
      </c>
      <c r="B669" s="32">
        <v>1</v>
      </c>
      <c r="C669" s="32" t="s">
        <v>193</v>
      </c>
      <c r="D669" s="169" t="s">
        <v>285</v>
      </c>
      <c r="E669" s="169" t="s">
        <v>166</v>
      </c>
      <c r="F669" s="32" t="s">
        <v>164</v>
      </c>
      <c r="G669" s="32">
        <v>58</v>
      </c>
      <c r="H669" s="32" t="s">
        <v>165</v>
      </c>
      <c r="I669" s="32">
        <v>2554</v>
      </c>
      <c r="J669" s="36">
        <v>548.09</v>
      </c>
      <c r="K669" s="32" t="s">
        <v>4422</v>
      </c>
      <c r="L669" s="169" t="s">
        <v>27</v>
      </c>
      <c r="M669" s="32" t="s">
        <v>224</v>
      </c>
    </row>
    <row r="670" spans="1:13" x14ac:dyDescent="0.25">
      <c r="A670" s="168">
        <v>46200</v>
      </c>
      <c r="B670" s="32">
        <v>1</v>
      </c>
      <c r="C670" s="32" t="s">
        <v>286</v>
      </c>
      <c r="D670" s="169" t="s">
        <v>506</v>
      </c>
      <c r="E670" s="169" t="s">
        <v>166</v>
      </c>
      <c r="F670" s="32" t="s">
        <v>164</v>
      </c>
      <c r="G670" s="32">
        <v>58</v>
      </c>
      <c r="H670" s="32" t="s">
        <v>175</v>
      </c>
      <c r="I670" s="32">
        <v>4698</v>
      </c>
      <c r="J670" s="36">
        <v>1008.19</v>
      </c>
      <c r="K670" s="32" t="s">
        <v>4423</v>
      </c>
      <c r="L670" s="169" t="s">
        <v>86</v>
      </c>
      <c r="M670" s="32" t="s">
        <v>224</v>
      </c>
    </row>
    <row r="671" spans="1:13" x14ac:dyDescent="0.25">
      <c r="A671" s="168">
        <v>46200</v>
      </c>
      <c r="B671" s="32">
        <v>1</v>
      </c>
      <c r="C671" s="32" t="s">
        <v>270</v>
      </c>
      <c r="D671" s="169" t="s">
        <v>288</v>
      </c>
      <c r="E671" s="169" t="s">
        <v>163</v>
      </c>
      <c r="F671" s="32" t="s">
        <v>164</v>
      </c>
      <c r="G671" s="32">
        <v>52</v>
      </c>
      <c r="H671" s="32" t="s">
        <v>175</v>
      </c>
      <c r="I671" s="32">
        <v>4618</v>
      </c>
      <c r="J671" s="36">
        <v>888.5</v>
      </c>
      <c r="K671" s="32" t="s">
        <v>4424</v>
      </c>
      <c r="L671" s="169" t="s">
        <v>21</v>
      </c>
      <c r="M671" s="32" t="s">
        <v>224</v>
      </c>
    </row>
    <row r="672" spans="1:13" x14ac:dyDescent="0.25">
      <c r="A672" s="168">
        <v>46202</v>
      </c>
      <c r="B672" s="32">
        <v>1</v>
      </c>
      <c r="C672" s="32" t="s">
        <v>219</v>
      </c>
      <c r="D672" s="169" t="s">
        <v>220</v>
      </c>
      <c r="E672" s="169" t="s">
        <v>163</v>
      </c>
      <c r="F672" s="32" t="s">
        <v>164</v>
      </c>
      <c r="G672" s="32">
        <v>52</v>
      </c>
      <c r="H672" s="32" t="s">
        <v>175</v>
      </c>
      <c r="I672" s="32">
        <v>549</v>
      </c>
      <c r="J672" s="36">
        <v>1056.28</v>
      </c>
      <c r="K672" s="32" t="s">
        <v>4425</v>
      </c>
      <c r="L672" s="169" t="s">
        <v>21</v>
      </c>
      <c r="M672" s="32" t="s">
        <v>224</v>
      </c>
    </row>
    <row r="673" spans="1:13" x14ac:dyDescent="0.25">
      <c r="A673" s="168">
        <v>46202</v>
      </c>
      <c r="B673" s="32">
        <v>1</v>
      </c>
      <c r="C673" s="32" t="s">
        <v>219</v>
      </c>
      <c r="D673" s="169" t="s">
        <v>220</v>
      </c>
      <c r="E673" s="169" t="s">
        <v>163</v>
      </c>
      <c r="F673" s="32" t="s">
        <v>164</v>
      </c>
      <c r="G673" s="32">
        <v>52</v>
      </c>
      <c r="H673" s="32" t="s">
        <v>175</v>
      </c>
      <c r="I673" s="32">
        <v>550</v>
      </c>
      <c r="J673" s="36">
        <v>1058.2</v>
      </c>
      <c r="K673" s="32" t="s">
        <v>4426</v>
      </c>
      <c r="L673" s="169" t="s">
        <v>21</v>
      </c>
      <c r="M673" s="32" t="s">
        <v>224</v>
      </c>
    </row>
    <row r="674" spans="1:13" x14ac:dyDescent="0.25">
      <c r="A674" s="168">
        <v>46202</v>
      </c>
      <c r="B674" s="32">
        <v>1</v>
      </c>
      <c r="C674" s="32" t="s">
        <v>167</v>
      </c>
      <c r="D674" s="169" t="s">
        <v>168</v>
      </c>
      <c r="E674" s="169" t="s">
        <v>163</v>
      </c>
      <c r="F674" s="32" t="s">
        <v>164</v>
      </c>
      <c r="G674" s="32">
        <v>52</v>
      </c>
      <c r="H674" s="32" t="s">
        <v>175</v>
      </c>
      <c r="I674" s="32">
        <v>2742</v>
      </c>
      <c r="J674" s="36">
        <v>527.55999999999995</v>
      </c>
      <c r="K674" s="32" t="s">
        <v>4427</v>
      </c>
      <c r="L674" s="169" t="s">
        <v>21</v>
      </c>
      <c r="M674" s="32" t="s">
        <v>224</v>
      </c>
    </row>
    <row r="675" spans="1:13" x14ac:dyDescent="0.25">
      <c r="A675" s="168">
        <v>46202</v>
      </c>
      <c r="B675" s="32">
        <v>1</v>
      </c>
      <c r="C675" s="32" t="s">
        <v>286</v>
      </c>
      <c r="D675" s="169" t="s">
        <v>506</v>
      </c>
      <c r="E675" s="169" t="s">
        <v>166</v>
      </c>
      <c r="F675" s="32" t="s">
        <v>164</v>
      </c>
      <c r="G675" s="32">
        <v>58</v>
      </c>
      <c r="H675" s="32" t="s">
        <v>165</v>
      </c>
      <c r="I675" s="32">
        <v>448</v>
      </c>
      <c r="J675" s="36">
        <v>961.41</v>
      </c>
      <c r="K675" s="32" t="s">
        <v>4428</v>
      </c>
      <c r="L675" s="169" t="s">
        <v>27</v>
      </c>
      <c r="M675" s="32" t="s">
        <v>224</v>
      </c>
    </row>
    <row r="676" spans="1:13" x14ac:dyDescent="0.25">
      <c r="A676" s="168">
        <v>46202</v>
      </c>
      <c r="B676" s="32">
        <v>1</v>
      </c>
      <c r="C676" s="32" t="s">
        <v>186</v>
      </c>
      <c r="D676" s="169" t="s">
        <v>187</v>
      </c>
      <c r="E676" s="169" t="s">
        <v>2757</v>
      </c>
      <c r="F676" s="32" t="s">
        <v>2867</v>
      </c>
      <c r="G676" s="32">
        <v>383</v>
      </c>
      <c r="H676" s="32" t="s">
        <v>221</v>
      </c>
      <c r="I676" s="32">
        <v>610</v>
      </c>
      <c r="J676" s="36">
        <v>7476.16</v>
      </c>
      <c r="K676" s="32" t="s">
        <v>4429</v>
      </c>
      <c r="L676" s="169" t="s">
        <v>3752</v>
      </c>
      <c r="M676" s="32" t="s">
        <v>15</v>
      </c>
    </row>
    <row r="677" spans="1:13" x14ac:dyDescent="0.25">
      <c r="A677" s="168">
        <v>46203</v>
      </c>
      <c r="B677" s="32">
        <v>1</v>
      </c>
      <c r="C677" s="32" t="s">
        <v>219</v>
      </c>
      <c r="D677" s="169" t="s">
        <v>220</v>
      </c>
      <c r="E677" s="169" t="s">
        <v>163</v>
      </c>
      <c r="F677" s="32" t="s">
        <v>164</v>
      </c>
      <c r="G677" s="32">
        <v>52</v>
      </c>
      <c r="H677" s="32" t="s">
        <v>165</v>
      </c>
      <c r="I677" s="32">
        <v>532</v>
      </c>
      <c r="J677" s="36">
        <v>1023.57</v>
      </c>
      <c r="K677" s="32" t="s">
        <v>4430</v>
      </c>
      <c r="L677" s="169" t="s">
        <v>31</v>
      </c>
      <c r="M677" s="32" t="s">
        <v>224</v>
      </c>
    </row>
    <row r="678" spans="1:13" x14ac:dyDescent="0.25">
      <c r="A678" s="168">
        <v>46203</v>
      </c>
      <c r="B678" s="32">
        <v>1</v>
      </c>
      <c r="C678" s="32" t="s">
        <v>203</v>
      </c>
      <c r="D678" s="169" t="s">
        <v>204</v>
      </c>
      <c r="E678" s="169" t="s">
        <v>166</v>
      </c>
      <c r="F678" s="32" t="s">
        <v>164</v>
      </c>
      <c r="G678" s="32">
        <v>58</v>
      </c>
      <c r="H678" s="32" t="s">
        <v>165</v>
      </c>
      <c r="I678" s="32">
        <v>466</v>
      </c>
      <c r="J678" s="36">
        <v>1000.04</v>
      </c>
      <c r="K678" s="32" t="s">
        <v>4431</v>
      </c>
      <c r="L678" s="169" t="s">
        <v>27</v>
      </c>
      <c r="M678" s="32" t="s">
        <v>224</v>
      </c>
    </row>
    <row r="679" spans="1:13" x14ac:dyDescent="0.25">
      <c r="A679" s="168">
        <v>46203</v>
      </c>
      <c r="B679" s="32">
        <v>1</v>
      </c>
      <c r="C679" s="32" t="s">
        <v>188</v>
      </c>
      <c r="D679" s="169" t="s">
        <v>189</v>
      </c>
      <c r="E679" s="169" t="s">
        <v>163</v>
      </c>
      <c r="F679" s="32" t="s">
        <v>164</v>
      </c>
      <c r="G679" s="32">
        <v>52</v>
      </c>
      <c r="H679" s="32" t="s">
        <v>165</v>
      </c>
      <c r="I679" s="32">
        <v>6795</v>
      </c>
      <c r="J679" s="36">
        <v>1307.3599999999999</v>
      </c>
      <c r="K679" s="32" t="s">
        <v>4432</v>
      </c>
      <c r="L679" s="169" t="s">
        <v>31</v>
      </c>
      <c r="M679" s="32" t="s">
        <v>224</v>
      </c>
    </row>
    <row r="680" spans="1:13" x14ac:dyDescent="0.25">
      <c r="A680" s="168">
        <v>46203</v>
      </c>
      <c r="B680" s="32">
        <v>1</v>
      </c>
      <c r="C680" s="32" t="s">
        <v>167</v>
      </c>
      <c r="D680" s="169" t="s">
        <v>168</v>
      </c>
      <c r="E680" s="169" t="s">
        <v>163</v>
      </c>
      <c r="F680" s="32" t="s">
        <v>164</v>
      </c>
      <c r="G680" s="32">
        <v>52</v>
      </c>
      <c r="H680" s="32" t="s">
        <v>175</v>
      </c>
      <c r="I680" s="32">
        <v>2675</v>
      </c>
      <c r="J680" s="36">
        <v>514.66999999999996</v>
      </c>
      <c r="K680" s="32" t="s">
        <v>4433</v>
      </c>
      <c r="L680" s="169" t="s">
        <v>21</v>
      </c>
      <c r="M680" s="32" t="s">
        <v>224</v>
      </c>
    </row>
    <row r="681" spans="1:13" x14ac:dyDescent="0.25">
      <c r="A681" s="168">
        <v>46203</v>
      </c>
      <c r="B681" s="32">
        <v>1</v>
      </c>
      <c r="C681" s="32" t="s">
        <v>167</v>
      </c>
      <c r="D681" s="169" t="s">
        <v>168</v>
      </c>
      <c r="E681" s="169" t="s">
        <v>166</v>
      </c>
      <c r="F681" s="32" t="s">
        <v>164</v>
      </c>
      <c r="G681" s="32">
        <v>58</v>
      </c>
      <c r="H681" s="32" t="s">
        <v>175</v>
      </c>
      <c r="I681" s="32">
        <v>2444</v>
      </c>
      <c r="J681" s="36">
        <v>524.48</v>
      </c>
      <c r="K681" s="32" t="s">
        <v>4434</v>
      </c>
      <c r="L681" s="169" t="s">
        <v>86</v>
      </c>
      <c r="M681" s="32" t="s">
        <v>224</v>
      </c>
    </row>
    <row r="682" spans="1:13" x14ac:dyDescent="0.25">
      <c r="A682" s="168">
        <v>46203</v>
      </c>
      <c r="B682" s="32">
        <v>1</v>
      </c>
      <c r="C682" s="32" t="s">
        <v>210</v>
      </c>
      <c r="D682" s="169" t="s">
        <v>211</v>
      </c>
      <c r="E682" s="169" t="s">
        <v>163</v>
      </c>
      <c r="F682" s="32" t="s">
        <v>164</v>
      </c>
      <c r="G682" s="32">
        <v>52</v>
      </c>
      <c r="H682" s="32" t="s">
        <v>165</v>
      </c>
      <c r="I682" s="32">
        <v>4444</v>
      </c>
      <c r="J682" s="36">
        <v>855.03</v>
      </c>
      <c r="K682" s="32" t="s">
        <v>346</v>
      </c>
      <c r="L682" s="169" t="s">
        <v>31</v>
      </c>
      <c r="M682" s="32" t="s">
        <v>224</v>
      </c>
    </row>
    <row r="683" spans="1:13" x14ac:dyDescent="0.25">
      <c r="A683" s="168">
        <v>46203</v>
      </c>
      <c r="B683" s="32">
        <v>1</v>
      </c>
      <c r="C683" s="32" t="s">
        <v>342</v>
      </c>
      <c r="D683" s="169" t="s">
        <v>171</v>
      </c>
      <c r="E683" s="169" t="s">
        <v>166</v>
      </c>
      <c r="F683" s="32" t="s">
        <v>164</v>
      </c>
      <c r="G683" s="32">
        <v>58</v>
      </c>
      <c r="H683" s="32" t="s">
        <v>175</v>
      </c>
      <c r="I683" s="32">
        <v>4508</v>
      </c>
      <c r="J683" s="36">
        <v>967.42</v>
      </c>
      <c r="K683" s="32" t="s">
        <v>4435</v>
      </c>
      <c r="L683" s="169" t="s">
        <v>86</v>
      </c>
      <c r="M683" s="32" t="s">
        <v>224</v>
      </c>
    </row>
    <row r="684" spans="1:13" x14ac:dyDescent="0.25">
      <c r="A684" s="168">
        <v>46203</v>
      </c>
      <c r="B684" s="32">
        <v>1</v>
      </c>
      <c r="C684" s="32" t="s">
        <v>202</v>
      </c>
      <c r="D684" s="169" t="s">
        <v>214</v>
      </c>
      <c r="E684" s="169" t="s">
        <v>190</v>
      </c>
      <c r="F684" s="32" t="s">
        <v>198</v>
      </c>
      <c r="G684" s="32">
        <v>70</v>
      </c>
      <c r="H684" s="32" t="s">
        <v>165</v>
      </c>
      <c r="I684" s="32">
        <v>554</v>
      </c>
      <c r="J684" s="36">
        <v>1434.86</v>
      </c>
      <c r="K684" s="32" t="s">
        <v>4436</v>
      </c>
      <c r="L684" s="169" t="s">
        <v>30</v>
      </c>
      <c r="M684" s="32" t="s">
        <v>224</v>
      </c>
    </row>
    <row r="685" spans="1:13" x14ac:dyDescent="0.25">
      <c r="A685" s="168">
        <v>46203</v>
      </c>
      <c r="B685" s="32">
        <v>1</v>
      </c>
      <c r="C685" s="32" t="s">
        <v>167</v>
      </c>
      <c r="D685" s="169" t="s">
        <v>168</v>
      </c>
      <c r="E685" s="169" t="s">
        <v>166</v>
      </c>
      <c r="F685" s="32" t="s">
        <v>164</v>
      </c>
      <c r="G685" s="32">
        <v>58</v>
      </c>
      <c r="H685" s="32" t="s">
        <v>175</v>
      </c>
      <c r="I685" s="32">
        <v>2696</v>
      </c>
      <c r="J685" s="36">
        <v>578.55999999999995</v>
      </c>
      <c r="K685" s="32" t="s">
        <v>4437</v>
      </c>
      <c r="L685" s="169" t="s">
        <v>86</v>
      </c>
      <c r="M685" s="32" t="s">
        <v>224</v>
      </c>
    </row>
    <row r="686" spans="1:13" x14ac:dyDescent="0.25">
      <c r="A686" s="168">
        <v>46203</v>
      </c>
      <c r="B686" s="32">
        <v>1</v>
      </c>
      <c r="C686" s="32" t="s">
        <v>199</v>
      </c>
      <c r="D686" s="169" t="s">
        <v>180</v>
      </c>
      <c r="E686" s="169" t="s">
        <v>166</v>
      </c>
      <c r="F686" s="32" t="s">
        <v>164</v>
      </c>
      <c r="G686" s="32">
        <v>58</v>
      </c>
      <c r="H686" s="32" t="s">
        <v>175</v>
      </c>
      <c r="I686" s="32">
        <v>2664</v>
      </c>
      <c r="J686" s="36">
        <v>571.69000000000005</v>
      </c>
      <c r="K686" s="32" t="s">
        <v>4438</v>
      </c>
      <c r="L686" s="169" t="s">
        <v>86</v>
      </c>
      <c r="M686" s="32" t="s">
        <v>224</v>
      </c>
    </row>
    <row r="687" spans="1:13" x14ac:dyDescent="0.25">
      <c r="A687" s="168">
        <v>46203</v>
      </c>
      <c r="B687" s="32">
        <v>1</v>
      </c>
      <c r="C687" s="32" t="s">
        <v>219</v>
      </c>
      <c r="D687" s="169" t="s">
        <v>220</v>
      </c>
      <c r="E687" s="169" t="s">
        <v>163</v>
      </c>
      <c r="F687" s="32" t="s">
        <v>164</v>
      </c>
      <c r="G687" s="32">
        <v>52</v>
      </c>
      <c r="H687" s="32" t="s">
        <v>175</v>
      </c>
      <c r="I687" s="32">
        <v>584</v>
      </c>
      <c r="J687" s="36">
        <v>1123.6199999999999</v>
      </c>
      <c r="K687" s="32" t="s">
        <v>4439</v>
      </c>
      <c r="L687" s="169" t="s">
        <v>21</v>
      </c>
      <c r="M687" s="32" t="s">
        <v>224</v>
      </c>
    </row>
    <row r="688" spans="1:13" x14ac:dyDescent="0.25">
      <c r="A688" s="168">
        <v>46203</v>
      </c>
      <c r="B688" s="32">
        <v>1</v>
      </c>
      <c r="C688" s="32" t="s">
        <v>219</v>
      </c>
      <c r="D688" s="169" t="s">
        <v>220</v>
      </c>
      <c r="E688" s="169" t="s">
        <v>163</v>
      </c>
      <c r="F688" s="32" t="s">
        <v>164</v>
      </c>
      <c r="G688" s="32">
        <v>52</v>
      </c>
      <c r="H688" s="32" t="s">
        <v>165</v>
      </c>
      <c r="I688" s="32">
        <v>532</v>
      </c>
      <c r="J688" s="36">
        <v>1023.57</v>
      </c>
      <c r="K688" s="32" t="s">
        <v>4440</v>
      </c>
      <c r="L688" s="169" t="s">
        <v>31</v>
      </c>
      <c r="M688" s="32" t="s">
        <v>224</v>
      </c>
    </row>
    <row r="689" spans="1:13" x14ac:dyDescent="0.25">
      <c r="A689" s="168">
        <v>46203</v>
      </c>
      <c r="B689" s="32">
        <v>1</v>
      </c>
      <c r="C689" s="32" t="s">
        <v>196</v>
      </c>
      <c r="D689" s="169" t="s">
        <v>197</v>
      </c>
      <c r="E689" s="169" t="s">
        <v>190</v>
      </c>
      <c r="F689" s="32" t="s">
        <v>198</v>
      </c>
      <c r="G689" s="32">
        <v>70</v>
      </c>
      <c r="H689" s="32" t="s">
        <v>165</v>
      </c>
      <c r="I689" s="32">
        <v>545</v>
      </c>
      <c r="J689" s="36">
        <v>1411.55</v>
      </c>
      <c r="K689" s="32" t="s">
        <v>4441</v>
      </c>
      <c r="L689" s="169" t="s">
        <v>30</v>
      </c>
      <c r="M689" s="32" t="s">
        <v>224</v>
      </c>
    </row>
    <row r="690" spans="1:13" x14ac:dyDescent="0.25">
      <c r="A690" s="168">
        <v>46203</v>
      </c>
      <c r="B690" s="32">
        <v>1</v>
      </c>
      <c r="C690" s="32" t="s">
        <v>192</v>
      </c>
      <c r="D690" s="169" t="s">
        <v>287</v>
      </c>
      <c r="E690" s="169" t="s">
        <v>166</v>
      </c>
      <c r="F690" s="32" t="s">
        <v>164</v>
      </c>
      <c r="G690" s="32">
        <v>58</v>
      </c>
      <c r="H690" s="32" t="s">
        <v>165</v>
      </c>
      <c r="I690" s="32">
        <v>50446</v>
      </c>
      <c r="J690" s="36">
        <v>1082.57</v>
      </c>
      <c r="K690" s="32" t="s">
        <v>4442</v>
      </c>
      <c r="L690" s="169" t="s">
        <v>27</v>
      </c>
      <c r="M690" s="32" t="s">
        <v>224</v>
      </c>
    </row>
    <row r="691" spans="1:13" x14ac:dyDescent="0.25">
      <c r="A691" s="168">
        <v>46203</v>
      </c>
      <c r="B691" s="32">
        <v>1</v>
      </c>
      <c r="C691" s="32" t="s">
        <v>192</v>
      </c>
      <c r="D691" s="169" t="s">
        <v>287</v>
      </c>
      <c r="E691" s="169" t="s">
        <v>166</v>
      </c>
      <c r="F691" s="32" t="s">
        <v>164</v>
      </c>
      <c r="G691" s="32">
        <v>58</v>
      </c>
      <c r="H691" s="32" t="s">
        <v>165</v>
      </c>
      <c r="I691" s="32">
        <v>4612</v>
      </c>
      <c r="J691" s="36">
        <v>989.74</v>
      </c>
      <c r="K691" s="32" t="s">
        <v>4443</v>
      </c>
      <c r="L691" s="169" t="s">
        <v>27</v>
      </c>
      <c r="M691" s="32" t="s">
        <v>224</v>
      </c>
    </row>
    <row r="692" spans="1:13" x14ac:dyDescent="0.25">
      <c r="A692" s="168">
        <v>46203</v>
      </c>
      <c r="B692" s="32">
        <v>1</v>
      </c>
      <c r="C692" s="32" t="s">
        <v>213</v>
      </c>
      <c r="D692" s="169" t="s">
        <v>1153</v>
      </c>
      <c r="E692" s="169" t="s">
        <v>190</v>
      </c>
      <c r="F692" s="32" t="s">
        <v>198</v>
      </c>
      <c r="G692" s="32">
        <v>70</v>
      </c>
      <c r="H692" s="32" t="s">
        <v>165</v>
      </c>
      <c r="I692" s="32">
        <v>3094</v>
      </c>
      <c r="J692" s="36">
        <v>801.35</v>
      </c>
      <c r="K692" s="32" t="s">
        <v>4444</v>
      </c>
      <c r="L692" s="169" t="s">
        <v>30</v>
      </c>
      <c r="M692" s="32" t="s">
        <v>224</v>
      </c>
    </row>
    <row r="693" spans="1:13" x14ac:dyDescent="0.25">
      <c r="A693" s="168">
        <v>46203</v>
      </c>
      <c r="B693" s="32">
        <v>1</v>
      </c>
      <c r="C693" s="32" t="s">
        <v>1129</v>
      </c>
      <c r="D693" s="169" t="s">
        <v>2396</v>
      </c>
      <c r="E693" s="169" t="s">
        <v>166</v>
      </c>
      <c r="F693" s="32" t="s">
        <v>164</v>
      </c>
      <c r="G693" s="32">
        <v>58</v>
      </c>
      <c r="H693" s="32" t="s">
        <v>165</v>
      </c>
      <c r="I693" s="32">
        <v>2566</v>
      </c>
      <c r="J693" s="36">
        <v>550.66</v>
      </c>
      <c r="K693" s="32" t="s">
        <v>4445</v>
      </c>
      <c r="L693" s="169" t="s">
        <v>27</v>
      </c>
      <c r="M693" s="32" t="s">
        <v>224</v>
      </c>
    </row>
    <row r="694" spans="1:13" x14ac:dyDescent="0.25">
      <c r="A694" s="168">
        <v>46203</v>
      </c>
      <c r="B694" s="32">
        <v>1</v>
      </c>
      <c r="C694" s="32" t="s">
        <v>283</v>
      </c>
      <c r="D694" s="169" t="s">
        <v>282</v>
      </c>
      <c r="E694" s="169" t="s">
        <v>166</v>
      </c>
      <c r="F694" s="32" t="s">
        <v>1178</v>
      </c>
      <c r="G694" s="32">
        <v>51</v>
      </c>
      <c r="H694" s="32" t="s">
        <v>175</v>
      </c>
      <c r="I694" s="32">
        <v>2695</v>
      </c>
      <c r="J694" s="36">
        <v>508.55</v>
      </c>
      <c r="K694" s="32" t="s">
        <v>4446</v>
      </c>
      <c r="L694" s="169" t="s">
        <v>4447</v>
      </c>
      <c r="M694" s="32" t="s">
        <v>1178</v>
      </c>
    </row>
    <row r="695" spans="1:13" x14ac:dyDescent="0.25">
      <c r="A695" s="168">
        <v>46203</v>
      </c>
      <c r="B695" s="32">
        <v>1</v>
      </c>
      <c r="C695" s="32" t="s">
        <v>283</v>
      </c>
      <c r="D695" s="169" t="s">
        <v>282</v>
      </c>
      <c r="E695" s="169" t="s">
        <v>166</v>
      </c>
      <c r="F695" s="32" t="s">
        <v>1178</v>
      </c>
      <c r="G695" s="32">
        <v>51</v>
      </c>
      <c r="H695" s="32" t="s">
        <v>172</v>
      </c>
      <c r="I695" s="32">
        <v>2776</v>
      </c>
      <c r="J695" s="36">
        <v>523.83000000000004</v>
      </c>
      <c r="K695" s="32" t="s">
        <v>4448</v>
      </c>
      <c r="L695" s="169" t="s">
        <v>3847</v>
      </c>
      <c r="M695" s="32" t="s">
        <v>1178</v>
      </c>
    </row>
    <row r="696" spans="1:13" x14ac:dyDescent="0.25">
      <c r="A696" s="168">
        <v>46203</v>
      </c>
      <c r="B696" s="32">
        <v>1</v>
      </c>
      <c r="C696" s="32" t="s">
        <v>283</v>
      </c>
      <c r="D696" s="169" t="s">
        <v>282</v>
      </c>
      <c r="E696" s="169" t="s">
        <v>166</v>
      </c>
      <c r="F696" s="32" t="s">
        <v>164</v>
      </c>
      <c r="G696" s="32">
        <v>58</v>
      </c>
      <c r="H696" s="32" t="s">
        <v>175</v>
      </c>
      <c r="I696" s="32">
        <v>308</v>
      </c>
      <c r="J696" s="36">
        <v>660.97</v>
      </c>
      <c r="K696" s="32" t="s">
        <v>4449</v>
      </c>
      <c r="L696" s="169" t="s">
        <v>86</v>
      </c>
      <c r="M696" s="32" t="s">
        <v>224</v>
      </c>
    </row>
    <row r="697" spans="1:13" x14ac:dyDescent="0.25">
      <c r="A697" s="168">
        <v>46203</v>
      </c>
      <c r="B697" s="32">
        <v>1</v>
      </c>
      <c r="C697" s="32" t="s">
        <v>176</v>
      </c>
      <c r="D697" s="169" t="s">
        <v>177</v>
      </c>
      <c r="E697" s="169" t="s">
        <v>190</v>
      </c>
      <c r="F697" s="32" t="s">
        <v>198</v>
      </c>
      <c r="G697" s="32">
        <v>70</v>
      </c>
      <c r="H697" s="32" t="s">
        <v>165</v>
      </c>
      <c r="I697" s="32">
        <v>5096</v>
      </c>
      <c r="J697" s="36">
        <v>1319.86</v>
      </c>
      <c r="K697" s="32" t="s">
        <v>4450</v>
      </c>
      <c r="L697" s="169" t="s">
        <v>30</v>
      </c>
      <c r="M697" s="32" t="s">
        <v>224</v>
      </c>
    </row>
    <row r="698" spans="1:13" x14ac:dyDescent="0.25">
      <c r="A698" s="168">
        <v>46203</v>
      </c>
      <c r="B698" s="32">
        <v>1</v>
      </c>
      <c r="C698" s="32" t="s">
        <v>199</v>
      </c>
      <c r="D698" s="169" t="s">
        <v>180</v>
      </c>
      <c r="E698" s="169" t="s">
        <v>166</v>
      </c>
      <c r="F698" s="32" t="s">
        <v>164</v>
      </c>
      <c r="G698" s="32">
        <v>58</v>
      </c>
      <c r="H698" s="32" t="s">
        <v>175</v>
      </c>
      <c r="I698" s="32">
        <v>2522</v>
      </c>
      <c r="J698" s="36">
        <v>541.22</v>
      </c>
      <c r="K698" s="32" t="s">
        <v>4451</v>
      </c>
      <c r="L698" s="169" t="s">
        <v>86</v>
      </c>
      <c r="M698" s="32" t="s">
        <v>224</v>
      </c>
    </row>
    <row r="699" spans="1:13" x14ac:dyDescent="0.25">
      <c r="A699" s="168">
        <v>46203</v>
      </c>
      <c r="B699" s="32">
        <v>1</v>
      </c>
      <c r="C699" s="32" t="s">
        <v>203</v>
      </c>
      <c r="D699" s="169" t="s">
        <v>204</v>
      </c>
      <c r="E699" s="169" t="s">
        <v>190</v>
      </c>
      <c r="F699" s="32" t="s">
        <v>198</v>
      </c>
      <c r="G699" s="32">
        <v>70</v>
      </c>
      <c r="H699" s="32" t="s">
        <v>165</v>
      </c>
      <c r="I699" s="32">
        <v>535</v>
      </c>
      <c r="J699" s="36">
        <v>1385.65</v>
      </c>
      <c r="K699" s="32" t="s">
        <v>4452</v>
      </c>
      <c r="L699" s="169" t="s">
        <v>30</v>
      </c>
      <c r="M699" s="32" t="s">
        <v>224</v>
      </c>
    </row>
    <row r="700" spans="1:13" x14ac:dyDescent="0.25">
      <c r="A700" s="168">
        <v>46203</v>
      </c>
      <c r="B700" s="32">
        <v>1</v>
      </c>
      <c r="C700" s="32" t="s">
        <v>208</v>
      </c>
      <c r="D700" s="169" t="s">
        <v>209</v>
      </c>
      <c r="E700" s="169" t="s">
        <v>190</v>
      </c>
      <c r="F700" s="32" t="s">
        <v>198</v>
      </c>
      <c r="G700" s="32">
        <v>70</v>
      </c>
      <c r="H700" s="32" t="s">
        <v>165</v>
      </c>
      <c r="I700" s="32">
        <v>510</v>
      </c>
      <c r="J700" s="36">
        <v>1320.9</v>
      </c>
      <c r="K700" s="32" t="s">
        <v>4453</v>
      </c>
      <c r="L700" s="169" t="s">
        <v>30</v>
      </c>
      <c r="M700" s="32" t="s">
        <v>224</v>
      </c>
    </row>
    <row r="701" spans="1:13" x14ac:dyDescent="0.25">
      <c r="A701" s="168">
        <v>46203</v>
      </c>
      <c r="B701" s="32">
        <v>1</v>
      </c>
      <c r="C701" s="32" t="s">
        <v>205</v>
      </c>
      <c r="D701" s="169" t="s">
        <v>206</v>
      </c>
      <c r="E701" s="169" t="s">
        <v>2757</v>
      </c>
      <c r="F701" s="32" t="s">
        <v>2867</v>
      </c>
      <c r="G701" s="32">
        <v>383</v>
      </c>
      <c r="H701" s="32" t="s">
        <v>221</v>
      </c>
      <c r="I701" s="32">
        <v>6016</v>
      </c>
      <c r="J701" s="36">
        <v>7373.21</v>
      </c>
      <c r="K701" s="32" t="s">
        <v>4454</v>
      </c>
      <c r="L701" s="169" t="s">
        <v>3752</v>
      </c>
      <c r="M701" s="32" t="s">
        <v>15</v>
      </c>
    </row>
    <row r="702" spans="1:13" x14ac:dyDescent="0.25">
      <c r="A702" s="168">
        <v>46203</v>
      </c>
      <c r="B702" s="32">
        <v>1</v>
      </c>
      <c r="C702" s="32" t="s">
        <v>183</v>
      </c>
      <c r="D702" s="169" t="s">
        <v>184</v>
      </c>
      <c r="E702" s="169" t="s">
        <v>163</v>
      </c>
      <c r="F702" s="32" t="s">
        <v>164</v>
      </c>
      <c r="G702" s="32">
        <v>52</v>
      </c>
      <c r="H702" s="32" t="s">
        <v>195</v>
      </c>
      <c r="I702" s="32">
        <v>243</v>
      </c>
      <c r="J702" s="36">
        <v>467.53</v>
      </c>
      <c r="K702" s="32" t="s">
        <v>4455</v>
      </c>
      <c r="L702" s="169" t="s">
        <v>137</v>
      </c>
      <c r="M702" s="32" t="s">
        <v>224</v>
      </c>
    </row>
    <row r="703" spans="1:13" x14ac:dyDescent="0.25">
      <c r="A703" s="168">
        <v>46203</v>
      </c>
      <c r="B703" s="32">
        <v>1</v>
      </c>
      <c r="C703" s="32" t="s">
        <v>183</v>
      </c>
      <c r="D703" s="169" t="s">
        <v>184</v>
      </c>
      <c r="E703" s="169" t="s">
        <v>166</v>
      </c>
      <c r="F703" s="32" t="s">
        <v>1178</v>
      </c>
      <c r="G703" s="32">
        <v>51</v>
      </c>
      <c r="H703" s="32" t="s">
        <v>172</v>
      </c>
      <c r="I703" s="32">
        <v>283</v>
      </c>
      <c r="J703" s="36">
        <v>534.02</v>
      </c>
      <c r="K703" s="32" t="s">
        <v>4456</v>
      </c>
      <c r="L703" s="169" t="s">
        <v>3847</v>
      </c>
      <c r="M703" s="32" t="s">
        <v>1178</v>
      </c>
    </row>
    <row r="704" spans="1:13" x14ac:dyDescent="0.25">
      <c r="A704" s="168">
        <v>46203</v>
      </c>
      <c r="B704" s="32">
        <v>1</v>
      </c>
      <c r="C704" s="32" t="s">
        <v>183</v>
      </c>
      <c r="D704" s="169" t="s">
        <v>184</v>
      </c>
      <c r="E704" s="169" t="s">
        <v>166</v>
      </c>
      <c r="F704" s="32" t="s">
        <v>111</v>
      </c>
      <c r="G704" s="32">
        <v>79</v>
      </c>
      <c r="H704" s="32" t="s">
        <v>169</v>
      </c>
      <c r="I704" s="32">
        <v>2656</v>
      </c>
      <c r="J704" s="36">
        <v>776.35</v>
      </c>
      <c r="K704" s="32" t="s">
        <v>4457</v>
      </c>
      <c r="L704" s="169" t="s">
        <v>116</v>
      </c>
      <c r="M704" s="32" t="s">
        <v>111</v>
      </c>
    </row>
    <row r="705" spans="1:13" x14ac:dyDescent="0.25">
      <c r="A705" s="168">
        <v>46203</v>
      </c>
      <c r="B705" s="32">
        <v>1</v>
      </c>
      <c r="C705" s="32" t="s">
        <v>193</v>
      </c>
      <c r="D705" s="169" t="s">
        <v>285</v>
      </c>
      <c r="E705" s="169" t="s">
        <v>166</v>
      </c>
      <c r="F705" s="32" t="s">
        <v>1178</v>
      </c>
      <c r="G705" s="32">
        <v>51</v>
      </c>
      <c r="H705" s="32" t="s">
        <v>172</v>
      </c>
      <c r="I705" s="32">
        <v>2432</v>
      </c>
      <c r="J705" s="36">
        <v>458.92</v>
      </c>
      <c r="K705" s="32" t="s">
        <v>4458</v>
      </c>
      <c r="L705" s="169" t="s">
        <v>3847</v>
      </c>
      <c r="M705" s="32" t="s">
        <v>1178</v>
      </c>
    </row>
    <row r="706" spans="1:13" x14ac:dyDescent="0.25">
      <c r="A706" s="168">
        <v>46203</v>
      </c>
      <c r="B706" s="32">
        <v>1</v>
      </c>
      <c r="C706" s="32" t="s">
        <v>193</v>
      </c>
      <c r="D706" s="169" t="s">
        <v>285</v>
      </c>
      <c r="E706" s="169" t="s">
        <v>166</v>
      </c>
      <c r="F706" s="32" t="s">
        <v>164</v>
      </c>
      <c r="G706" s="32">
        <v>58</v>
      </c>
      <c r="H706" s="32" t="s">
        <v>165</v>
      </c>
      <c r="I706" s="32">
        <v>2554</v>
      </c>
      <c r="J706" s="36">
        <v>548.09</v>
      </c>
      <c r="K706" s="32" t="s">
        <v>4459</v>
      </c>
      <c r="L706" s="169" t="s">
        <v>27</v>
      </c>
      <c r="M706" s="32" t="s">
        <v>224</v>
      </c>
    </row>
    <row r="707" spans="1:13" x14ac:dyDescent="0.25">
      <c r="A707" s="168">
        <v>46203</v>
      </c>
      <c r="B707" s="32">
        <v>1</v>
      </c>
      <c r="C707" s="32" t="s">
        <v>181</v>
      </c>
      <c r="D707" s="169" t="s">
        <v>182</v>
      </c>
      <c r="E707" s="169" t="s">
        <v>166</v>
      </c>
      <c r="F707" s="32" t="s">
        <v>164</v>
      </c>
      <c r="G707" s="32">
        <v>58</v>
      </c>
      <c r="H707" s="32" t="s">
        <v>165</v>
      </c>
      <c r="I707" s="32">
        <v>2588</v>
      </c>
      <c r="J707" s="36">
        <v>555.38</v>
      </c>
      <c r="K707" s="32" t="s">
        <v>4460</v>
      </c>
      <c r="L707" s="169" t="s">
        <v>27</v>
      </c>
      <c r="M707" s="32" t="s">
        <v>224</v>
      </c>
    </row>
    <row r="708" spans="1:13" x14ac:dyDescent="0.25">
      <c r="A708" s="168">
        <v>46203</v>
      </c>
      <c r="B708" s="32">
        <v>1</v>
      </c>
      <c r="C708" s="32" t="s">
        <v>181</v>
      </c>
      <c r="D708" s="169" t="s">
        <v>182</v>
      </c>
      <c r="E708" s="169" t="s">
        <v>166</v>
      </c>
      <c r="F708" s="32" t="s">
        <v>164</v>
      </c>
      <c r="G708" s="32">
        <v>58</v>
      </c>
      <c r="H708" s="32" t="s">
        <v>165</v>
      </c>
      <c r="I708" s="32">
        <v>2536</v>
      </c>
      <c r="J708" s="36">
        <v>544.23</v>
      </c>
      <c r="K708" s="32" t="s">
        <v>4461</v>
      </c>
      <c r="L708" s="169" t="s">
        <v>27</v>
      </c>
      <c r="M708" s="32" t="s">
        <v>224</v>
      </c>
    </row>
    <row r="709" spans="1:13" x14ac:dyDescent="0.25">
      <c r="A709" s="168">
        <v>46203</v>
      </c>
      <c r="B709" s="32">
        <v>1</v>
      </c>
      <c r="C709" s="32" t="s">
        <v>275</v>
      </c>
      <c r="D709" s="169" t="s">
        <v>178</v>
      </c>
      <c r="E709" s="169" t="s">
        <v>163</v>
      </c>
      <c r="F709" s="32" t="s">
        <v>164</v>
      </c>
      <c r="G709" s="32">
        <v>52</v>
      </c>
      <c r="H709" s="32" t="s">
        <v>165</v>
      </c>
      <c r="I709" s="32">
        <v>4565</v>
      </c>
      <c r="J709" s="36">
        <v>878.31</v>
      </c>
      <c r="K709" s="32" t="s">
        <v>4462</v>
      </c>
      <c r="L709" s="169" t="s">
        <v>31</v>
      </c>
      <c r="M709" s="32" t="s">
        <v>224</v>
      </c>
    </row>
    <row r="710" spans="1:13" x14ac:dyDescent="0.25">
      <c r="A710" s="168">
        <v>46203</v>
      </c>
      <c r="B710" s="32">
        <v>1</v>
      </c>
      <c r="C710" s="32" t="s">
        <v>192</v>
      </c>
      <c r="D710" s="169" t="s">
        <v>287</v>
      </c>
      <c r="E710" s="169" t="s">
        <v>166</v>
      </c>
      <c r="F710" s="32" t="s">
        <v>164</v>
      </c>
      <c r="G710" s="32">
        <v>58</v>
      </c>
      <c r="H710" s="32" t="s">
        <v>165</v>
      </c>
      <c r="I710" s="32">
        <v>597</v>
      </c>
      <c r="J710" s="36">
        <v>1281.1600000000001</v>
      </c>
      <c r="K710" s="32" t="s">
        <v>4463</v>
      </c>
      <c r="L710" s="169" t="s">
        <v>27</v>
      </c>
      <c r="M710" s="32" t="s">
        <v>224</v>
      </c>
    </row>
    <row r="711" spans="1:13" x14ac:dyDescent="0.25">
      <c r="A711" s="168">
        <v>46203</v>
      </c>
      <c r="B711" s="32">
        <v>1</v>
      </c>
      <c r="C711" s="32" t="s">
        <v>1948</v>
      </c>
      <c r="D711" s="169" t="s">
        <v>1949</v>
      </c>
      <c r="E711" s="169" t="s">
        <v>163</v>
      </c>
      <c r="F711" s="32" t="s">
        <v>164</v>
      </c>
      <c r="G711" s="32">
        <v>52</v>
      </c>
      <c r="H711" s="32" t="s">
        <v>165</v>
      </c>
      <c r="I711" s="32">
        <v>469</v>
      </c>
      <c r="J711" s="36">
        <v>902.36</v>
      </c>
      <c r="K711" s="32" t="s">
        <v>4464</v>
      </c>
      <c r="L711" s="169" t="s">
        <v>31</v>
      </c>
      <c r="M711" s="32" t="s">
        <v>224</v>
      </c>
    </row>
    <row r="712" spans="1:13" x14ac:dyDescent="0.25">
      <c r="A712" s="168">
        <v>46203</v>
      </c>
      <c r="B712" s="32">
        <v>1</v>
      </c>
      <c r="C712" s="32" t="s">
        <v>1948</v>
      </c>
      <c r="D712" s="169" t="s">
        <v>1949</v>
      </c>
      <c r="E712" s="169" t="s">
        <v>166</v>
      </c>
      <c r="F712" s="32" t="s">
        <v>164</v>
      </c>
      <c r="G712" s="32">
        <v>58</v>
      </c>
      <c r="H712" s="32" t="s">
        <v>165</v>
      </c>
      <c r="I712" s="32">
        <v>501</v>
      </c>
      <c r="J712" s="36">
        <v>1075.1500000000001</v>
      </c>
      <c r="K712" s="32" t="s">
        <v>4465</v>
      </c>
      <c r="L712" s="169" t="s">
        <v>27</v>
      </c>
      <c r="M712" s="32" t="s">
        <v>224</v>
      </c>
    </row>
    <row r="713" spans="1:13" x14ac:dyDescent="0.25">
      <c r="A713" s="168">
        <v>46203</v>
      </c>
      <c r="B713" s="32">
        <v>1</v>
      </c>
      <c r="C713" s="32" t="s">
        <v>186</v>
      </c>
      <c r="D713" s="169" t="s">
        <v>187</v>
      </c>
      <c r="E713" s="169" t="s">
        <v>2757</v>
      </c>
      <c r="F713" s="32" t="s">
        <v>2867</v>
      </c>
      <c r="G713" s="32">
        <v>383</v>
      </c>
      <c r="H713" s="32" t="s">
        <v>221</v>
      </c>
      <c r="I713" s="32">
        <v>6516</v>
      </c>
      <c r="J713" s="36">
        <v>7986.01</v>
      </c>
      <c r="K713" s="32" t="s">
        <v>4466</v>
      </c>
      <c r="L713" s="169" t="s">
        <v>3752</v>
      </c>
      <c r="M713" s="32" t="s">
        <v>15</v>
      </c>
    </row>
    <row r="714" spans="1:13" x14ac:dyDescent="0.25">
      <c r="A714" s="168">
        <v>46203</v>
      </c>
      <c r="B714" s="32">
        <v>1</v>
      </c>
      <c r="C714" s="32" t="s">
        <v>173</v>
      </c>
      <c r="D714" s="169" t="s">
        <v>174</v>
      </c>
      <c r="E714" s="169" t="s">
        <v>166</v>
      </c>
      <c r="F714" s="32" t="s">
        <v>164</v>
      </c>
      <c r="G714" s="32">
        <v>58</v>
      </c>
      <c r="H714" s="32" t="s">
        <v>175</v>
      </c>
      <c r="I714" s="32">
        <v>2548</v>
      </c>
      <c r="J714" s="36">
        <v>546.79999999999995</v>
      </c>
      <c r="K714" s="32" t="s">
        <v>4467</v>
      </c>
      <c r="L714" s="169" t="s">
        <v>86</v>
      </c>
      <c r="M714" s="32" t="s">
        <v>224</v>
      </c>
    </row>
    <row r="715" spans="1:13" x14ac:dyDescent="0.25">
      <c r="A715" s="168">
        <v>46203</v>
      </c>
      <c r="B715" s="32">
        <v>1</v>
      </c>
      <c r="C715" s="32" t="s">
        <v>173</v>
      </c>
      <c r="D715" s="169" t="s">
        <v>174</v>
      </c>
      <c r="E715" s="169" t="s">
        <v>166</v>
      </c>
      <c r="F715" s="32" t="s">
        <v>164</v>
      </c>
      <c r="G715" s="32">
        <v>58</v>
      </c>
      <c r="H715" s="32" t="s">
        <v>175</v>
      </c>
      <c r="I715" s="32">
        <v>2566</v>
      </c>
      <c r="J715" s="36">
        <v>550.66</v>
      </c>
      <c r="K715" s="32" t="s">
        <v>4468</v>
      </c>
      <c r="L715" s="169" t="s">
        <v>86</v>
      </c>
      <c r="M715" s="32" t="s">
        <v>224</v>
      </c>
    </row>
    <row r="716" spans="1:13" x14ac:dyDescent="0.25">
      <c r="A716" s="168">
        <v>46174</v>
      </c>
      <c r="B716" s="32">
        <v>2</v>
      </c>
      <c r="C716" s="32" t="s">
        <v>305</v>
      </c>
      <c r="D716" s="169" t="s">
        <v>306</v>
      </c>
      <c r="E716" s="169" t="s">
        <v>2757</v>
      </c>
      <c r="F716" s="32" t="s">
        <v>2867</v>
      </c>
      <c r="G716" s="32">
        <v>383</v>
      </c>
      <c r="H716" s="32" t="s">
        <v>221</v>
      </c>
      <c r="I716" s="32">
        <v>538</v>
      </c>
      <c r="J716" s="36">
        <v>6593.73</v>
      </c>
      <c r="K716" s="32" t="s">
        <v>4469</v>
      </c>
      <c r="L716" s="169" t="s">
        <v>3752</v>
      </c>
      <c r="M716" s="32" t="s">
        <v>15</v>
      </c>
    </row>
    <row r="717" spans="1:13" x14ac:dyDescent="0.25">
      <c r="A717" s="168">
        <v>46174</v>
      </c>
      <c r="B717" s="32">
        <v>2</v>
      </c>
      <c r="C717" s="32" t="s">
        <v>2873</v>
      </c>
      <c r="D717" s="169" t="s">
        <v>290</v>
      </c>
      <c r="E717" s="169" t="s">
        <v>2757</v>
      </c>
      <c r="F717" s="32" t="s">
        <v>2867</v>
      </c>
      <c r="G717" s="32">
        <v>383</v>
      </c>
      <c r="H717" s="32" t="s">
        <v>172</v>
      </c>
      <c r="I717" s="32">
        <v>5516</v>
      </c>
      <c r="J717" s="36">
        <v>6760.41</v>
      </c>
      <c r="K717" s="32" t="s">
        <v>4470</v>
      </c>
      <c r="L717" s="169" t="s">
        <v>3865</v>
      </c>
      <c r="M717" s="32" t="s">
        <v>15</v>
      </c>
    </row>
    <row r="718" spans="1:13" x14ac:dyDescent="0.25">
      <c r="A718" s="168">
        <v>46174</v>
      </c>
      <c r="B718" s="32">
        <v>2</v>
      </c>
      <c r="C718" s="32" t="s">
        <v>302</v>
      </c>
      <c r="D718" s="169" t="s">
        <v>303</v>
      </c>
      <c r="E718" s="169" t="s">
        <v>2748</v>
      </c>
      <c r="F718" s="32" t="s">
        <v>2749</v>
      </c>
      <c r="G718" s="32">
        <v>168</v>
      </c>
      <c r="H718" s="32" t="s">
        <v>165</v>
      </c>
      <c r="I718" s="32">
        <v>5913</v>
      </c>
      <c r="J718" s="36">
        <v>3178.83</v>
      </c>
      <c r="K718" s="32" t="s">
        <v>4471</v>
      </c>
      <c r="L718" s="169" t="s">
        <v>4472</v>
      </c>
      <c r="M718" s="32" t="s">
        <v>4473</v>
      </c>
    </row>
    <row r="719" spans="1:13" x14ac:dyDescent="0.25">
      <c r="A719" s="168">
        <v>46174</v>
      </c>
      <c r="B719" s="32">
        <v>2</v>
      </c>
      <c r="C719" s="32" t="s">
        <v>310</v>
      </c>
      <c r="D719" s="169" t="s">
        <v>311</v>
      </c>
      <c r="E719" s="169" t="s">
        <v>276</v>
      </c>
      <c r="F719" s="32" t="s">
        <v>277</v>
      </c>
      <c r="G719" s="32">
        <v>118</v>
      </c>
      <c r="H719" s="32" t="s">
        <v>165</v>
      </c>
      <c r="I719" s="32">
        <v>3876</v>
      </c>
      <c r="J719" s="36">
        <v>1463.58</v>
      </c>
      <c r="K719" s="32" t="s">
        <v>4474</v>
      </c>
      <c r="L719" s="169" t="s">
        <v>24</v>
      </c>
      <c r="M719" s="32" t="s">
        <v>15</v>
      </c>
    </row>
    <row r="720" spans="1:13" x14ac:dyDescent="0.25">
      <c r="A720" s="168">
        <v>46174</v>
      </c>
      <c r="B720" s="32">
        <v>2</v>
      </c>
      <c r="C720" s="32" t="s">
        <v>308</v>
      </c>
      <c r="D720" s="169" t="s">
        <v>309</v>
      </c>
      <c r="E720" s="169" t="s">
        <v>276</v>
      </c>
      <c r="F720" s="32" t="s">
        <v>2033</v>
      </c>
      <c r="G720" s="32">
        <v>323</v>
      </c>
      <c r="H720" s="32" t="s">
        <v>207</v>
      </c>
      <c r="I720" s="32">
        <v>681</v>
      </c>
      <c r="J720" s="36">
        <v>7038.82</v>
      </c>
      <c r="K720" s="32" t="s">
        <v>4475</v>
      </c>
      <c r="L720" s="169" t="s">
        <v>3766</v>
      </c>
      <c r="M720" s="32" t="s">
        <v>15</v>
      </c>
    </row>
    <row r="721" spans="1:13" x14ac:dyDescent="0.25">
      <c r="A721" s="168">
        <v>46175</v>
      </c>
      <c r="B721" s="32">
        <v>2</v>
      </c>
      <c r="C721" s="32" t="s">
        <v>289</v>
      </c>
      <c r="D721" s="169" t="s">
        <v>295</v>
      </c>
      <c r="E721" s="169" t="s">
        <v>276</v>
      </c>
      <c r="F721" s="32" t="s">
        <v>3506</v>
      </c>
      <c r="G721" s="32">
        <v>118</v>
      </c>
      <c r="H721" s="32" t="s">
        <v>207</v>
      </c>
      <c r="I721" s="32">
        <v>3826</v>
      </c>
      <c r="J721" s="36">
        <v>1444.7</v>
      </c>
      <c r="K721" s="32" t="s">
        <v>4476</v>
      </c>
      <c r="L721" s="169" t="s">
        <v>95</v>
      </c>
      <c r="M721" s="32" t="s">
        <v>15</v>
      </c>
    </row>
    <row r="722" spans="1:13" x14ac:dyDescent="0.25">
      <c r="A722" s="168">
        <v>46175</v>
      </c>
      <c r="B722" s="32">
        <v>2</v>
      </c>
      <c r="C722" s="32" t="s">
        <v>302</v>
      </c>
      <c r="D722" s="169" t="s">
        <v>303</v>
      </c>
      <c r="E722" s="169" t="s">
        <v>2748</v>
      </c>
      <c r="F722" s="32" t="s">
        <v>2749</v>
      </c>
      <c r="G722" s="32">
        <v>168</v>
      </c>
      <c r="H722" s="32" t="s">
        <v>165</v>
      </c>
      <c r="I722" s="32">
        <v>6072</v>
      </c>
      <c r="J722" s="36">
        <v>3264.31</v>
      </c>
      <c r="K722" s="32" t="s">
        <v>4477</v>
      </c>
      <c r="L722" s="169" t="s">
        <v>4472</v>
      </c>
      <c r="M722" s="32" t="s">
        <v>4473</v>
      </c>
    </row>
    <row r="723" spans="1:13" x14ac:dyDescent="0.25">
      <c r="A723" s="168">
        <v>46175</v>
      </c>
      <c r="B723" s="32">
        <v>2</v>
      </c>
      <c r="C723" s="32" t="s">
        <v>310</v>
      </c>
      <c r="D723" s="169" t="s">
        <v>311</v>
      </c>
      <c r="E723" s="169" t="s">
        <v>276</v>
      </c>
      <c r="F723" s="32" t="s">
        <v>3506</v>
      </c>
      <c r="G723" s="32">
        <v>118</v>
      </c>
      <c r="H723" s="32" t="s">
        <v>207</v>
      </c>
      <c r="I723" s="32">
        <v>4206</v>
      </c>
      <c r="J723" s="36">
        <v>1588.19</v>
      </c>
      <c r="K723" s="32" t="s">
        <v>4478</v>
      </c>
      <c r="L723" s="169" t="s">
        <v>95</v>
      </c>
      <c r="M723" s="32" t="s">
        <v>15</v>
      </c>
    </row>
    <row r="724" spans="1:13" x14ac:dyDescent="0.25">
      <c r="A724" s="168">
        <v>46176</v>
      </c>
      <c r="B724" s="32">
        <v>2</v>
      </c>
      <c r="C724" s="32" t="s">
        <v>308</v>
      </c>
      <c r="D724" s="169" t="s">
        <v>309</v>
      </c>
      <c r="E724" s="169" t="s">
        <v>276</v>
      </c>
      <c r="F724" s="32" t="s">
        <v>2865</v>
      </c>
      <c r="G724" s="32">
        <v>37</v>
      </c>
      <c r="H724" s="32" t="s">
        <v>175</v>
      </c>
      <c r="I724" s="32">
        <v>4452</v>
      </c>
      <c r="J724" s="36">
        <v>609.48</v>
      </c>
      <c r="K724" s="32" t="s">
        <v>4479</v>
      </c>
      <c r="L724" s="169" t="s">
        <v>119</v>
      </c>
      <c r="M724" s="32" t="s">
        <v>15</v>
      </c>
    </row>
    <row r="725" spans="1:13" x14ac:dyDescent="0.25">
      <c r="A725" s="168">
        <v>46176</v>
      </c>
      <c r="B725" s="32">
        <v>2</v>
      </c>
      <c r="C725" s="32" t="s">
        <v>308</v>
      </c>
      <c r="D725" s="169" t="s">
        <v>309</v>
      </c>
      <c r="E725" s="169" t="s">
        <v>276</v>
      </c>
      <c r="F725" s="32" t="s">
        <v>2865</v>
      </c>
      <c r="G725" s="32">
        <v>37</v>
      </c>
      <c r="H725" s="32" t="s">
        <v>165</v>
      </c>
      <c r="I725" s="32">
        <v>5728</v>
      </c>
      <c r="J725" s="36">
        <v>784.16</v>
      </c>
      <c r="K725" s="32" t="s">
        <v>4480</v>
      </c>
      <c r="L725" s="169" t="s">
        <v>118</v>
      </c>
      <c r="M725" s="32" t="s">
        <v>15</v>
      </c>
    </row>
    <row r="726" spans="1:13" x14ac:dyDescent="0.25">
      <c r="A726" s="168">
        <v>46176</v>
      </c>
      <c r="B726" s="32">
        <v>2</v>
      </c>
      <c r="C726" s="32" t="s">
        <v>308</v>
      </c>
      <c r="D726" s="169" t="s">
        <v>309</v>
      </c>
      <c r="E726" s="169" t="s">
        <v>276</v>
      </c>
      <c r="F726" s="32" t="s">
        <v>4481</v>
      </c>
      <c r="G726" s="32">
        <v>49</v>
      </c>
      <c r="H726" s="32" t="s">
        <v>165</v>
      </c>
      <c r="I726" s="32">
        <v>6972</v>
      </c>
      <c r="J726" s="36">
        <v>1264.02</v>
      </c>
      <c r="K726" s="32" t="s">
        <v>4482</v>
      </c>
      <c r="L726" s="169" t="s">
        <v>4483</v>
      </c>
      <c r="M726" s="32" t="s">
        <v>15</v>
      </c>
    </row>
    <row r="727" spans="1:13" x14ac:dyDescent="0.25">
      <c r="A727" s="168">
        <v>46176</v>
      </c>
      <c r="B727" s="32">
        <v>2</v>
      </c>
      <c r="C727" s="32" t="s">
        <v>308</v>
      </c>
      <c r="D727" s="169" t="s">
        <v>309</v>
      </c>
      <c r="E727" s="169" t="s">
        <v>276</v>
      </c>
      <c r="F727" s="32" t="s">
        <v>2865</v>
      </c>
      <c r="G727" s="32">
        <v>37</v>
      </c>
      <c r="H727" s="32" t="s">
        <v>165</v>
      </c>
      <c r="I727" s="32">
        <v>622</v>
      </c>
      <c r="J727" s="36">
        <v>851.52</v>
      </c>
      <c r="K727" s="32" t="s">
        <v>4484</v>
      </c>
      <c r="L727" s="169" t="s">
        <v>118</v>
      </c>
      <c r="M727" s="32" t="s">
        <v>15</v>
      </c>
    </row>
    <row r="728" spans="1:13" x14ac:dyDescent="0.25">
      <c r="A728" s="168">
        <v>46176</v>
      </c>
      <c r="B728" s="32">
        <v>2</v>
      </c>
      <c r="C728" s="32" t="s">
        <v>305</v>
      </c>
      <c r="D728" s="169" t="s">
        <v>306</v>
      </c>
      <c r="E728" s="169" t="s">
        <v>276</v>
      </c>
      <c r="F728" s="32" t="s">
        <v>2033</v>
      </c>
      <c r="G728" s="32">
        <v>323</v>
      </c>
      <c r="H728" s="32" t="s">
        <v>207</v>
      </c>
      <c r="I728" s="32">
        <v>670</v>
      </c>
      <c r="J728" s="36">
        <v>6925.12</v>
      </c>
      <c r="K728" s="32" t="s">
        <v>4485</v>
      </c>
      <c r="L728" s="169" t="s">
        <v>3766</v>
      </c>
      <c r="M728" s="32" t="s">
        <v>15</v>
      </c>
    </row>
    <row r="729" spans="1:13" x14ac:dyDescent="0.25">
      <c r="A729" s="168">
        <v>46176</v>
      </c>
      <c r="B729" s="32">
        <v>2</v>
      </c>
      <c r="C729" s="32" t="s">
        <v>302</v>
      </c>
      <c r="D729" s="169" t="s">
        <v>303</v>
      </c>
      <c r="E729" s="169" t="s">
        <v>2748</v>
      </c>
      <c r="F729" s="32" t="s">
        <v>2749</v>
      </c>
      <c r="G729" s="32">
        <v>168</v>
      </c>
      <c r="H729" s="32" t="s">
        <v>165</v>
      </c>
      <c r="I729" s="32">
        <v>6031</v>
      </c>
      <c r="J729" s="36">
        <v>3242.27</v>
      </c>
      <c r="K729" s="32" t="s">
        <v>4486</v>
      </c>
      <c r="L729" s="169" t="s">
        <v>4472</v>
      </c>
      <c r="M729" s="32" t="s">
        <v>4473</v>
      </c>
    </row>
    <row r="730" spans="1:13" x14ac:dyDescent="0.25">
      <c r="A730" s="168">
        <v>46178</v>
      </c>
      <c r="B730" s="32">
        <v>2</v>
      </c>
      <c r="C730" s="32" t="s">
        <v>302</v>
      </c>
      <c r="D730" s="169" t="s">
        <v>303</v>
      </c>
      <c r="E730" s="169" t="s">
        <v>2748</v>
      </c>
      <c r="F730" s="32" t="s">
        <v>2749</v>
      </c>
      <c r="G730" s="32">
        <v>168</v>
      </c>
      <c r="H730" s="32" t="s">
        <v>165</v>
      </c>
      <c r="I730" s="32">
        <v>6055</v>
      </c>
      <c r="J730" s="36">
        <v>3255.17</v>
      </c>
      <c r="K730" s="32" t="s">
        <v>4487</v>
      </c>
      <c r="L730" s="169" t="s">
        <v>4472</v>
      </c>
      <c r="M730" s="32" t="s">
        <v>4473</v>
      </c>
    </row>
    <row r="731" spans="1:13" x14ac:dyDescent="0.25">
      <c r="A731" s="168">
        <v>46178</v>
      </c>
      <c r="B731" s="32">
        <v>2</v>
      </c>
      <c r="C731" s="32" t="s">
        <v>302</v>
      </c>
      <c r="D731" s="169" t="s">
        <v>303</v>
      </c>
      <c r="E731" s="169" t="s">
        <v>3701</v>
      </c>
      <c r="F731" s="32" t="s">
        <v>1066</v>
      </c>
      <c r="G731" s="32">
        <v>47</v>
      </c>
      <c r="H731" s="32" t="s">
        <v>165</v>
      </c>
      <c r="I731" s="32">
        <v>5514</v>
      </c>
      <c r="J731" s="36">
        <v>958.88</v>
      </c>
      <c r="K731" s="32" t="s">
        <v>4488</v>
      </c>
      <c r="L731" s="169" t="s">
        <v>112</v>
      </c>
      <c r="M731" s="32" t="s">
        <v>1066</v>
      </c>
    </row>
    <row r="732" spans="1:13" x14ac:dyDescent="0.25">
      <c r="A732" s="168">
        <v>46181</v>
      </c>
      <c r="B732" s="32">
        <v>2</v>
      </c>
      <c r="C732" s="32" t="s">
        <v>310</v>
      </c>
      <c r="D732" s="169" t="s">
        <v>311</v>
      </c>
      <c r="E732" s="169" t="s">
        <v>276</v>
      </c>
      <c r="F732" s="32" t="s">
        <v>2865</v>
      </c>
      <c r="G732" s="32">
        <v>37</v>
      </c>
      <c r="H732" s="32" t="s">
        <v>175</v>
      </c>
      <c r="I732" s="32">
        <v>421</v>
      </c>
      <c r="J732" s="36">
        <v>576.35</v>
      </c>
      <c r="K732" s="32" t="s">
        <v>4489</v>
      </c>
      <c r="L732" s="169" t="s">
        <v>119</v>
      </c>
      <c r="M732" s="32" t="s">
        <v>15</v>
      </c>
    </row>
    <row r="733" spans="1:13" x14ac:dyDescent="0.25">
      <c r="A733" s="168">
        <v>46181</v>
      </c>
      <c r="B733" s="32">
        <v>2</v>
      </c>
      <c r="C733" s="32" t="s">
        <v>310</v>
      </c>
      <c r="D733" s="169" t="s">
        <v>311</v>
      </c>
      <c r="E733" s="169" t="s">
        <v>276</v>
      </c>
      <c r="F733" s="32" t="s">
        <v>2865</v>
      </c>
      <c r="G733" s="32">
        <v>37</v>
      </c>
      <c r="H733" s="32" t="s">
        <v>165</v>
      </c>
      <c r="I733" s="32">
        <v>4862</v>
      </c>
      <c r="J733" s="36">
        <v>665.61</v>
      </c>
      <c r="K733" s="32" t="s">
        <v>4490</v>
      </c>
      <c r="L733" s="169" t="s">
        <v>118</v>
      </c>
      <c r="M733" s="32" t="s">
        <v>15</v>
      </c>
    </row>
    <row r="734" spans="1:13" x14ac:dyDescent="0.25">
      <c r="A734" s="168">
        <v>46181</v>
      </c>
      <c r="B734" s="32">
        <v>2</v>
      </c>
      <c r="C734" s="32" t="s">
        <v>310</v>
      </c>
      <c r="D734" s="169" t="s">
        <v>311</v>
      </c>
      <c r="E734" s="169" t="s">
        <v>276</v>
      </c>
      <c r="F734" s="32" t="s">
        <v>2865</v>
      </c>
      <c r="G734" s="32">
        <v>37</v>
      </c>
      <c r="H734" s="32" t="s">
        <v>165</v>
      </c>
      <c r="I734" s="32">
        <v>4048</v>
      </c>
      <c r="J734" s="36">
        <v>554.16999999999996</v>
      </c>
      <c r="K734" s="32" t="s">
        <v>4491</v>
      </c>
      <c r="L734" s="169" t="s">
        <v>118</v>
      </c>
      <c r="M734" s="32" t="s">
        <v>15</v>
      </c>
    </row>
    <row r="735" spans="1:13" x14ac:dyDescent="0.25">
      <c r="A735" s="168">
        <v>46181</v>
      </c>
      <c r="B735" s="32">
        <v>2</v>
      </c>
      <c r="C735" s="32" t="s">
        <v>300</v>
      </c>
      <c r="D735" s="169" t="s">
        <v>301</v>
      </c>
      <c r="E735" s="169" t="s">
        <v>276</v>
      </c>
      <c r="F735" s="32" t="s">
        <v>2033</v>
      </c>
      <c r="G735" s="32">
        <v>323</v>
      </c>
      <c r="H735" s="32" t="s">
        <v>207</v>
      </c>
      <c r="I735" s="32">
        <v>7514</v>
      </c>
      <c r="J735" s="36">
        <v>7766.47</v>
      </c>
      <c r="K735" s="32" t="s">
        <v>4492</v>
      </c>
      <c r="L735" s="169" t="s">
        <v>3766</v>
      </c>
      <c r="M735" s="32" t="s">
        <v>15</v>
      </c>
    </row>
    <row r="736" spans="1:13" x14ac:dyDescent="0.25">
      <c r="A736" s="168">
        <v>46181</v>
      </c>
      <c r="B736" s="32">
        <v>2</v>
      </c>
      <c r="C736" s="32" t="s">
        <v>302</v>
      </c>
      <c r="D736" s="169" t="s">
        <v>303</v>
      </c>
      <c r="E736" s="169" t="s">
        <v>996</v>
      </c>
      <c r="F736" s="32" t="s">
        <v>997</v>
      </c>
      <c r="G736" s="32">
        <v>292</v>
      </c>
      <c r="H736" s="32" t="s">
        <v>7</v>
      </c>
      <c r="I736" s="32">
        <v>6058</v>
      </c>
      <c r="J736" s="36">
        <v>6545.06</v>
      </c>
      <c r="K736" s="32" t="s">
        <v>4493</v>
      </c>
      <c r="L736" s="169" t="s">
        <v>4494</v>
      </c>
      <c r="M736" s="32" t="s">
        <v>997</v>
      </c>
    </row>
    <row r="737" spans="1:13" x14ac:dyDescent="0.25">
      <c r="A737" s="168">
        <v>46182</v>
      </c>
      <c r="B737" s="32">
        <v>2</v>
      </c>
      <c r="C737" s="32" t="s">
        <v>305</v>
      </c>
      <c r="D737" s="169" t="s">
        <v>306</v>
      </c>
      <c r="E737" s="169" t="s">
        <v>2757</v>
      </c>
      <c r="F737" s="32" t="s">
        <v>2867</v>
      </c>
      <c r="G737" s="32">
        <v>383</v>
      </c>
      <c r="H737" s="32" t="s">
        <v>221</v>
      </c>
      <c r="I737" s="32">
        <v>479</v>
      </c>
      <c r="J737" s="36">
        <v>5870.62</v>
      </c>
      <c r="K737" s="32" t="s">
        <v>4495</v>
      </c>
      <c r="L737" s="169" t="s">
        <v>3752</v>
      </c>
      <c r="M737" s="32" t="s">
        <v>15</v>
      </c>
    </row>
    <row r="738" spans="1:13" x14ac:dyDescent="0.25">
      <c r="A738" s="168">
        <v>46182</v>
      </c>
      <c r="B738" s="32">
        <v>2</v>
      </c>
      <c r="C738" s="32" t="s">
        <v>308</v>
      </c>
      <c r="D738" s="169" t="s">
        <v>309</v>
      </c>
      <c r="E738" s="169" t="s">
        <v>2757</v>
      </c>
      <c r="F738" s="32" t="s">
        <v>2867</v>
      </c>
      <c r="G738" s="32">
        <v>383</v>
      </c>
      <c r="H738" s="32" t="s">
        <v>221</v>
      </c>
      <c r="I738" s="32">
        <v>5614</v>
      </c>
      <c r="J738" s="36">
        <v>6880.52</v>
      </c>
      <c r="K738" s="32" t="s">
        <v>4496</v>
      </c>
      <c r="L738" s="169" t="s">
        <v>3752</v>
      </c>
      <c r="M738" s="32" t="s">
        <v>15</v>
      </c>
    </row>
    <row r="739" spans="1:13" x14ac:dyDescent="0.25">
      <c r="A739" s="168">
        <v>46182</v>
      </c>
      <c r="B739" s="32">
        <v>2</v>
      </c>
      <c r="C739" s="32" t="s">
        <v>298</v>
      </c>
      <c r="D739" s="169" t="s">
        <v>299</v>
      </c>
      <c r="E739" s="169" t="s">
        <v>276</v>
      </c>
      <c r="F739" s="32" t="s">
        <v>1415</v>
      </c>
      <c r="G739" s="32">
        <v>150</v>
      </c>
      <c r="H739" s="32" t="s">
        <v>207</v>
      </c>
      <c r="I739" s="32">
        <v>5986</v>
      </c>
      <c r="J739" s="36">
        <v>2873.28</v>
      </c>
      <c r="K739" s="32" t="s">
        <v>4497</v>
      </c>
      <c r="L739" s="169" t="s">
        <v>40</v>
      </c>
      <c r="M739" s="32" t="s">
        <v>15</v>
      </c>
    </row>
    <row r="740" spans="1:13" x14ac:dyDescent="0.25">
      <c r="A740" s="168">
        <v>46182</v>
      </c>
      <c r="B740" s="32">
        <v>2</v>
      </c>
      <c r="C740" s="32" t="s">
        <v>310</v>
      </c>
      <c r="D740" s="169" t="s">
        <v>311</v>
      </c>
      <c r="E740" s="169" t="s">
        <v>276</v>
      </c>
      <c r="F740" s="32" t="s">
        <v>277</v>
      </c>
      <c r="G740" s="32">
        <v>118</v>
      </c>
      <c r="H740" s="32" t="s">
        <v>165</v>
      </c>
      <c r="I740" s="32">
        <v>3736</v>
      </c>
      <c r="J740" s="36">
        <v>1410.71</v>
      </c>
      <c r="K740" s="32" t="s">
        <v>4498</v>
      </c>
      <c r="L740" s="169" t="s">
        <v>24</v>
      </c>
      <c r="M740" s="32" t="s">
        <v>15</v>
      </c>
    </row>
    <row r="741" spans="1:13" x14ac:dyDescent="0.25">
      <c r="A741" s="168">
        <v>46182</v>
      </c>
      <c r="B741" s="32">
        <v>2</v>
      </c>
      <c r="C741" s="32" t="s">
        <v>302</v>
      </c>
      <c r="D741" s="169" t="s">
        <v>303</v>
      </c>
      <c r="E741" s="169" t="s">
        <v>996</v>
      </c>
      <c r="F741" s="32" t="s">
        <v>997</v>
      </c>
      <c r="G741" s="32">
        <v>292</v>
      </c>
      <c r="H741" s="32" t="s">
        <v>7</v>
      </c>
      <c r="I741" s="32">
        <v>605</v>
      </c>
      <c r="J741" s="36">
        <v>6536.42</v>
      </c>
      <c r="K741" s="32" t="s">
        <v>4499</v>
      </c>
      <c r="L741" s="169" t="s">
        <v>4494</v>
      </c>
      <c r="M741" s="32" t="s">
        <v>997</v>
      </c>
    </row>
    <row r="742" spans="1:13" x14ac:dyDescent="0.25">
      <c r="A742" s="168">
        <v>46182</v>
      </c>
      <c r="B742" s="32">
        <v>2</v>
      </c>
      <c r="C742" s="32" t="s">
        <v>308</v>
      </c>
      <c r="D742" s="169" t="s">
        <v>309</v>
      </c>
      <c r="E742" s="169" t="s">
        <v>276</v>
      </c>
      <c r="F742" s="32" t="s">
        <v>2865</v>
      </c>
      <c r="G742" s="32">
        <v>37</v>
      </c>
      <c r="H742" s="32" t="s">
        <v>175</v>
      </c>
      <c r="I742" s="32">
        <v>6298</v>
      </c>
      <c r="J742" s="36">
        <v>862.2</v>
      </c>
      <c r="K742" s="32" t="s">
        <v>4500</v>
      </c>
      <c r="L742" s="169" t="s">
        <v>119</v>
      </c>
      <c r="M742" s="32" t="s">
        <v>15</v>
      </c>
    </row>
    <row r="743" spans="1:13" x14ac:dyDescent="0.25">
      <c r="A743" s="168">
        <v>46183</v>
      </c>
      <c r="B743" s="32">
        <v>2</v>
      </c>
      <c r="C743" s="32" t="s">
        <v>300</v>
      </c>
      <c r="D743" s="169" t="s">
        <v>301</v>
      </c>
      <c r="E743" s="169" t="s">
        <v>291</v>
      </c>
      <c r="F743" s="32" t="s">
        <v>747</v>
      </c>
      <c r="G743" s="32">
        <v>145</v>
      </c>
      <c r="H743" s="32" t="s">
        <v>195</v>
      </c>
      <c r="I743" s="32">
        <v>6462</v>
      </c>
      <c r="J743" s="36">
        <v>3466.86</v>
      </c>
      <c r="K743" s="32" t="s">
        <v>4501</v>
      </c>
      <c r="L743" s="169" t="s">
        <v>4502</v>
      </c>
      <c r="M743" s="32" t="s">
        <v>15</v>
      </c>
    </row>
    <row r="744" spans="1:13" x14ac:dyDescent="0.25">
      <c r="A744" s="168">
        <v>46183</v>
      </c>
      <c r="B744" s="32">
        <v>2</v>
      </c>
      <c r="C744" s="32" t="s">
        <v>302</v>
      </c>
      <c r="D744" s="169" t="s">
        <v>303</v>
      </c>
      <c r="E744" s="169" t="s">
        <v>996</v>
      </c>
      <c r="F744" s="32" t="s">
        <v>997</v>
      </c>
      <c r="G744" s="32">
        <v>292</v>
      </c>
      <c r="H744" s="32" t="s">
        <v>7</v>
      </c>
      <c r="I744" s="32">
        <v>6053</v>
      </c>
      <c r="J744" s="36">
        <v>6539.66</v>
      </c>
      <c r="K744" s="32" t="s">
        <v>4503</v>
      </c>
      <c r="L744" s="169" t="s">
        <v>4494</v>
      </c>
      <c r="M744" s="32" t="s">
        <v>997</v>
      </c>
    </row>
    <row r="745" spans="1:13" x14ac:dyDescent="0.25">
      <c r="A745" s="168">
        <v>46183</v>
      </c>
      <c r="B745" s="32">
        <v>2</v>
      </c>
      <c r="C745" s="32" t="s">
        <v>305</v>
      </c>
      <c r="D745" s="169" t="s">
        <v>306</v>
      </c>
      <c r="E745" s="169" t="s">
        <v>276</v>
      </c>
      <c r="F745" s="32" t="s">
        <v>2033</v>
      </c>
      <c r="G745" s="32">
        <v>323</v>
      </c>
      <c r="H745" s="32" t="s">
        <v>207</v>
      </c>
      <c r="I745" s="32">
        <v>7456</v>
      </c>
      <c r="J745" s="36">
        <v>7706.52</v>
      </c>
      <c r="K745" s="32" t="s">
        <v>4504</v>
      </c>
      <c r="L745" s="169" t="s">
        <v>3766</v>
      </c>
      <c r="M745" s="32" t="s">
        <v>15</v>
      </c>
    </row>
    <row r="746" spans="1:13" x14ac:dyDescent="0.25">
      <c r="A746" s="168">
        <v>46183</v>
      </c>
      <c r="B746" s="32">
        <v>2</v>
      </c>
      <c r="C746" s="32" t="s">
        <v>298</v>
      </c>
      <c r="D746" s="169" t="s">
        <v>299</v>
      </c>
      <c r="E746" s="169" t="s">
        <v>276</v>
      </c>
      <c r="F746" s="32" t="s">
        <v>2033</v>
      </c>
      <c r="G746" s="32">
        <v>323</v>
      </c>
      <c r="H746" s="32" t="s">
        <v>207</v>
      </c>
      <c r="I746" s="32">
        <v>7024</v>
      </c>
      <c r="J746" s="36">
        <v>7260.01</v>
      </c>
      <c r="K746" s="32" t="s">
        <v>4505</v>
      </c>
      <c r="L746" s="169" t="s">
        <v>3766</v>
      </c>
      <c r="M746" s="32" t="s">
        <v>15</v>
      </c>
    </row>
    <row r="747" spans="1:13" x14ac:dyDescent="0.25">
      <c r="A747" s="168">
        <v>46183</v>
      </c>
      <c r="B747" s="32">
        <v>2</v>
      </c>
      <c r="C747" s="32" t="s">
        <v>310</v>
      </c>
      <c r="D747" s="169" t="s">
        <v>311</v>
      </c>
      <c r="E747" s="169" t="s">
        <v>276</v>
      </c>
      <c r="F747" s="32" t="s">
        <v>2865</v>
      </c>
      <c r="G747" s="32">
        <v>37</v>
      </c>
      <c r="H747" s="32" t="s">
        <v>175</v>
      </c>
      <c r="I747" s="32">
        <v>3848</v>
      </c>
      <c r="J747" s="36">
        <v>526.79</v>
      </c>
      <c r="K747" s="32" t="s">
        <v>4506</v>
      </c>
      <c r="L747" s="169" t="s">
        <v>119</v>
      </c>
      <c r="M747" s="32" t="s">
        <v>15</v>
      </c>
    </row>
    <row r="748" spans="1:13" x14ac:dyDescent="0.25">
      <c r="A748" s="168">
        <v>46183</v>
      </c>
      <c r="B748" s="32">
        <v>2</v>
      </c>
      <c r="C748" s="32" t="s">
        <v>310</v>
      </c>
      <c r="D748" s="169" t="s">
        <v>311</v>
      </c>
      <c r="E748" s="169" t="s">
        <v>276</v>
      </c>
      <c r="F748" s="32" t="s">
        <v>2865</v>
      </c>
      <c r="G748" s="32">
        <v>37</v>
      </c>
      <c r="H748" s="32" t="s">
        <v>175</v>
      </c>
      <c r="I748" s="32">
        <v>4478</v>
      </c>
      <c r="J748" s="36">
        <v>613.04</v>
      </c>
      <c r="K748" s="32" t="s">
        <v>4507</v>
      </c>
      <c r="L748" s="169" t="s">
        <v>119</v>
      </c>
      <c r="M748" s="32" t="s">
        <v>15</v>
      </c>
    </row>
    <row r="749" spans="1:13" x14ac:dyDescent="0.25">
      <c r="A749" s="168">
        <v>46183</v>
      </c>
      <c r="B749" s="32">
        <v>2</v>
      </c>
      <c r="C749" s="32" t="s">
        <v>310</v>
      </c>
      <c r="D749" s="169" t="s">
        <v>311</v>
      </c>
      <c r="E749" s="169" t="s">
        <v>276</v>
      </c>
      <c r="F749" s="32" t="s">
        <v>2865</v>
      </c>
      <c r="G749" s="32">
        <v>37</v>
      </c>
      <c r="H749" s="32" t="s">
        <v>175</v>
      </c>
      <c r="I749" s="32">
        <v>384</v>
      </c>
      <c r="J749" s="36">
        <v>525.70000000000005</v>
      </c>
      <c r="K749" s="32" t="s">
        <v>4508</v>
      </c>
      <c r="L749" s="169" t="s">
        <v>119</v>
      </c>
      <c r="M749" s="32" t="s">
        <v>15</v>
      </c>
    </row>
    <row r="750" spans="1:13" x14ac:dyDescent="0.25">
      <c r="A750" s="168">
        <v>46184</v>
      </c>
      <c r="B750" s="32">
        <v>2</v>
      </c>
      <c r="C750" s="32" t="s">
        <v>300</v>
      </c>
      <c r="D750" s="169" t="s">
        <v>301</v>
      </c>
      <c r="E750" s="169" t="s">
        <v>276</v>
      </c>
      <c r="F750" s="32" t="s">
        <v>307</v>
      </c>
      <c r="G750" s="32">
        <v>175</v>
      </c>
      <c r="H750" s="32" t="s">
        <v>175</v>
      </c>
      <c r="I750" s="32">
        <v>685</v>
      </c>
      <c r="J750" s="36">
        <v>3836</v>
      </c>
      <c r="K750" s="32" t="s">
        <v>4509</v>
      </c>
      <c r="L750" s="169" t="s">
        <v>4510</v>
      </c>
      <c r="M750" s="32" t="s">
        <v>307</v>
      </c>
    </row>
    <row r="751" spans="1:13" x14ac:dyDescent="0.25">
      <c r="A751" s="168">
        <v>46184</v>
      </c>
      <c r="B751" s="32">
        <v>2</v>
      </c>
      <c r="C751" s="32" t="s">
        <v>308</v>
      </c>
      <c r="D751" s="169" t="s">
        <v>309</v>
      </c>
      <c r="E751" s="169" t="s">
        <v>276</v>
      </c>
      <c r="F751" s="32" t="s">
        <v>2033</v>
      </c>
      <c r="G751" s="32">
        <v>323</v>
      </c>
      <c r="H751" s="32" t="s">
        <v>207</v>
      </c>
      <c r="I751" s="32">
        <v>6672</v>
      </c>
      <c r="J751" s="36">
        <v>6896.18</v>
      </c>
      <c r="K751" s="32" t="s">
        <v>4511</v>
      </c>
      <c r="L751" s="169" t="s">
        <v>3766</v>
      </c>
      <c r="M751" s="32" t="s">
        <v>15</v>
      </c>
    </row>
    <row r="752" spans="1:13" x14ac:dyDescent="0.25">
      <c r="A752" s="168">
        <v>46184</v>
      </c>
      <c r="B752" s="32">
        <v>2</v>
      </c>
      <c r="C752" s="32" t="s">
        <v>302</v>
      </c>
      <c r="D752" s="169" t="s">
        <v>303</v>
      </c>
      <c r="E752" s="169" t="s">
        <v>304</v>
      </c>
      <c r="F752" s="32" t="s">
        <v>278</v>
      </c>
      <c r="G752" s="32">
        <v>88</v>
      </c>
      <c r="H752" s="32" t="s">
        <v>7</v>
      </c>
      <c r="I752" s="32">
        <v>601</v>
      </c>
      <c r="J752" s="36">
        <v>1956.86</v>
      </c>
      <c r="K752" s="32" t="s">
        <v>4488</v>
      </c>
      <c r="L752" s="169" t="s">
        <v>4512</v>
      </c>
      <c r="M752" s="32" t="s">
        <v>1066</v>
      </c>
    </row>
    <row r="753" spans="1:13" x14ac:dyDescent="0.25">
      <c r="A753" s="168">
        <v>46184</v>
      </c>
      <c r="B753" s="32">
        <v>2</v>
      </c>
      <c r="C753" s="32" t="s">
        <v>310</v>
      </c>
      <c r="D753" s="169" t="s">
        <v>311</v>
      </c>
      <c r="E753" s="169" t="s">
        <v>276</v>
      </c>
      <c r="F753" s="32" t="s">
        <v>1415</v>
      </c>
      <c r="G753" s="32">
        <v>150</v>
      </c>
      <c r="H753" s="32" t="s">
        <v>207</v>
      </c>
      <c r="I753" s="32">
        <v>3952</v>
      </c>
      <c r="J753" s="36">
        <v>1896.96</v>
      </c>
      <c r="K753" s="32" t="s">
        <v>4513</v>
      </c>
      <c r="L753" s="169" t="s">
        <v>40</v>
      </c>
      <c r="M753" s="32" t="s">
        <v>15</v>
      </c>
    </row>
    <row r="754" spans="1:13" x14ac:dyDescent="0.25">
      <c r="A754" s="168">
        <v>46185</v>
      </c>
      <c r="B754" s="32">
        <v>2</v>
      </c>
      <c r="C754" s="32" t="s">
        <v>305</v>
      </c>
      <c r="D754" s="169" t="s">
        <v>306</v>
      </c>
      <c r="E754" s="169" t="s">
        <v>276</v>
      </c>
      <c r="F754" s="32" t="s">
        <v>919</v>
      </c>
      <c r="G754" s="32">
        <v>358</v>
      </c>
      <c r="H754" s="32" t="s">
        <v>221</v>
      </c>
      <c r="I754" s="32">
        <v>7308</v>
      </c>
      <c r="J754" s="36">
        <v>8372.0400000000009</v>
      </c>
      <c r="K754" s="32" t="s">
        <v>4514</v>
      </c>
      <c r="L754" s="169" t="s">
        <v>4118</v>
      </c>
      <c r="M754" s="32" t="s">
        <v>15</v>
      </c>
    </row>
    <row r="755" spans="1:13" x14ac:dyDescent="0.25">
      <c r="A755" s="168">
        <v>46185</v>
      </c>
      <c r="B755" s="32">
        <v>2</v>
      </c>
      <c r="C755" s="32" t="s">
        <v>300</v>
      </c>
      <c r="D755" s="169" t="s">
        <v>301</v>
      </c>
      <c r="E755" s="169" t="s">
        <v>276</v>
      </c>
      <c r="F755" s="32" t="s">
        <v>307</v>
      </c>
      <c r="G755" s="32">
        <v>175</v>
      </c>
      <c r="H755" s="32" t="s">
        <v>175</v>
      </c>
      <c r="I755" s="32">
        <v>6688</v>
      </c>
      <c r="J755" s="36">
        <v>3745.28</v>
      </c>
      <c r="K755" s="32" t="s">
        <v>4515</v>
      </c>
      <c r="L755" s="169" t="s">
        <v>4510</v>
      </c>
      <c r="M755" s="32" t="s">
        <v>307</v>
      </c>
    </row>
    <row r="756" spans="1:13" x14ac:dyDescent="0.25">
      <c r="A756" s="168">
        <v>46185</v>
      </c>
      <c r="B756" s="32">
        <v>2</v>
      </c>
      <c r="C756" s="32" t="s">
        <v>298</v>
      </c>
      <c r="D756" s="169" t="s">
        <v>299</v>
      </c>
      <c r="E756" s="169" t="s">
        <v>276</v>
      </c>
      <c r="F756" s="32" t="s">
        <v>2033</v>
      </c>
      <c r="G756" s="32">
        <v>323</v>
      </c>
      <c r="H756" s="32" t="s">
        <v>207</v>
      </c>
      <c r="I756" s="32">
        <v>6948</v>
      </c>
      <c r="J756" s="36">
        <v>7181.45</v>
      </c>
      <c r="K756" s="32" t="s">
        <v>4516</v>
      </c>
      <c r="L756" s="169" t="s">
        <v>3766</v>
      </c>
      <c r="M756" s="32" t="s">
        <v>15</v>
      </c>
    </row>
    <row r="757" spans="1:13" x14ac:dyDescent="0.25">
      <c r="A757" s="168">
        <v>46185</v>
      </c>
      <c r="B757" s="32">
        <v>2</v>
      </c>
      <c r="C757" s="32" t="s">
        <v>300</v>
      </c>
      <c r="D757" s="169" t="s">
        <v>301</v>
      </c>
      <c r="E757" s="169" t="s">
        <v>276</v>
      </c>
      <c r="F757" s="32" t="s">
        <v>2865</v>
      </c>
      <c r="G757" s="32">
        <v>37</v>
      </c>
      <c r="H757" s="32" t="s">
        <v>175</v>
      </c>
      <c r="I757" s="32">
        <v>7338</v>
      </c>
      <c r="J757" s="36">
        <v>1004.57</v>
      </c>
      <c r="K757" s="32" t="s">
        <v>4517</v>
      </c>
      <c r="L757" s="169" t="s">
        <v>119</v>
      </c>
      <c r="M757" s="32" t="s">
        <v>15</v>
      </c>
    </row>
    <row r="758" spans="1:13" x14ac:dyDescent="0.25">
      <c r="A758" s="168">
        <v>46185</v>
      </c>
      <c r="B758" s="32">
        <v>2</v>
      </c>
      <c r="C758" s="32" t="s">
        <v>310</v>
      </c>
      <c r="D758" s="169" t="s">
        <v>311</v>
      </c>
      <c r="E758" s="169" t="s">
        <v>276</v>
      </c>
      <c r="F758" s="32" t="s">
        <v>277</v>
      </c>
      <c r="G758" s="32">
        <v>118</v>
      </c>
      <c r="H758" s="32" t="s">
        <v>165</v>
      </c>
      <c r="I758" s="32">
        <v>4034</v>
      </c>
      <c r="J758" s="36">
        <v>1523.24</v>
      </c>
      <c r="K758" s="32" t="s">
        <v>4518</v>
      </c>
      <c r="L758" s="169" t="s">
        <v>24</v>
      </c>
      <c r="M758" s="32" t="s">
        <v>15</v>
      </c>
    </row>
    <row r="759" spans="1:13" x14ac:dyDescent="0.25">
      <c r="A759" s="168">
        <v>46186</v>
      </c>
      <c r="B759" s="32">
        <v>2</v>
      </c>
      <c r="C759" s="32" t="s">
        <v>308</v>
      </c>
      <c r="D759" s="169" t="s">
        <v>309</v>
      </c>
      <c r="E759" s="169" t="s">
        <v>276</v>
      </c>
      <c r="F759" s="32" t="s">
        <v>2033</v>
      </c>
      <c r="G759" s="32">
        <v>323</v>
      </c>
      <c r="H759" s="32" t="s">
        <v>221</v>
      </c>
      <c r="I759" s="32">
        <v>675</v>
      </c>
      <c r="J759" s="36">
        <v>6976.8</v>
      </c>
      <c r="K759" s="32" t="s">
        <v>4519</v>
      </c>
      <c r="L759" s="169" t="s">
        <v>4520</v>
      </c>
      <c r="M759" s="32" t="s">
        <v>15</v>
      </c>
    </row>
    <row r="760" spans="1:13" x14ac:dyDescent="0.25">
      <c r="A760" s="168">
        <v>46186</v>
      </c>
      <c r="B760" s="32">
        <v>2</v>
      </c>
      <c r="C760" s="32" t="s">
        <v>302</v>
      </c>
      <c r="D760" s="169" t="s">
        <v>303</v>
      </c>
      <c r="E760" s="169" t="s">
        <v>996</v>
      </c>
      <c r="F760" s="32" t="s">
        <v>997</v>
      </c>
      <c r="G760" s="32">
        <v>292</v>
      </c>
      <c r="H760" s="32" t="s">
        <v>7</v>
      </c>
      <c r="I760" s="32">
        <v>6001</v>
      </c>
      <c r="J760" s="36">
        <v>6483.48</v>
      </c>
      <c r="K760" s="32" t="s">
        <v>4521</v>
      </c>
      <c r="L760" s="169" t="s">
        <v>4494</v>
      </c>
      <c r="M760" s="32" t="s">
        <v>997</v>
      </c>
    </row>
    <row r="761" spans="1:13" x14ac:dyDescent="0.25">
      <c r="A761" s="168">
        <v>46186</v>
      </c>
      <c r="B761" s="32">
        <v>2</v>
      </c>
      <c r="C761" s="32" t="s">
        <v>310</v>
      </c>
      <c r="D761" s="169" t="s">
        <v>311</v>
      </c>
      <c r="E761" s="169" t="s">
        <v>276</v>
      </c>
      <c r="F761" s="32" t="s">
        <v>1415</v>
      </c>
      <c r="G761" s="32">
        <v>150</v>
      </c>
      <c r="H761" s="32" t="s">
        <v>207</v>
      </c>
      <c r="I761" s="32">
        <v>4378</v>
      </c>
      <c r="J761" s="36">
        <v>2101.44</v>
      </c>
      <c r="K761" s="32" t="s">
        <v>4522</v>
      </c>
      <c r="L761" s="169" t="s">
        <v>40</v>
      </c>
      <c r="M761" s="32" t="s">
        <v>15</v>
      </c>
    </row>
    <row r="762" spans="1:13" x14ac:dyDescent="0.25">
      <c r="A762" s="168">
        <v>46187</v>
      </c>
      <c r="B762" s="32">
        <v>2</v>
      </c>
      <c r="C762" s="32" t="s">
        <v>302</v>
      </c>
      <c r="D762" s="169" t="s">
        <v>303</v>
      </c>
      <c r="E762" s="169" t="s">
        <v>996</v>
      </c>
      <c r="F762" s="32" t="s">
        <v>997</v>
      </c>
      <c r="G762" s="32">
        <v>292</v>
      </c>
      <c r="H762" s="32" t="s">
        <v>7</v>
      </c>
      <c r="I762" s="32">
        <v>6102</v>
      </c>
      <c r="J762" s="36">
        <v>6592.6</v>
      </c>
      <c r="K762" s="32" t="s">
        <v>4523</v>
      </c>
      <c r="L762" s="169" t="s">
        <v>4494</v>
      </c>
      <c r="M762" s="32" t="s">
        <v>997</v>
      </c>
    </row>
    <row r="763" spans="1:13" x14ac:dyDescent="0.25">
      <c r="A763" s="168">
        <v>46188</v>
      </c>
      <c r="B763" s="32">
        <v>2</v>
      </c>
      <c r="C763" s="32" t="s">
        <v>302</v>
      </c>
      <c r="D763" s="169" t="s">
        <v>303</v>
      </c>
      <c r="E763" s="169" t="s">
        <v>304</v>
      </c>
      <c r="F763" s="32" t="s">
        <v>278</v>
      </c>
      <c r="G763" s="32">
        <v>88</v>
      </c>
      <c r="H763" s="32" t="s">
        <v>7</v>
      </c>
      <c r="I763" s="32">
        <v>5925</v>
      </c>
      <c r="J763" s="36">
        <v>1929.18</v>
      </c>
      <c r="K763" s="32" t="s">
        <v>4524</v>
      </c>
      <c r="L763" s="169" t="s">
        <v>4512</v>
      </c>
      <c r="M763" s="32" t="s">
        <v>1066</v>
      </c>
    </row>
    <row r="764" spans="1:13" x14ac:dyDescent="0.25">
      <c r="A764" s="168">
        <v>46188</v>
      </c>
      <c r="B764" s="32">
        <v>2</v>
      </c>
      <c r="C764" s="32" t="s">
        <v>302</v>
      </c>
      <c r="D764" s="169" t="s">
        <v>303</v>
      </c>
      <c r="E764" s="169" t="s">
        <v>304</v>
      </c>
      <c r="F764" s="32" t="s">
        <v>278</v>
      </c>
      <c r="G764" s="32">
        <v>88</v>
      </c>
      <c r="H764" s="32" t="s">
        <v>7</v>
      </c>
      <c r="I764" s="32">
        <v>6025</v>
      </c>
      <c r="J764" s="36">
        <v>1961.74</v>
      </c>
      <c r="K764" s="32" t="s">
        <v>4525</v>
      </c>
      <c r="L764" s="169" t="s">
        <v>4512</v>
      </c>
      <c r="M764" s="32" t="s">
        <v>1066</v>
      </c>
    </row>
    <row r="765" spans="1:13" x14ac:dyDescent="0.25">
      <c r="A765" s="168">
        <v>46188</v>
      </c>
      <c r="B765" s="32">
        <v>2</v>
      </c>
      <c r="C765" s="32" t="s">
        <v>305</v>
      </c>
      <c r="D765" s="169" t="s">
        <v>306</v>
      </c>
      <c r="E765" s="169" t="s">
        <v>276</v>
      </c>
      <c r="F765" s="32" t="s">
        <v>919</v>
      </c>
      <c r="G765" s="32">
        <v>358</v>
      </c>
      <c r="H765" s="32" t="s">
        <v>279</v>
      </c>
      <c r="I765" s="32">
        <v>5864</v>
      </c>
      <c r="J765" s="36">
        <v>6717.8</v>
      </c>
      <c r="K765" s="32" t="s">
        <v>4526</v>
      </c>
      <c r="L765" s="169" t="s">
        <v>4527</v>
      </c>
      <c r="M765" s="32" t="s">
        <v>15</v>
      </c>
    </row>
    <row r="766" spans="1:13" x14ac:dyDescent="0.25">
      <c r="A766" s="168">
        <v>46188</v>
      </c>
      <c r="B766" s="32">
        <v>2</v>
      </c>
      <c r="C766" s="32" t="s">
        <v>298</v>
      </c>
      <c r="D766" s="169" t="s">
        <v>299</v>
      </c>
      <c r="E766" s="169" t="s">
        <v>276</v>
      </c>
      <c r="F766" s="32" t="s">
        <v>919</v>
      </c>
      <c r="G766" s="32">
        <v>358</v>
      </c>
      <c r="H766" s="32" t="s">
        <v>185</v>
      </c>
      <c r="I766" s="32">
        <v>6876</v>
      </c>
      <c r="J766" s="36">
        <v>7877.15</v>
      </c>
      <c r="K766" s="32" t="s">
        <v>4528</v>
      </c>
      <c r="L766" s="169" t="s">
        <v>4077</v>
      </c>
      <c r="M766" s="32" t="s">
        <v>15</v>
      </c>
    </row>
    <row r="767" spans="1:13" x14ac:dyDescent="0.25">
      <c r="A767" s="168">
        <v>46188</v>
      </c>
      <c r="B767" s="32">
        <v>2</v>
      </c>
      <c r="C767" s="32" t="s">
        <v>310</v>
      </c>
      <c r="D767" s="169" t="s">
        <v>311</v>
      </c>
      <c r="E767" s="169" t="s">
        <v>276</v>
      </c>
      <c r="F767" s="32" t="s">
        <v>277</v>
      </c>
      <c r="G767" s="32">
        <v>118</v>
      </c>
      <c r="H767" s="32" t="s">
        <v>165</v>
      </c>
      <c r="I767" s="32">
        <v>4258</v>
      </c>
      <c r="J767" s="36">
        <v>1607.82</v>
      </c>
      <c r="K767" s="32" t="s">
        <v>4529</v>
      </c>
      <c r="L767" s="169" t="s">
        <v>24</v>
      </c>
      <c r="M767" s="32" t="s">
        <v>15</v>
      </c>
    </row>
    <row r="768" spans="1:13" x14ac:dyDescent="0.25">
      <c r="A768" s="168">
        <v>46189</v>
      </c>
      <c r="B768" s="32">
        <v>2</v>
      </c>
      <c r="C768" s="32" t="s">
        <v>308</v>
      </c>
      <c r="D768" s="169" t="s">
        <v>309</v>
      </c>
      <c r="E768" s="169" t="s">
        <v>276</v>
      </c>
      <c r="F768" s="32" t="s">
        <v>919</v>
      </c>
      <c r="G768" s="32">
        <v>358</v>
      </c>
      <c r="H768" s="32" t="s">
        <v>279</v>
      </c>
      <c r="I768" s="32">
        <v>5778</v>
      </c>
      <c r="J768" s="36">
        <v>6619.28</v>
      </c>
      <c r="K768" s="32" t="s">
        <v>4530</v>
      </c>
      <c r="L768" s="169" t="s">
        <v>4527</v>
      </c>
      <c r="M768" s="32" t="s">
        <v>15</v>
      </c>
    </row>
    <row r="769" spans="1:13" x14ac:dyDescent="0.25">
      <c r="A769" s="168">
        <v>46189</v>
      </c>
      <c r="B769" s="32">
        <v>2</v>
      </c>
      <c r="C769" s="32" t="s">
        <v>300</v>
      </c>
      <c r="D769" s="169" t="s">
        <v>301</v>
      </c>
      <c r="E769" s="169" t="s">
        <v>276</v>
      </c>
      <c r="F769" s="32" t="s">
        <v>919</v>
      </c>
      <c r="G769" s="32">
        <v>358</v>
      </c>
      <c r="H769" s="32" t="s">
        <v>185</v>
      </c>
      <c r="I769" s="32">
        <v>6764</v>
      </c>
      <c r="J769" s="36">
        <v>7748.84</v>
      </c>
      <c r="K769" s="32" t="s">
        <v>4531</v>
      </c>
      <c r="L769" s="169" t="s">
        <v>4077</v>
      </c>
      <c r="M769" s="32" t="s">
        <v>15</v>
      </c>
    </row>
    <row r="770" spans="1:13" x14ac:dyDescent="0.25">
      <c r="A770" s="168">
        <v>46189</v>
      </c>
      <c r="B770" s="32">
        <v>2</v>
      </c>
      <c r="C770" s="32" t="s">
        <v>300</v>
      </c>
      <c r="D770" s="169" t="s">
        <v>301</v>
      </c>
      <c r="E770" s="169" t="s">
        <v>276</v>
      </c>
      <c r="F770" s="32" t="s">
        <v>307</v>
      </c>
      <c r="G770" s="32">
        <v>175</v>
      </c>
      <c r="H770" s="32" t="s">
        <v>195</v>
      </c>
      <c r="I770" s="32">
        <v>6784</v>
      </c>
      <c r="J770" s="36">
        <v>3799.04</v>
      </c>
      <c r="K770" s="32" t="s">
        <v>4532</v>
      </c>
      <c r="L770" s="169" t="s">
        <v>4029</v>
      </c>
      <c r="M770" s="32" t="s">
        <v>307</v>
      </c>
    </row>
    <row r="771" spans="1:13" x14ac:dyDescent="0.25">
      <c r="A771" s="168">
        <v>46189</v>
      </c>
      <c r="B771" s="32">
        <v>2</v>
      </c>
      <c r="C771" s="32" t="s">
        <v>310</v>
      </c>
      <c r="D771" s="169" t="s">
        <v>311</v>
      </c>
      <c r="E771" s="169" t="s">
        <v>276</v>
      </c>
      <c r="F771" s="32" t="s">
        <v>1415</v>
      </c>
      <c r="G771" s="32">
        <v>150</v>
      </c>
      <c r="H771" s="32" t="s">
        <v>207</v>
      </c>
      <c r="I771" s="32">
        <v>3958</v>
      </c>
      <c r="J771" s="36">
        <v>1899.84</v>
      </c>
      <c r="K771" s="32" t="s">
        <v>4533</v>
      </c>
      <c r="L771" s="169" t="s">
        <v>40</v>
      </c>
      <c r="M771" s="32" t="s">
        <v>15</v>
      </c>
    </row>
    <row r="772" spans="1:13" x14ac:dyDescent="0.25">
      <c r="A772" s="168">
        <v>46190</v>
      </c>
      <c r="B772" s="32">
        <v>2</v>
      </c>
      <c r="C772" s="32" t="s">
        <v>305</v>
      </c>
      <c r="D772" s="169" t="s">
        <v>306</v>
      </c>
      <c r="E772" s="169" t="s">
        <v>276</v>
      </c>
      <c r="F772" s="32" t="s">
        <v>307</v>
      </c>
      <c r="G772" s="32">
        <v>175</v>
      </c>
      <c r="H772" s="32" t="s">
        <v>195</v>
      </c>
      <c r="I772" s="32">
        <v>6462</v>
      </c>
      <c r="J772" s="36">
        <v>3618.72</v>
      </c>
      <c r="K772" s="32" t="s">
        <v>4534</v>
      </c>
      <c r="L772" s="169" t="s">
        <v>4029</v>
      </c>
      <c r="M772" s="32" t="s">
        <v>307</v>
      </c>
    </row>
    <row r="773" spans="1:13" x14ac:dyDescent="0.25">
      <c r="A773" s="168">
        <v>46190</v>
      </c>
      <c r="B773" s="32">
        <v>2</v>
      </c>
      <c r="C773" s="32" t="s">
        <v>308</v>
      </c>
      <c r="D773" s="169" t="s">
        <v>309</v>
      </c>
      <c r="E773" s="169" t="s">
        <v>276</v>
      </c>
      <c r="F773" s="32" t="s">
        <v>307</v>
      </c>
      <c r="G773" s="32">
        <v>175</v>
      </c>
      <c r="H773" s="32" t="s">
        <v>195</v>
      </c>
      <c r="I773" s="32">
        <v>6564</v>
      </c>
      <c r="J773" s="36">
        <v>3675.84</v>
      </c>
      <c r="K773" s="32" t="s">
        <v>4535</v>
      </c>
      <c r="L773" s="169" t="s">
        <v>4029</v>
      </c>
      <c r="M773" s="32" t="s">
        <v>307</v>
      </c>
    </row>
    <row r="774" spans="1:13" x14ac:dyDescent="0.25">
      <c r="A774" s="168">
        <v>46190</v>
      </c>
      <c r="B774" s="32">
        <v>2</v>
      </c>
      <c r="C774" s="32" t="s">
        <v>308</v>
      </c>
      <c r="D774" s="169" t="s">
        <v>309</v>
      </c>
      <c r="E774" s="169" t="s">
        <v>276</v>
      </c>
      <c r="F774" s="32" t="s">
        <v>2865</v>
      </c>
      <c r="G774" s="32">
        <v>37</v>
      </c>
      <c r="H774" s="32" t="s">
        <v>165</v>
      </c>
      <c r="I774" s="32">
        <v>6656</v>
      </c>
      <c r="J774" s="36">
        <v>911.21</v>
      </c>
      <c r="K774" s="32" t="s">
        <v>4536</v>
      </c>
      <c r="L774" s="169" t="s">
        <v>118</v>
      </c>
      <c r="M774" s="32" t="s">
        <v>15</v>
      </c>
    </row>
    <row r="775" spans="1:13" x14ac:dyDescent="0.25">
      <c r="A775" s="168">
        <v>46190</v>
      </c>
      <c r="B775" s="32">
        <v>2</v>
      </c>
      <c r="C775" s="32" t="s">
        <v>298</v>
      </c>
      <c r="D775" s="169" t="s">
        <v>299</v>
      </c>
      <c r="E775" s="169" t="s">
        <v>276</v>
      </c>
      <c r="F775" s="32" t="s">
        <v>2033</v>
      </c>
      <c r="G775" s="32">
        <v>323</v>
      </c>
      <c r="H775" s="32" t="s">
        <v>172</v>
      </c>
      <c r="I775" s="32">
        <v>8372</v>
      </c>
      <c r="J775" s="36">
        <v>8653.2999999999993</v>
      </c>
      <c r="K775" s="32" t="s">
        <v>4537</v>
      </c>
      <c r="L775" s="169" t="s">
        <v>3735</v>
      </c>
      <c r="M775" s="32" t="s">
        <v>15</v>
      </c>
    </row>
    <row r="776" spans="1:13" x14ac:dyDescent="0.25">
      <c r="A776" s="168">
        <v>46190</v>
      </c>
      <c r="B776" s="32">
        <v>2</v>
      </c>
      <c r="C776" s="32" t="s">
        <v>310</v>
      </c>
      <c r="D776" s="169" t="s">
        <v>311</v>
      </c>
      <c r="E776" s="169" t="s">
        <v>276</v>
      </c>
      <c r="F776" s="32" t="s">
        <v>2865</v>
      </c>
      <c r="G776" s="32">
        <v>37</v>
      </c>
      <c r="H776" s="32" t="s">
        <v>175</v>
      </c>
      <c r="I776" s="32">
        <v>3968</v>
      </c>
      <c r="J776" s="36">
        <v>543.22</v>
      </c>
      <c r="K776" s="32" t="s">
        <v>4538</v>
      </c>
      <c r="L776" s="169" t="s">
        <v>119</v>
      </c>
      <c r="M776" s="32" t="s">
        <v>15</v>
      </c>
    </row>
    <row r="777" spans="1:13" x14ac:dyDescent="0.25">
      <c r="A777" s="168">
        <v>46190</v>
      </c>
      <c r="B777" s="32">
        <v>2</v>
      </c>
      <c r="C777" s="32" t="s">
        <v>305</v>
      </c>
      <c r="D777" s="169" t="s">
        <v>306</v>
      </c>
      <c r="E777" s="169" t="s">
        <v>276</v>
      </c>
      <c r="F777" s="32" t="s">
        <v>919</v>
      </c>
      <c r="G777" s="32">
        <v>358</v>
      </c>
      <c r="H777" s="32" t="s">
        <v>221</v>
      </c>
      <c r="I777" s="32">
        <v>6756</v>
      </c>
      <c r="J777" s="36">
        <v>7739.67</v>
      </c>
      <c r="K777" s="32" t="s">
        <v>4539</v>
      </c>
      <c r="L777" s="169" t="s">
        <v>4118</v>
      </c>
      <c r="M777" s="32" t="s">
        <v>15</v>
      </c>
    </row>
    <row r="778" spans="1:13" x14ac:dyDescent="0.25">
      <c r="A778" s="168">
        <v>46190</v>
      </c>
      <c r="B778" s="32">
        <v>2</v>
      </c>
      <c r="C778" s="32" t="s">
        <v>310</v>
      </c>
      <c r="D778" s="169" t="s">
        <v>311</v>
      </c>
      <c r="E778" s="169" t="s">
        <v>276</v>
      </c>
      <c r="F778" s="32" t="s">
        <v>2865</v>
      </c>
      <c r="G778" s="32">
        <v>37</v>
      </c>
      <c r="H778" s="32" t="s">
        <v>195</v>
      </c>
      <c r="I778" s="32">
        <v>4018</v>
      </c>
      <c r="J778" s="36">
        <v>550.05999999999995</v>
      </c>
      <c r="K778" s="32" t="s">
        <v>4540</v>
      </c>
      <c r="L778" s="169" t="s">
        <v>104</v>
      </c>
      <c r="M778" s="32" t="s">
        <v>15</v>
      </c>
    </row>
    <row r="779" spans="1:13" x14ac:dyDescent="0.25">
      <c r="A779" s="168">
        <v>46190</v>
      </c>
      <c r="B779" s="32">
        <v>2</v>
      </c>
      <c r="C779" s="32" t="s">
        <v>302</v>
      </c>
      <c r="D779" s="169" t="s">
        <v>303</v>
      </c>
      <c r="E779" s="169" t="s">
        <v>996</v>
      </c>
      <c r="F779" s="32" t="s">
        <v>997</v>
      </c>
      <c r="G779" s="32">
        <v>292</v>
      </c>
      <c r="H779" s="32" t="s">
        <v>7</v>
      </c>
      <c r="I779" s="32">
        <v>600</v>
      </c>
      <c r="J779" s="36">
        <v>6482.4</v>
      </c>
      <c r="K779" s="32" t="s">
        <v>4541</v>
      </c>
      <c r="L779" s="169" t="s">
        <v>4494</v>
      </c>
      <c r="M779" s="32" t="s">
        <v>997</v>
      </c>
    </row>
    <row r="780" spans="1:13" x14ac:dyDescent="0.25">
      <c r="A780" s="168">
        <v>46190</v>
      </c>
      <c r="B780" s="32">
        <v>2</v>
      </c>
      <c r="C780" s="32" t="s">
        <v>302</v>
      </c>
      <c r="D780" s="169" t="s">
        <v>303</v>
      </c>
      <c r="E780" s="169" t="s">
        <v>996</v>
      </c>
      <c r="F780" s="32" t="s">
        <v>997</v>
      </c>
      <c r="G780" s="32">
        <v>292</v>
      </c>
      <c r="H780" s="32" t="s">
        <v>7</v>
      </c>
      <c r="I780" s="32">
        <v>6107</v>
      </c>
      <c r="J780" s="36">
        <v>6598</v>
      </c>
      <c r="K780" s="32" t="s">
        <v>4542</v>
      </c>
      <c r="L780" s="169" t="s">
        <v>4494</v>
      </c>
      <c r="M780" s="32" t="s">
        <v>997</v>
      </c>
    </row>
    <row r="781" spans="1:13" x14ac:dyDescent="0.25">
      <c r="A781" s="168">
        <v>46191</v>
      </c>
      <c r="B781" s="32">
        <v>2</v>
      </c>
      <c r="C781" s="32" t="s">
        <v>302</v>
      </c>
      <c r="D781" s="169" t="s">
        <v>303</v>
      </c>
      <c r="E781" s="169" t="s">
        <v>996</v>
      </c>
      <c r="F781" s="32" t="s">
        <v>997</v>
      </c>
      <c r="G781" s="32">
        <v>292</v>
      </c>
      <c r="H781" s="32" t="s">
        <v>7</v>
      </c>
      <c r="I781" s="32">
        <v>610</v>
      </c>
      <c r="J781" s="36">
        <v>6590.44</v>
      </c>
      <c r="K781" s="32" t="s">
        <v>4543</v>
      </c>
      <c r="L781" s="169" t="s">
        <v>4494</v>
      </c>
      <c r="M781" s="32" t="s">
        <v>997</v>
      </c>
    </row>
    <row r="782" spans="1:13" x14ac:dyDescent="0.25">
      <c r="A782" s="168">
        <v>46191</v>
      </c>
      <c r="B782" s="32">
        <v>2</v>
      </c>
      <c r="C782" s="32" t="s">
        <v>302</v>
      </c>
      <c r="D782" s="169" t="s">
        <v>303</v>
      </c>
      <c r="E782" s="169" t="s">
        <v>304</v>
      </c>
      <c r="F782" s="32" t="s">
        <v>278</v>
      </c>
      <c r="G782" s="32">
        <v>88</v>
      </c>
      <c r="H782" s="32" t="s">
        <v>7</v>
      </c>
      <c r="I782" s="32">
        <v>610</v>
      </c>
      <c r="J782" s="36">
        <v>1986.16</v>
      </c>
      <c r="K782" s="32" t="s">
        <v>4544</v>
      </c>
      <c r="L782" s="169" t="s">
        <v>4512</v>
      </c>
      <c r="M782" s="32" t="s">
        <v>1066</v>
      </c>
    </row>
    <row r="783" spans="1:13" x14ac:dyDescent="0.25">
      <c r="A783" s="168">
        <v>46191</v>
      </c>
      <c r="B783" s="32">
        <v>2</v>
      </c>
      <c r="C783" s="32" t="s">
        <v>298</v>
      </c>
      <c r="D783" s="169" t="s">
        <v>299</v>
      </c>
      <c r="E783" s="169" t="s">
        <v>276</v>
      </c>
      <c r="F783" s="32" t="s">
        <v>919</v>
      </c>
      <c r="G783" s="32">
        <v>358</v>
      </c>
      <c r="H783" s="32" t="s">
        <v>185</v>
      </c>
      <c r="I783" s="32">
        <v>6248</v>
      </c>
      <c r="J783" s="36">
        <v>7157.71</v>
      </c>
      <c r="K783" s="32" t="s">
        <v>4545</v>
      </c>
      <c r="L783" s="169" t="s">
        <v>4077</v>
      </c>
      <c r="M783" s="32" t="s">
        <v>15</v>
      </c>
    </row>
    <row r="784" spans="1:13" x14ac:dyDescent="0.25">
      <c r="A784" s="168">
        <v>46191</v>
      </c>
      <c r="B784" s="32">
        <v>2</v>
      </c>
      <c r="C784" s="32" t="s">
        <v>308</v>
      </c>
      <c r="D784" s="169" t="s">
        <v>309</v>
      </c>
      <c r="E784" s="169" t="s">
        <v>276</v>
      </c>
      <c r="F784" s="32" t="s">
        <v>919</v>
      </c>
      <c r="G784" s="32">
        <v>358</v>
      </c>
      <c r="H784" s="32" t="s">
        <v>279</v>
      </c>
      <c r="I784" s="32">
        <v>5676</v>
      </c>
      <c r="J784" s="36">
        <v>6502.43</v>
      </c>
      <c r="K784" s="32" t="s">
        <v>4546</v>
      </c>
      <c r="L784" s="169" t="s">
        <v>4527</v>
      </c>
      <c r="M784" s="32" t="s">
        <v>15</v>
      </c>
    </row>
    <row r="785" spans="1:13" x14ac:dyDescent="0.25">
      <c r="A785" s="168">
        <v>46192</v>
      </c>
      <c r="B785" s="32">
        <v>2</v>
      </c>
      <c r="C785" s="32" t="s">
        <v>305</v>
      </c>
      <c r="D785" s="169" t="s">
        <v>306</v>
      </c>
      <c r="E785" s="169" t="s">
        <v>291</v>
      </c>
      <c r="F785" s="32" t="s">
        <v>2087</v>
      </c>
      <c r="G785" s="32">
        <v>200</v>
      </c>
      <c r="H785" s="32" t="s">
        <v>207</v>
      </c>
      <c r="I785" s="32">
        <v>6172</v>
      </c>
      <c r="J785" s="36">
        <v>4567.28</v>
      </c>
      <c r="K785" s="32" t="s">
        <v>4547</v>
      </c>
      <c r="L785" s="169" t="s">
        <v>4186</v>
      </c>
      <c r="M785" s="32" t="s">
        <v>15</v>
      </c>
    </row>
    <row r="786" spans="1:13" x14ac:dyDescent="0.25">
      <c r="A786" s="168">
        <v>46192</v>
      </c>
      <c r="B786" s="32">
        <v>2</v>
      </c>
      <c r="C786" s="32" t="s">
        <v>308</v>
      </c>
      <c r="D786" s="169" t="s">
        <v>309</v>
      </c>
      <c r="E786" s="169" t="s">
        <v>291</v>
      </c>
      <c r="F786" s="32" t="s">
        <v>2864</v>
      </c>
      <c r="G786" s="32">
        <v>277</v>
      </c>
      <c r="H786" s="32" t="s">
        <v>207</v>
      </c>
      <c r="I786" s="32">
        <v>5626</v>
      </c>
      <c r="J786" s="36">
        <v>5766.09</v>
      </c>
      <c r="K786" s="32" t="s">
        <v>4548</v>
      </c>
      <c r="L786" s="169" t="s">
        <v>4549</v>
      </c>
      <c r="M786" s="32" t="s">
        <v>15</v>
      </c>
    </row>
    <row r="787" spans="1:13" x14ac:dyDescent="0.25">
      <c r="A787" s="168">
        <v>46192</v>
      </c>
      <c r="B787" s="32">
        <v>2</v>
      </c>
      <c r="C787" s="32" t="s">
        <v>298</v>
      </c>
      <c r="D787" s="169" t="s">
        <v>299</v>
      </c>
      <c r="E787" s="169" t="s">
        <v>291</v>
      </c>
      <c r="F787" s="32" t="s">
        <v>2864</v>
      </c>
      <c r="G787" s="32">
        <v>277</v>
      </c>
      <c r="H787" s="32" t="s">
        <v>207</v>
      </c>
      <c r="I787" s="32">
        <v>5574</v>
      </c>
      <c r="J787" s="36">
        <v>5712.79</v>
      </c>
      <c r="K787" s="32" t="s">
        <v>4550</v>
      </c>
      <c r="L787" s="169" t="s">
        <v>4549</v>
      </c>
      <c r="M787" s="32" t="s">
        <v>15</v>
      </c>
    </row>
    <row r="788" spans="1:13" x14ac:dyDescent="0.25">
      <c r="A788" s="168">
        <v>46193</v>
      </c>
      <c r="B788" s="32">
        <v>2</v>
      </c>
      <c r="C788" s="32" t="s">
        <v>289</v>
      </c>
      <c r="D788" s="169" t="s">
        <v>295</v>
      </c>
      <c r="E788" s="169" t="s">
        <v>276</v>
      </c>
      <c r="F788" s="32" t="s">
        <v>1415</v>
      </c>
      <c r="G788" s="32">
        <v>150</v>
      </c>
      <c r="H788" s="32" t="s">
        <v>207</v>
      </c>
      <c r="I788" s="32">
        <v>3988</v>
      </c>
      <c r="J788" s="36">
        <v>1914.24</v>
      </c>
      <c r="K788" s="32" t="s">
        <v>4551</v>
      </c>
      <c r="L788" s="169" t="s">
        <v>40</v>
      </c>
      <c r="M788" s="32" t="s">
        <v>15</v>
      </c>
    </row>
    <row r="789" spans="1:13" x14ac:dyDescent="0.25">
      <c r="A789" s="168">
        <v>46193</v>
      </c>
      <c r="B789" s="32">
        <v>2</v>
      </c>
      <c r="C789" s="32" t="s">
        <v>310</v>
      </c>
      <c r="D789" s="169" t="s">
        <v>311</v>
      </c>
      <c r="E789" s="169" t="s">
        <v>276</v>
      </c>
      <c r="F789" s="32" t="s">
        <v>1415</v>
      </c>
      <c r="G789" s="32">
        <v>150</v>
      </c>
      <c r="H789" s="32" t="s">
        <v>207</v>
      </c>
      <c r="I789" s="32">
        <v>3914</v>
      </c>
      <c r="J789" s="36">
        <v>1878.72</v>
      </c>
      <c r="K789" s="32" t="s">
        <v>4552</v>
      </c>
      <c r="L789" s="169" t="s">
        <v>40</v>
      </c>
      <c r="M789" s="32" t="s">
        <v>15</v>
      </c>
    </row>
    <row r="790" spans="1:13" x14ac:dyDescent="0.25">
      <c r="A790" s="168">
        <v>46195</v>
      </c>
      <c r="B790" s="32">
        <v>2</v>
      </c>
      <c r="C790" s="32" t="s">
        <v>289</v>
      </c>
      <c r="D790" s="169" t="s">
        <v>295</v>
      </c>
      <c r="E790" s="169" t="s">
        <v>291</v>
      </c>
      <c r="F790" s="32" t="s">
        <v>2087</v>
      </c>
      <c r="G790" s="32">
        <v>200</v>
      </c>
      <c r="H790" s="32" t="s">
        <v>207</v>
      </c>
      <c r="I790" s="32">
        <v>3064</v>
      </c>
      <c r="J790" s="36">
        <v>2267.36</v>
      </c>
      <c r="K790" s="32" t="s">
        <v>4553</v>
      </c>
      <c r="L790" s="169" t="s">
        <v>4186</v>
      </c>
      <c r="M790" s="32" t="s">
        <v>15</v>
      </c>
    </row>
    <row r="791" spans="1:13" x14ac:dyDescent="0.25">
      <c r="A791" s="168">
        <v>46195</v>
      </c>
      <c r="B791" s="32">
        <v>2</v>
      </c>
      <c r="C791" s="32" t="s">
        <v>289</v>
      </c>
      <c r="D791" s="169" t="s">
        <v>295</v>
      </c>
      <c r="E791" s="169" t="s">
        <v>1940</v>
      </c>
      <c r="F791" s="32" t="s">
        <v>1941</v>
      </c>
      <c r="G791" s="32">
        <v>110</v>
      </c>
      <c r="H791" s="32" t="s">
        <v>175</v>
      </c>
      <c r="I791" s="32">
        <v>2926</v>
      </c>
      <c r="J791" s="36">
        <v>1029.95</v>
      </c>
      <c r="K791" s="32" t="s">
        <v>4554</v>
      </c>
      <c r="L791" s="169" t="s">
        <v>4555</v>
      </c>
      <c r="M791" s="32" t="s">
        <v>15</v>
      </c>
    </row>
    <row r="792" spans="1:13" x14ac:dyDescent="0.25">
      <c r="A792" s="168">
        <v>46195</v>
      </c>
      <c r="B792" s="32">
        <v>2</v>
      </c>
      <c r="C792" s="32" t="s">
        <v>312</v>
      </c>
      <c r="D792" s="169" t="s">
        <v>313</v>
      </c>
      <c r="E792" s="169" t="s">
        <v>276</v>
      </c>
      <c r="F792" s="32" t="s">
        <v>277</v>
      </c>
      <c r="G792" s="32">
        <v>118</v>
      </c>
      <c r="H792" s="32" t="s">
        <v>165</v>
      </c>
      <c r="I792" s="32">
        <v>4036</v>
      </c>
      <c r="J792" s="36">
        <v>1523.99</v>
      </c>
      <c r="K792" s="32" t="s">
        <v>4556</v>
      </c>
      <c r="L792" s="169" t="s">
        <v>24</v>
      </c>
      <c r="M792" s="32" t="s">
        <v>15</v>
      </c>
    </row>
    <row r="793" spans="1:13" x14ac:dyDescent="0.25">
      <c r="A793" s="168">
        <v>46195</v>
      </c>
      <c r="B793" s="32">
        <v>2</v>
      </c>
      <c r="C793" s="32" t="s">
        <v>310</v>
      </c>
      <c r="D793" s="169" t="s">
        <v>311</v>
      </c>
      <c r="E793" s="169" t="s">
        <v>276</v>
      </c>
      <c r="F793" s="32" t="s">
        <v>1415</v>
      </c>
      <c r="G793" s="32">
        <v>150</v>
      </c>
      <c r="H793" s="32" t="s">
        <v>207</v>
      </c>
      <c r="I793" s="32">
        <v>406</v>
      </c>
      <c r="J793" s="36">
        <v>1948.8</v>
      </c>
      <c r="K793" s="32" t="s">
        <v>4557</v>
      </c>
      <c r="L793" s="169" t="s">
        <v>40</v>
      </c>
      <c r="M793" s="32" t="s">
        <v>15</v>
      </c>
    </row>
    <row r="794" spans="1:13" x14ac:dyDescent="0.25">
      <c r="A794" s="168">
        <v>46196</v>
      </c>
      <c r="B794" s="32">
        <v>2</v>
      </c>
      <c r="C794" s="32" t="s">
        <v>305</v>
      </c>
      <c r="D794" s="169" t="s">
        <v>306</v>
      </c>
      <c r="E794" s="169" t="s">
        <v>2757</v>
      </c>
      <c r="F794" s="32" t="s">
        <v>2867</v>
      </c>
      <c r="G794" s="32">
        <v>383</v>
      </c>
      <c r="H794" s="32" t="s">
        <v>221</v>
      </c>
      <c r="I794" s="32">
        <v>691</v>
      </c>
      <c r="J794" s="36">
        <v>8468.9</v>
      </c>
      <c r="K794" s="32" t="s">
        <v>4558</v>
      </c>
      <c r="L794" s="169" t="s">
        <v>3752</v>
      </c>
      <c r="M794" s="32" t="s">
        <v>15</v>
      </c>
    </row>
    <row r="795" spans="1:13" x14ac:dyDescent="0.25">
      <c r="A795" s="168">
        <v>46196</v>
      </c>
      <c r="B795" s="32">
        <v>2</v>
      </c>
      <c r="C795" s="32" t="s">
        <v>289</v>
      </c>
      <c r="D795" s="169" t="s">
        <v>295</v>
      </c>
      <c r="E795" s="169" t="s">
        <v>276</v>
      </c>
      <c r="F795" s="32" t="s">
        <v>919</v>
      </c>
      <c r="G795" s="32">
        <v>358</v>
      </c>
      <c r="H795" s="32" t="s">
        <v>207</v>
      </c>
      <c r="I795" s="32">
        <v>4016</v>
      </c>
      <c r="J795" s="36">
        <v>4600.7299999999996</v>
      </c>
      <c r="K795" s="32" t="s">
        <v>4559</v>
      </c>
      <c r="L795" s="169" t="s">
        <v>4277</v>
      </c>
      <c r="M795" s="32" t="s">
        <v>15</v>
      </c>
    </row>
    <row r="796" spans="1:13" x14ac:dyDescent="0.25">
      <c r="A796" s="168">
        <v>46196</v>
      </c>
      <c r="B796" s="32">
        <v>2</v>
      </c>
      <c r="C796" s="32" t="s">
        <v>302</v>
      </c>
      <c r="D796" s="169" t="s">
        <v>303</v>
      </c>
      <c r="E796" s="169" t="s">
        <v>996</v>
      </c>
      <c r="F796" s="32" t="s">
        <v>997</v>
      </c>
      <c r="G796" s="32">
        <v>292</v>
      </c>
      <c r="H796" s="32" t="s">
        <v>7</v>
      </c>
      <c r="I796" s="32">
        <v>600</v>
      </c>
      <c r="J796" s="36">
        <v>6482.4</v>
      </c>
      <c r="K796" s="32" t="s">
        <v>4560</v>
      </c>
      <c r="L796" s="169" t="s">
        <v>4494</v>
      </c>
      <c r="M796" s="32" t="s">
        <v>997</v>
      </c>
    </row>
    <row r="797" spans="1:13" x14ac:dyDescent="0.25">
      <c r="A797" s="168">
        <v>46196</v>
      </c>
      <c r="B797" s="32">
        <v>2</v>
      </c>
      <c r="C797" s="32" t="s">
        <v>310</v>
      </c>
      <c r="D797" s="169" t="s">
        <v>311</v>
      </c>
      <c r="E797" s="169" t="s">
        <v>276</v>
      </c>
      <c r="F797" s="32" t="s">
        <v>919</v>
      </c>
      <c r="G797" s="32">
        <v>358</v>
      </c>
      <c r="H797" s="32" t="s">
        <v>207</v>
      </c>
      <c r="I797" s="32">
        <v>3974</v>
      </c>
      <c r="J797" s="36">
        <v>4552.6099999999997</v>
      </c>
      <c r="K797" s="32" t="s">
        <v>4561</v>
      </c>
      <c r="L797" s="169" t="s">
        <v>4277</v>
      </c>
      <c r="M797" s="32" t="s">
        <v>15</v>
      </c>
    </row>
    <row r="798" spans="1:13" x14ac:dyDescent="0.25">
      <c r="A798" s="168">
        <v>46197</v>
      </c>
      <c r="B798" s="32">
        <v>2</v>
      </c>
      <c r="C798" s="32" t="s">
        <v>302</v>
      </c>
      <c r="D798" s="169" t="s">
        <v>303</v>
      </c>
      <c r="E798" s="169" t="s">
        <v>996</v>
      </c>
      <c r="F798" s="32" t="s">
        <v>997</v>
      </c>
      <c r="G798" s="32">
        <v>292</v>
      </c>
      <c r="H798" s="32" t="s">
        <v>7</v>
      </c>
      <c r="I798" s="32">
        <v>6001</v>
      </c>
      <c r="J798" s="36">
        <v>6483.48</v>
      </c>
      <c r="K798" s="32" t="s">
        <v>4562</v>
      </c>
      <c r="L798" s="169" t="s">
        <v>4494</v>
      </c>
      <c r="M798" s="32" t="s">
        <v>997</v>
      </c>
    </row>
    <row r="799" spans="1:13" x14ac:dyDescent="0.25">
      <c r="A799" s="168">
        <v>46197</v>
      </c>
      <c r="B799" s="32">
        <v>2</v>
      </c>
      <c r="C799" s="32" t="s">
        <v>302</v>
      </c>
      <c r="D799" s="169" t="s">
        <v>303</v>
      </c>
      <c r="E799" s="169" t="s">
        <v>304</v>
      </c>
      <c r="F799" s="32" t="s">
        <v>278</v>
      </c>
      <c r="G799" s="32">
        <v>88</v>
      </c>
      <c r="H799" s="32" t="s">
        <v>7</v>
      </c>
      <c r="I799" s="32">
        <v>5502</v>
      </c>
      <c r="J799" s="36">
        <v>1791.45</v>
      </c>
      <c r="K799" s="32" t="s">
        <v>4521</v>
      </c>
      <c r="L799" s="169" t="s">
        <v>4512</v>
      </c>
      <c r="M799" s="32" t="s">
        <v>1066</v>
      </c>
    </row>
    <row r="800" spans="1:13" x14ac:dyDescent="0.25">
      <c r="A800" s="168">
        <v>46198</v>
      </c>
      <c r="B800" s="32">
        <v>2</v>
      </c>
      <c r="C800" s="32" t="s">
        <v>298</v>
      </c>
      <c r="D800" s="169" t="s">
        <v>299</v>
      </c>
      <c r="E800" s="169" t="s">
        <v>2757</v>
      </c>
      <c r="F800" s="32" t="s">
        <v>2867</v>
      </c>
      <c r="G800" s="32">
        <v>383</v>
      </c>
      <c r="H800" s="32" t="s">
        <v>172</v>
      </c>
      <c r="I800" s="32">
        <v>6324</v>
      </c>
      <c r="J800" s="36">
        <v>7750.69</v>
      </c>
      <c r="K800" s="32" t="s">
        <v>4563</v>
      </c>
      <c r="L800" s="169" t="s">
        <v>3865</v>
      </c>
      <c r="M800" s="32" t="s">
        <v>15</v>
      </c>
    </row>
    <row r="801" spans="1:13" x14ac:dyDescent="0.25">
      <c r="A801" s="168">
        <v>46198</v>
      </c>
      <c r="B801" s="32">
        <v>2</v>
      </c>
      <c r="C801" s="32" t="s">
        <v>2873</v>
      </c>
      <c r="D801" s="169" t="s">
        <v>290</v>
      </c>
      <c r="E801" s="169" t="s">
        <v>2757</v>
      </c>
      <c r="F801" s="32" t="s">
        <v>2867</v>
      </c>
      <c r="G801" s="32">
        <v>383</v>
      </c>
      <c r="H801" s="32" t="s">
        <v>172</v>
      </c>
      <c r="I801" s="32">
        <v>5904</v>
      </c>
      <c r="J801" s="36">
        <v>7235.94</v>
      </c>
      <c r="K801" s="32" t="s">
        <v>4564</v>
      </c>
      <c r="L801" s="169" t="s">
        <v>3865</v>
      </c>
      <c r="M801" s="32" t="s">
        <v>15</v>
      </c>
    </row>
    <row r="802" spans="1:13" x14ac:dyDescent="0.25">
      <c r="A802" s="168">
        <v>46198</v>
      </c>
      <c r="B802" s="32">
        <v>2</v>
      </c>
      <c r="C802" s="32" t="s">
        <v>289</v>
      </c>
      <c r="D802" s="169" t="s">
        <v>295</v>
      </c>
      <c r="E802" s="169" t="s">
        <v>276</v>
      </c>
      <c r="F802" s="32" t="s">
        <v>919</v>
      </c>
      <c r="G802" s="32">
        <v>358</v>
      </c>
      <c r="H802" s="32" t="s">
        <v>207</v>
      </c>
      <c r="I802" s="32">
        <v>3924</v>
      </c>
      <c r="J802" s="36">
        <v>4495.33</v>
      </c>
      <c r="K802" s="32" t="s">
        <v>4565</v>
      </c>
      <c r="L802" s="169" t="s">
        <v>4277</v>
      </c>
      <c r="M802" s="32" t="s">
        <v>15</v>
      </c>
    </row>
    <row r="803" spans="1:13" x14ac:dyDescent="0.25">
      <c r="A803" s="168">
        <v>46198</v>
      </c>
      <c r="B803" s="32">
        <v>2</v>
      </c>
      <c r="C803" s="32" t="s">
        <v>312</v>
      </c>
      <c r="D803" s="169" t="s">
        <v>313</v>
      </c>
      <c r="E803" s="169" t="s">
        <v>276</v>
      </c>
      <c r="F803" s="32" t="s">
        <v>919</v>
      </c>
      <c r="G803" s="32">
        <v>358</v>
      </c>
      <c r="H803" s="32" t="s">
        <v>207</v>
      </c>
      <c r="I803" s="32">
        <v>4122</v>
      </c>
      <c r="J803" s="36">
        <v>4722.16</v>
      </c>
      <c r="K803" s="32" t="s">
        <v>4566</v>
      </c>
      <c r="L803" s="169" t="s">
        <v>4277</v>
      </c>
      <c r="M803" s="32" t="s">
        <v>15</v>
      </c>
    </row>
    <row r="804" spans="1:13" x14ac:dyDescent="0.25">
      <c r="A804" s="168">
        <v>46198</v>
      </c>
      <c r="B804" s="32">
        <v>2</v>
      </c>
      <c r="C804" s="32" t="s">
        <v>302</v>
      </c>
      <c r="D804" s="169" t="s">
        <v>303</v>
      </c>
      <c r="E804" s="169" t="s">
        <v>3701</v>
      </c>
      <c r="F804" s="32" t="s">
        <v>1066</v>
      </c>
      <c r="G804" s="32">
        <v>47</v>
      </c>
      <c r="H804" s="32" t="s">
        <v>7</v>
      </c>
      <c r="I804" s="32">
        <v>610</v>
      </c>
      <c r="J804" s="36">
        <v>1060.79</v>
      </c>
      <c r="K804" s="32" t="s">
        <v>4567</v>
      </c>
      <c r="L804" s="169" t="s">
        <v>4568</v>
      </c>
      <c r="M804" s="32" t="s">
        <v>1066</v>
      </c>
    </row>
    <row r="805" spans="1:13" x14ac:dyDescent="0.25">
      <c r="A805" s="168">
        <v>46199</v>
      </c>
      <c r="B805" s="32">
        <v>2</v>
      </c>
      <c r="C805" s="32" t="s">
        <v>305</v>
      </c>
      <c r="D805" s="169" t="s">
        <v>306</v>
      </c>
      <c r="E805" s="169" t="s">
        <v>2757</v>
      </c>
      <c r="F805" s="32" t="s">
        <v>2867</v>
      </c>
      <c r="G805" s="32">
        <v>383</v>
      </c>
      <c r="H805" s="32" t="s">
        <v>221</v>
      </c>
      <c r="I805" s="32">
        <v>6202</v>
      </c>
      <c r="J805" s="36">
        <v>7601.17</v>
      </c>
      <c r="K805" s="32" t="s">
        <v>4569</v>
      </c>
      <c r="L805" s="169" t="s">
        <v>3752</v>
      </c>
      <c r="M805" s="32" t="s">
        <v>15</v>
      </c>
    </row>
    <row r="806" spans="1:13" x14ac:dyDescent="0.25">
      <c r="A806" s="168">
        <v>46199</v>
      </c>
      <c r="B806" s="32">
        <v>2</v>
      </c>
      <c r="C806" s="32" t="s">
        <v>302</v>
      </c>
      <c r="D806" s="169" t="s">
        <v>303</v>
      </c>
      <c r="E806" s="169" t="s">
        <v>304</v>
      </c>
      <c r="F806" s="32" t="s">
        <v>278</v>
      </c>
      <c r="G806" s="32">
        <v>88</v>
      </c>
      <c r="H806" s="32" t="s">
        <v>7</v>
      </c>
      <c r="I806" s="32">
        <v>590</v>
      </c>
      <c r="J806" s="36">
        <v>1921.04</v>
      </c>
      <c r="K806" s="32" t="s">
        <v>4570</v>
      </c>
      <c r="L806" s="169" t="s">
        <v>4512</v>
      </c>
      <c r="M806" s="32" t="s">
        <v>1066</v>
      </c>
    </row>
    <row r="807" spans="1:13" x14ac:dyDescent="0.25">
      <c r="A807" s="168">
        <v>46200</v>
      </c>
      <c r="B807" s="32">
        <v>2</v>
      </c>
      <c r="C807" s="32" t="s">
        <v>302</v>
      </c>
      <c r="D807" s="169" t="s">
        <v>303</v>
      </c>
      <c r="E807" s="169" t="s">
        <v>3701</v>
      </c>
      <c r="F807" s="32" t="s">
        <v>1066</v>
      </c>
      <c r="G807" s="32">
        <v>47</v>
      </c>
      <c r="H807" s="32" t="s">
        <v>7</v>
      </c>
      <c r="I807" s="32">
        <v>650</v>
      </c>
      <c r="J807" s="36">
        <v>1130.3499999999999</v>
      </c>
      <c r="K807" s="32" t="s">
        <v>4571</v>
      </c>
      <c r="L807" s="169" t="s">
        <v>4568</v>
      </c>
      <c r="M807" s="32" t="s">
        <v>1066</v>
      </c>
    </row>
    <row r="808" spans="1:13" x14ac:dyDescent="0.25">
      <c r="A808" s="168">
        <v>46203</v>
      </c>
      <c r="B808" s="32">
        <v>2</v>
      </c>
      <c r="C808" s="32" t="s">
        <v>302</v>
      </c>
      <c r="D808" s="169" t="s">
        <v>303</v>
      </c>
      <c r="E808" s="169" t="s">
        <v>2748</v>
      </c>
      <c r="F808" s="32" t="s">
        <v>2749</v>
      </c>
      <c r="G808" s="32">
        <v>168</v>
      </c>
      <c r="H808" s="32" t="s">
        <v>175</v>
      </c>
      <c r="I808" s="32">
        <v>6007</v>
      </c>
      <c r="J808" s="36">
        <v>3229.36</v>
      </c>
      <c r="K808" s="32" t="s">
        <v>4572</v>
      </c>
      <c r="L808" s="169" t="s">
        <v>4573</v>
      </c>
      <c r="M808" s="32" t="s">
        <v>4473</v>
      </c>
    </row>
    <row r="809" spans="1:13" x14ac:dyDescent="0.25">
      <c r="A809" s="168">
        <v>46203</v>
      </c>
      <c r="B809" s="32">
        <v>2</v>
      </c>
      <c r="C809" s="32" t="s">
        <v>298</v>
      </c>
      <c r="D809" s="169" t="s">
        <v>299</v>
      </c>
      <c r="E809" s="169" t="s">
        <v>2757</v>
      </c>
      <c r="F809" s="32" t="s">
        <v>2867</v>
      </c>
      <c r="G809" s="32">
        <v>383</v>
      </c>
      <c r="H809" s="32" t="s">
        <v>172</v>
      </c>
      <c r="I809" s="32">
        <v>604</v>
      </c>
      <c r="J809" s="36">
        <v>7402.62</v>
      </c>
      <c r="K809" s="32" t="s">
        <v>4574</v>
      </c>
      <c r="L809" s="169" t="s">
        <v>3865</v>
      </c>
      <c r="M809" s="32" t="s">
        <v>15</v>
      </c>
    </row>
    <row r="810" spans="1:13" x14ac:dyDescent="0.25">
      <c r="J810" s="150">
        <v>1604128.6100000013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1109-05CD-4C27-9B8A-4EBC30298F2C}">
  <dimension ref="A1:M810"/>
  <sheetViews>
    <sheetView workbookViewId="0">
      <selection sqref="A1:M1"/>
    </sheetView>
  </sheetViews>
  <sheetFormatPr defaultRowHeight="15" x14ac:dyDescent="0.25"/>
  <cols>
    <col min="3" max="3" width="9" bestFit="1" customWidth="1"/>
    <col min="4" max="4" width="40.85546875" bestFit="1" customWidth="1"/>
    <col min="5" max="5" width="32.140625" bestFit="1" customWidth="1"/>
    <col min="6" max="6" width="37.28515625" bestFit="1" customWidth="1"/>
    <col min="7" max="7" width="11.28515625" bestFit="1" customWidth="1"/>
    <col min="10" max="10" width="14.5703125" bestFit="1" customWidth="1"/>
    <col min="11" max="11" width="21.42578125" bestFit="1" customWidth="1"/>
    <col min="12" max="12" width="68.7109375" bestFit="1" customWidth="1"/>
    <col min="13" max="13" width="26.140625" bestFit="1" customWidth="1"/>
  </cols>
  <sheetData>
    <row r="1" spans="1:13" ht="21" x14ac:dyDescent="0.35">
      <c r="A1" s="170" t="s">
        <v>4579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2"/>
    </row>
    <row r="2" spans="1:13" x14ac:dyDescent="0.25">
      <c r="A2" s="151" t="s">
        <v>0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5</v>
      </c>
      <c r="G2" s="151" t="s">
        <v>3733</v>
      </c>
      <c r="H2" s="153" t="s">
        <v>7</v>
      </c>
      <c r="I2" s="151" t="s">
        <v>8</v>
      </c>
      <c r="J2" s="154" t="s">
        <v>9</v>
      </c>
      <c r="K2" s="151" t="s">
        <v>10</v>
      </c>
      <c r="L2" s="151" t="s">
        <v>12</v>
      </c>
      <c r="M2" s="151" t="s">
        <v>13</v>
      </c>
    </row>
    <row r="3" spans="1:13" x14ac:dyDescent="0.25">
      <c r="A3" s="168">
        <v>46174</v>
      </c>
      <c r="B3" s="32">
        <v>1</v>
      </c>
      <c r="C3" s="32" t="s">
        <v>196</v>
      </c>
      <c r="D3" s="169" t="s">
        <v>197</v>
      </c>
      <c r="E3" s="169" t="s">
        <v>276</v>
      </c>
      <c r="F3" s="32" t="s">
        <v>2033</v>
      </c>
      <c r="G3" s="32">
        <v>323</v>
      </c>
      <c r="H3" s="32" t="s">
        <v>172</v>
      </c>
      <c r="I3" s="32">
        <v>6842</v>
      </c>
      <c r="J3" s="36">
        <v>7071.89</v>
      </c>
      <c r="K3" s="32" t="s">
        <v>3734</v>
      </c>
      <c r="L3" s="169" t="s">
        <v>3735</v>
      </c>
      <c r="M3" s="32" t="s">
        <v>15</v>
      </c>
    </row>
    <row r="4" spans="1:13" x14ac:dyDescent="0.25">
      <c r="A4" s="168">
        <v>46174</v>
      </c>
      <c r="B4" s="32">
        <v>1</v>
      </c>
      <c r="C4" s="32" t="s">
        <v>342</v>
      </c>
      <c r="D4" s="169" t="s">
        <v>171</v>
      </c>
      <c r="E4" s="169" t="s">
        <v>163</v>
      </c>
      <c r="F4" s="32" t="s">
        <v>164</v>
      </c>
      <c r="G4" s="32">
        <v>52</v>
      </c>
      <c r="H4" s="32" t="s">
        <v>185</v>
      </c>
      <c r="I4" s="32">
        <v>4518</v>
      </c>
      <c r="J4" s="36">
        <v>869.26</v>
      </c>
      <c r="K4" s="32" t="s">
        <v>3736</v>
      </c>
      <c r="L4" s="169" t="s">
        <v>20</v>
      </c>
      <c r="M4" s="32" t="s">
        <v>224</v>
      </c>
    </row>
    <row r="5" spans="1:13" x14ac:dyDescent="0.25">
      <c r="A5" s="168">
        <v>46174</v>
      </c>
      <c r="B5" s="32">
        <v>1</v>
      </c>
      <c r="C5" s="32" t="s">
        <v>199</v>
      </c>
      <c r="D5" s="169" t="s">
        <v>180</v>
      </c>
      <c r="E5" s="169" t="s">
        <v>163</v>
      </c>
      <c r="F5" s="32" t="s">
        <v>111</v>
      </c>
      <c r="G5" s="32">
        <v>75</v>
      </c>
      <c r="H5" s="32" t="s">
        <v>185</v>
      </c>
      <c r="I5" s="32">
        <v>2758</v>
      </c>
      <c r="J5" s="36">
        <v>765.35</v>
      </c>
      <c r="K5" s="32" t="s">
        <v>3737</v>
      </c>
      <c r="L5" s="169" t="s">
        <v>3738</v>
      </c>
      <c r="M5" s="32" t="s">
        <v>111</v>
      </c>
    </row>
    <row r="6" spans="1:13" x14ac:dyDescent="0.25">
      <c r="A6" s="168">
        <v>46174</v>
      </c>
      <c r="B6" s="32">
        <v>1</v>
      </c>
      <c r="C6" s="32" t="s">
        <v>188</v>
      </c>
      <c r="D6" s="169" t="s">
        <v>189</v>
      </c>
      <c r="E6" s="169" t="s">
        <v>276</v>
      </c>
      <c r="F6" s="32" t="s">
        <v>2033</v>
      </c>
      <c r="G6" s="32">
        <v>323</v>
      </c>
      <c r="H6" s="32" t="s">
        <v>172</v>
      </c>
      <c r="I6" s="32">
        <v>7208</v>
      </c>
      <c r="J6" s="36">
        <v>7450.19</v>
      </c>
      <c r="K6" s="32" t="s">
        <v>3739</v>
      </c>
      <c r="L6" s="169" t="s">
        <v>3735</v>
      </c>
      <c r="M6" s="32" t="s">
        <v>15</v>
      </c>
    </row>
    <row r="7" spans="1:13" x14ac:dyDescent="0.25">
      <c r="A7" s="168">
        <v>46174</v>
      </c>
      <c r="B7" s="32">
        <v>1</v>
      </c>
      <c r="C7" s="32" t="s">
        <v>342</v>
      </c>
      <c r="D7" s="169" t="s">
        <v>171</v>
      </c>
      <c r="E7" s="169" t="s">
        <v>163</v>
      </c>
      <c r="F7" s="32" t="s">
        <v>164</v>
      </c>
      <c r="G7" s="32">
        <v>52</v>
      </c>
      <c r="H7" s="32" t="s">
        <v>185</v>
      </c>
      <c r="I7" s="32">
        <v>4618</v>
      </c>
      <c r="J7" s="36">
        <v>888.5</v>
      </c>
      <c r="K7" s="32" t="s">
        <v>3740</v>
      </c>
      <c r="L7" s="169" t="s">
        <v>20</v>
      </c>
      <c r="M7" s="32" t="s">
        <v>224</v>
      </c>
    </row>
    <row r="8" spans="1:13" x14ac:dyDescent="0.25">
      <c r="A8" s="168">
        <v>46174</v>
      </c>
      <c r="B8" s="32">
        <v>1</v>
      </c>
      <c r="C8" s="32" t="s">
        <v>283</v>
      </c>
      <c r="D8" s="169" t="s">
        <v>282</v>
      </c>
      <c r="E8" s="169" t="s">
        <v>163</v>
      </c>
      <c r="F8" s="32" t="s">
        <v>111</v>
      </c>
      <c r="G8" s="32">
        <v>75</v>
      </c>
      <c r="H8" s="32" t="s">
        <v>169</v>
      </c>
      <c r="I8" s="32">
        <v>2612</v>
      </c>
      <c r="J8" s="36">
        <v>724.83</v>
      </c>
      <c r="K8" s="32" t="s">
        <v>3741</v>
      </c>
      <c r="L8" s="169" t="s">
        <v>3742</v>
      </c>
      <c r="M8" s="32" t="s">
        <v>111</v>
      </c>
    </row>
    <row r="9" spans="1:13" x14ac:dyDescent="0.25">
      <c r="A9" s="168">
        <v>46174</v>
      </c>
      <c r="B9" s="32">
        <v>1</v>
      </c>
      <c r="C9" s="32" t="s">
        <v>283</v>
      </c>
      <c r="D9" s="169" t="s">
        <v>282</v>
      </c>
      <c r="E9" s="169" t="s">
        <v>166</v>
      </c>
      <c r="F9" s="32" t="s">
        <v>1178</v>
      </c>
      <c r="G9" s="32">
        <v>51</v>
      </c>
      <c r="H9" s="32" t="s">
        <v>169</v>
      </c>
      <c r="I9" s="32">
        <v>264</v>
      </c>
      <c r="J9" s="36">
        <v>498.17</v>
      </c>
      <c r="K9" s="32" t="s">
        <v>3743</v>
      </c>
      <c r="L9" s="169" t="s">
        <v>3744</v>
      </c>
      <c r="M9" s="32" t="s">
        <v>1178</v>
      </c>
    </row>
    <row r="10" spans="1:13" x14ac:dyDescent="0.25">
      <c r="A10" s="168">
        <v>46174</v>
      </c>
      <c r="B10" s="32">
        <v>1</v>
      </c>
      <c r="C10" s="32" t="s">
        <v>199</v>
      </c>
      <c r="D10" s="169" t="s">
        <v>180</v>
      </c>
      <c r="E10" s="169" t="s">
        <v>163</v>
      </c>
      <c r="F10" s="32" t="s">
        <v>111</v>
      </c>
      <c r="G10" s="32">
        <v>75</v>
      </c>
      <c r="H10" s="32" t="s">
        <v>185</v>
      </c>
      <c r="I10" s="32">
        <v>271</v>
      </c>
      <c r="J10" s="36">
        <v>752.03</v>
      </c>
      <c r="K10" s="32" t="s">
        <v>3745</v>
      </c>
      <c r="L10" s="169" t="s">
        <v>3738</v>
      </c>
      <c r="M10" s="32" t="s">
        <v>111</v>
      </c>
    </row>
    <row r="11" spans="1:13" x14ac:dyDescent="0.25">
      <c r="A11" s="168">
        <v>46174</v>
      </c>
      <c r="B11" s="32">
        <v>1</v>
      </c>
      <c r="C11" s="32" t="s">
        <v>1129</v>
      </c>
      <c r="D11" s="169" t="s">
        <v>2396</v>
      </c>
      <c r="E11" s="169" t="s">
        <v>163</v>
      </c>
      <c r="F11" s="32" t="s">
        <v>111</v>
      </c>
      <c r="G11" s="32">
        <v>75</v>
      </c>
      <c r="H11" s="32" t="s">
        <v>185</v>
      </c>
      <c r="I11" s="32">
        <v>2694</v>
      </c>
      <c r="J11" s="36">
        <v>747.59</v>
      </c>
      <c r="K11" s="32" t="s">
        <v>3746</v>
      </c>
      <c r="L11" s="169" t="s">
        <v>3738</v>
      </c>
      <c r="M11" s="32" t="s">
        <v>111</v>
      </c>
    </row>
    <row r="12" spans="1:13" x14ac:dyDescent="0.25">
      <c r="A12" s="168">
        <v>46174</v>
      </c>
      <c r="B12" s="32">
        <v>1</v>
      </c>
      <c r="C12" s="32" t="s">
        <v>1129</v>
      </c>
      <c r="D12" s="169" t="s">
        <v>2396</v>
      </c>
      <c r="E12" s="169" t="s">
        <v>163</v>
      </c>
      <c r="F12" s="32" t="s">
        <v>111</v>
      </c>
      <c r="G12" s="32">
        <v>75</v>
      </c>
      <c r="H12" s="32" t="s">
        <v>185</v>
      </c>
      <c r="I12" s="32">
        <v>2534</v>
      </c>
      <c r="J12" s="36">
        <v>703.19</v>
      </c>
      <c r="K12" s="32" t="s">
        <v>3747</v>
      </c>
      <c r="L12" s="169" t="s">
        <v>3738</v>
      </c>
      <c r="M12" s="32" t="s">
        <v>111</v>
      </c>
    </row>
    <row r="13" spans="1:13" x14ac:dyDescent="0.25">
      <c r="A13" s="168">
        <v>46174</v>
      </c>
      <c r="B13" s="32">
        <v>1</v>
      </c>
      <c r="C13" s="32" t="s">
        <v>286</v>
      </c>
      <c r="D13" s="169" t="s">
        <v>506</v>
      </c>
      <c r="E13" s="169" t="s">
        <v>190</v>
      </c>
      <c r="F13" s="32" t="s">
        <v>198</v>
      </c>
      <c r="G13" s="32">
        <v>70</v>
      </c>
      <c r="H13" s="32" t="s">
        <v>165</v>
      </c>
      <c r="I13" s="32">
        <v>4634</v>
      </c>
      <c r="J13" s="36">
        <v>1200.21</v>
      </c>
      <c r="K13" s="32" t="s">
        <v>3748</v>
      </c>
      <c r="L13" s="169" t="s">
        <v>30</v>
      </c>
      <c r="M13" s="32" t="s">
        <v>224</v>
      </c>
    </row>
    <row r="14" spans="1:13" x14ac:dyDescent="0.25">
      <c r="A14" s="168">
        <v>46174</v>
      </c>
      <c r="B14" s="32">
        <v>1</v>
      </c>
      <c r="C14" s="32" t="s">
        <v>286</v>
      </c>
      <c r="D14" s="169" t="s">
        <v>506</v>
      </c>
      <c r="E14" s="169" t="s">
        <v>163</v>
      </c>
      <c r="F14" s="32" t="s">
        <v>164</v>
      </c>
      <c r="G14" s="32">
        <v>52</v>
      </c>
      <c r="H14" s="32" t="s">
        <v>165</v>
      </c>
      <c r="I14" s="32">
        <v>4474</v>
      </c>
      <c r="J14" s="36">
        <v>860.8</v>
      </c>
      <c r="K14" s="32" t="s">
        <v>3749</v>
      </c>
      <c r="L14" s="169" t="s">
        <v>31</v>
      </c>
      <c r="M14" s="32" t="s">
        <v>224</v>
      </c>
    </row>
    <row r="15" spans="1:13" x14ac:dyDescent="0.25">
      <c r="A15" s="168">
        <v>46174</v>
      </c>
      <c r="B15" s="32">
        <v>1</v>
      </c>
      <c r="C15" s="32" t="s">
        <v>208</v>
      </c>
      <c r="D15" s="169" t="s">
        <v>209</v>
      </c>
      <c r="E15" s="169" t="s">
        <v>166</v>
      </c>
      <c r="F15" s="32" t="s">
        <v>223</v>
      </c>
      <c r="G15" s="32">
        <v>370</v>
      </c>
      <c r="H15" s="32" t="s">
        <v>165</v>
      </c>
      <c r="I15" s="32">
        <v>520</v>
      </c>
      <c r="J15" s="36">
        <v>7118.8</v>
      </c>
      <c r="K15" s="32" t="s">
        <v>3750</v>
      </c>
      <c r="L15" s="169" t="s">
        <v>29</v>
      </c>
      <c r="M15" s="32" t="s">
        <v>223</v>
      </c>
    </row>
    <row r="16" spans="1:13" x14ac:dyDescent="0.25">
      <c r="A16" s="168">
        <v>46174</v>
      </c>
      <c r="B16" s="32">
        <v>1</v>
      </c>
      <c r="C16" s="32" t="s">
        <v>205</v>
      </c>
      <c r="D16" s="169" t="s">
        <v>206</v>
      </c>
      <c r="E16" s="169" t="s">
        <v>2757</v>
      </c>
      <c r="F16" s="32" t="s">
        <v>2867</v>
      </c>
      <c r="G16" s="32">
        <v>383</v>
      </c>
      <c r="H16" s="32" t="s">
        <v>221</v>
      </c>
      <c r="I16" s="32">
        <v>548</v>
      </c>
      <c r="J16" s="36">
        <v>6716.29</v>
      </c>
      <c r="K16" s="32" t="s">
        <v>3751</v>
      </c>
      <c r="L16" s="169" t="s">
        <v>3752</v>
      </c>
      <c r="M16" s="32" t="s">
        <v>15</v>
      </c>
    </row>
    <row r="17" spans="1:13" x14ac:dyDescent="0.25">
      <c r="A17" s="168">
        <v>46174</v>
      </c>
      <c r="B17" s="32">
        <v>1</v>
      </c>
      <c r="C17" s="32" t="s">
        <v>183</v>
      </c>
      <c r="D17" s="169" t="s">
        <v>184</v>
      </c>
      <c r="E17" s="169" t="s">
        <v>163</v>
      </c>
      <c r="F17" s="32" t="s">
        <v>111</v>
      </c>
      <c r="G17" s="32">
        <v>75</v>
      </c>
      <c r="H17" s="32" t="s">
        <v>169</v>
      </c>
      <c r="I17" s="32">
        <v>2774</v>
      </c>
      <c r="J17" s="36">
        <v>769.79</v>
      </c>
      <c r="K17" s="32" t="s">
        <v>3753</v>
      </c>
      <c r="L17" s="169" t="s">
        <v>3742</v>
      </c>
      <c r="M17" s="32" t="s">
        <v>111</v>
      </c>
    </row>
    <row r="18" spans="1:13" x14ac:dyDescent="0.25">
      <c r="A18" s="168">
        <v>46174</v>
      </c>
      <c r="B18" s="32">
        <v>1</v>
      </c>
      <c r="C18" s="32" t="s">
        <v>183</v>
      </c>
      <c r="D18" s="169" t="s">
        <v>184</v>
      </c>
      <c r="E18" s="169" t="s">
        <v>163</v>
      </c>
      <c r="F18" s="32" t="s">
        <v>111</v>
      </c>
      <c r="G18" s="32">
        <v>75</v>
      </c>
      <c r="H18" s="32" t="s">
        <v>169</v>
      </c>
      <c r="I18" s="32">
        <v>2656</v>
      </c>
      <c r="J18" s="36">
        <v>737.04</v>
      </c>
      <c r="K18" s="32" t="s">
        <v>3754</v>
      </c>
      <c r="L18" s="169" t="s">
        <v>3742</v>
      </c>
      <c r="M18" s="32" t="s">
        <v>111</v>
      </c>
    </row>
    <row r="19" spans="1:13" x14ac:dyDescent="0.25">
      <c r="A19" s="168">
        <v>46174</v>
      </c>
      <c r="B19" s="32">
        <v>1</v>
      </c>
      <c r="C19" s="32" t="s">
        <v>188</v>
      </c>
      <c r="D19" s="169" t="s">
        <v>189</v>
      </c>
      <c r="E19" s="169" t="s">
        <v>276</v>
      </c>
      <c r="F19" s="32" t="s">
        <v>307</v>
      </c>
      <c r="G19" s="32">
        <v>175</v>
      </c>
      <c r="H19" s="32" t="s">
        <v>221</v>
      </c>
      <c r="I19" s="32">
        <v>7636</v>
      </c>
      <c r="J19" s="36">
        <v>4276.16</v>
      </c>
      <c r="K19" s="32" t="s">
        <v>3755</v>
      </c>
      <c r="L19" s="169" t="s">
        <v>3756</v>
      </c>
      <c r="M19" s="32" t="s">
        <v>307</v>
      </c>
    </row>
    <row r="20" spans="1:13" x14ac:dyDescent="0.25">
      <c r="A20" s="168">
        <v>46174</v>
      </c>
      <c r="B20" s="32">
        <v>1</v>
      </c>
      <c r="C20" s="32" t="s">
        <v>202</v>
      </c>
      <c r="D20" s="169" t="s">
        <v>214</v>
      </c>
      <c r="E20" s="169" t="s">
        <v>166</v>
      </c>
      <c r="F20" s="32" t="s">
        <v>223</v>
      </c>
      <c r="G20" s="32">
        <v>370</v>
      </c>
      <c r="H20" s="32" t="s">
        <v>165</v>
      </c>
      <c r="I20" s="32">
        <v>6362</v>
      </c>
      <c r="J20" s="36">
        <v>8709.58</v>
      </c>
      <c r="K20" s="32" t="s">
        <v>3757</v>
      </c>
      <c r="L20" s="169" t="s">
        <v>29</v>
      </c>
      <c r="M20" s="32" t="s">
        <v>223</v>
      </c>
    </row>
    <row r="21" spans="1:13" x14ac:dyDescent="0.25">
      <c r="A21" s="168">
        <v>46174</v>
      </c>
      <c r="B21" s="32">
        <v>1</v>
      </c>
      <c r="C21" s="32" t="s">
        <v>219</v>
      </c>
      <c r="D21" s="169" t="s">
        <v>220</v>
      </c>
      <c r="E21" s="169" t="s">
        <v>166</v>
      </c>
      <c r="F21" s="32" t="s">
        <v>164</v>
      </c>
      <c r="G21" s="32">
        <v>58</v>
      </c>
      <c r="H21" s="32" t="s">
        <v>175</v>
      </c>
      <c r="I21" s="32">
        <v>407</v>
      </c>
      <c r="J21" s="36">
        <v>873.42</v>
      </c>
      <c r="K21" s="32" t="s">
        <v>3758</v>
      </c>
      <c r="L21" s="169" t="s">
        <v>86</v>
      </c>
      <c r="M21" s="32" t="s">
        <v>224</v>
      </c>
    </row>
    <row r="22" spans="1:13" x14ac:dyDescent="0.25">
      <c r="A22" s="168">
        <v>46174</v>
      </c>
      <c r="B22" s="32">
        <v>1</v>
      </c>
      <c r="C22" s="32" t="s">
        <v>219</v>
      </c>
      <c r="D22" s="169" t="s">
        <v>220</v>
      </c>
      <c r="E22" s="169" t="s">
        <v>163</v>
      </c>
      <c r="F22" s="32" t="s">
        <v>164</v>
      </c>
      <c r="G22" s="32">
        <v>52</v>
      </c>
      <c r="H22" s="32" t="s">
        <v>175</v>
      </c>
      <c r="I22" s="32">
        <v>581</v>
      </c>
      <c r="J22" s="36">
        <v>1117.8399999999999</v>
      </c>
      <c r="K22" s="32" t="s">
        <v>3759</v>
      </c>
      <c r="L22" s="169" t="s">
        <v>21</v>
      </c>
      <c r="M22" s="32" t="s">
        <v>224</v>
      </c>
    </row>
    <row r="23" spans="1:13" x14ac:dyDescent="0.25">
      <c r="A23" s="168">
        <v>46174</v>
      </c>
      <c r="B23" s="32">
        <v>1</v>
      </c>
      <c r="C23" s="32" t="s">
        <v>275</v>
      </c>
      <c r="D23" s="169" t="s">
        <v>178</v>
      </c>
      <c r="E23" s="169" t="s">
        <v>166</v>
      </c>
      <c r="F23" s="32" t="s">
        <v>164</v>
      </c>
      <c r="G23" s="32">
        <v>58</v>
      </c>
      <c r="H23" s="32" t="s">
        <v>175</v>
      </c>
      <c r="I23" s="32">
        <v>5024</v>
      </c>
      <c r="J23" s="36">
        <v>1078.1500000000001</v>
      </c>
      <c r="K23" s="32" t="s">
        <v>3760</v>
      </c>
      <c r="L23" s="169" t="s">
        <v>86</v>
      </c>
      <c r="M23" s="32" t="s">
        <v>224</v>
      </c>
    </row>
    <row r="24" spans="1:13" x14ac:dyDescent="0.25">
      <c r="A24" s="168">
        <v>46174</v>
      </c>
      <c r="B24" s="32">
        <v>1</v>
      </c>
      <c r="C24" s="32" t="s">
        <v>275</v>
      </c>
      <c r="D24" s="169" t="s">
        <v>178</v>
      </c>
      <c r="E24" s="169" t="s">
        <v>166</v>
      </c>
      <c r="F24" s="32" t="s">
        <v>164</v>
      </c>
      <c r="G24" s="32">
        <v>58</v>
      </c>
      <c r="H24" s="32" t="s">
        <v>165</v>
      </c>
      <c r="I24" s="32">
        <v>4532</v>
      </c>
      <c r="J24" s="36">
        <v>972.57</v>
      </c>
      <c r="K24" s="32" t="s">
        <v>3761</v>
      </c>
      <c r="L24" s="169" t="s">
        <v>27</v>
      </c>
      <c r="M24" s="32" t="s">
        <v>224</v>
      </c>
    </row>
    <row r="25" spans="1:13" x14ac:dyDescent="0.25">
      <c r="A25" s="168">
        <v>46174</v>
      </c>
      <c r="B25" s="32">
        <v>1</v>
      </c>
      <c r="C25" s="32" t="s">
        <v>193</v>
      </c>
      <c r="D25" s="169" t="s">
        <v>285</v>
      </c>
      <c r="E25" s="169" t="s">
        <v>163</v>
      </c>
      <c r="F25" s="32" t="s">
        <v>111</v>
      </c>
      <c r="G25" s="32">
        <v>75</v>
      </c>
      <c r="H25" s="32" t="s">
        <v>185</v>
      </c>
      <c r="I25" s="32">
        <v>2752</v>
      </c>
      <c r="J25" s="36">
        <v>763.68</v>
      </c>
      <c r="K25" s="32" t="s">
        <v>3762</v>
      </c>
      <c r="L25" s="169" t="s">
        <v>3738</v>
      </c>
      <c r="M25" s="32" t="s">
        <v>111</v>
      </c>
    </row>
    <row r="26" spans="1:13" x14ac:dyDescent="0.25">
      <c r="A26" s="168">
        <v>46174</v>
      </c>
      <c r="B26" s="32">
        <v>1</v>
      </c>
      <c r="C26" s="32" t="s">
        <v>193</v>
      </c>
      <c r="D26" s="169" t="s">
        <v>285</v>
      </c>
      <c r="E26" s="169" t="s">
        <v>163</v>
      </c>
      <c r="F26" s="32" t="s">
        <v>111</v>
      </c>
      <c r="G26" s="32">
        <v>75</v>
      </c>
      <c r="H26" s="32" t="s">
        <v>185</v>
      </c>
      <c r="I26" s="32">
        <v>254</v>
      </c>
      <c r="J26" s="36">
        <v>704.85</v>
      </c>
      <c r="K26" s="32" t="s">
        <v>3763</v>
      </c>
      <c r="L26" s="169" t="s">
        <v>3738</v>
      </c>
      <c r="M26" s="32" t="s">
        <v>111</v>
      </c>
    </row>
    <row r="27" spans="1:13" x14ac:dyDescent="0.25">
      <c r="A27" s="168">
        <v>46174</v>
      </c>
      <c r="B27" s="32">
        <v>1</v>
      </c>
      <c r="C27" s="32" t="s">
        <v>270</v>
      </c>
      <c r="D27" s="169" t="s">
        <v>288</v>
      </c>
      <c r="E27" s="169" t="s">
        <v>166</v>
      </c>
      <c r="F27" s="32" t="s">
        <v>223</v>
      </c>
      <c r="G27" s="32">
        <v>370</v>
      </c>
      <c r="H27" s="32" t="s">
        <v>165</v>
      </c>
      <c r="I27" s="32">
        <v>5148</v>
      </c>
      <c r="J27" s="36">
        <v>6095.23</v>
      </c>
      <c r="K27" s="32" t="s">
        <v>3764</v>
      </c>
      <c r="L27" s="169" t="s">
        <v>29</v>
      </c>
      <c r="M27" s="32" t="s">
        <v>223</v>
      </c>
    </row>
    <row r="28" spans="1:13" x14ac:dyDescent="0.25">
      <c r="A28" s="168">
        <v>46174</v>
      </c>
      <c r="B28" s="32">
        <v>1</v>
      </c>
      <c r="C28" s="32" t="s">
        <v>186</v>
      </c>
      <c r="D28" s="169" t="s">
        <v>187</v>
      </c>
      <c r="E28" s="169" t="s">
        <v>276</v>
      </c>
      <c r="F28" s="32" t="s">
        <v>2033</v>
      </c>
      <c r="G28" s="32">
        <v>323</v>
      </c>
      <c r="H28" s="32" t="s">
        <v>207</v>
      </c>
      <c r="I28" s="32">
        <v>5448</v>
      </c>
      <c r="J28" s="36">
        <v>5631.05</v>
      </c>
      <c r="K28" s="32" t="s">
        <v>3765</v>
      </c>
      <c r="L28" s="169" t="s">
        <v>3766</v>
      </c>
      <c r="M28" s="32" t="s">
        <v>15</v>
      </c>
    </row>
    <row r="29" spans="1:13" x14ac:dyDescent="0.25">
      <c r="A29" s="168">
        <v>46174</v>
      </c>
      <c r="B29" s="32">
        <v>1</v>
      </c>
      <c r="C29" s="32" t="s">
        <v>179</v>
      </c>
      <c r="D29" s="169" t="s">
        <v>2863</v>
      </c>
      <c r="E29" s="169" t="s">
        <v>166</v>
      </c>
      <c r="F29" s="32" t="s">
        <v>111</v>
      </c>
      <c r="G29" s="32">
        <v>79</v>
      </c>
      <c r="H29" s="32" t="s">
        <v>169</v>
      </c>
      <c r="I29" s="32">
        <v>260</v>
      </c>
      <c r="J29" s="36">
        <v>759.98</v>
      </c>
      <c r="K29" s="32" t="s">
        <v>3767</v>
      </c>
      <c r="L29" s="169" t="s">
        <v>116</v>
      </c>
      <c r="M29" s="32" t="s">
        <v>111</v>
      </c>
    </row>
    <row r="30" spans="1:13" x14ac:dyDescent="0.25">
      <c r="A30" s="168">
        <v>46174</v>
      </c>
      <c r="B30" s="32">
        <v>1</v>
      </c>
      <c r="C30" s="32" t="s">
        <v>179</v>
      </c>
      <c r="D30" s="169" t="s">
        <v>2863</v>
      </c>
      <c r="E30" s="169" t="s">
        <v>166</v>
      </c>
      <c r="F30" s="32" t="s">
        <v>111</v>
      </c>
      <c r="G30" s="32">
        <v>79</v>
      </c>
      <c r="H30" s="32" t="s">
        <v>169</v>
      </c>
      <c r="I30" s="32">
        <v>2564</v>
      </c>
      <c r="J30" s="36">
        <v>749.46</v>
      </c>
      <c r="K30" s="32" t="s">
        <v>3768</v>
      </c>
      <c r="L30" s="169" t="s">
        <v>116</v>
      </c>
      <c r="M30" s="32" t="s">
        <v>111</v>
      </c>
    </row>
    <row r="31" spans="1:13" x14ac:dyDescent="0.25">
      <c r="A31" s="168">
        <v>46174</v>
      </c>
      <c r="B31" s="32">
        <v>1</v>
      </c>
      <c r="C31" s="32" t="s">
        <v>173</v>
      </c>
      <c r="D31" s="169" t="s">
        <v>174</v>
      </c>
      <c r="E31" s="169" t="s">
        <v>163</v>
      </c>
      <c r="F31" s="32" t="s">
        <v>164</v>
      </c>
      <c r="G31" s="32">
        <v>52</v>
      </c>
      <c r="H31" s="32" t="s">
        <v>175</v>
      </c>
      <c r="I31" s="32">
        <v>2656</v>
      </c>
      <c r="J31" s="36">
        <v>511.01</v>
      </c>
      <c r="K31" s="32" t="s">
        <v>3769</v>
      </c>
      <c r="L31" s="169" t="s">
        <v>21</v>
      </c>
      <c r="M31" s="32" t="s">
        <v>224</v>
      </c>
    </row>
    <row r="32" spans="1:13" x14ac:dyDescent="0.25">
      <c r="A32" s="168">
        <v>46175</v>
      </c>
      <c r="B32" s="32">
        <v>1</v>
      </c>
      <c r="C32" s="32" t="s">
        <v>196</v>
      </c>
      <c r="D32" s="169" t="s">
        <v>197</v>
      </c>
      <c r="E32" s="169" t="s">
        <v>276</v>
      </c>
      <c r="F32" s="32" t="s">
        <v>307</v>
      </c>
      <c r="G32" s="32">
        <v>175</v>
      </c>
      <c r="H32" s="32" t="s">
        <v>165</v>
      </c>
      <c r="I32" s="32">
        <v>794</v>
      </c>
      <c r="J32" s="36">
        <v>4446.3999999999996</v>
      </c>
      <c r="K32" s="32" t="s">
        <v>3770</v>
      </c>
      <c r="L32" s="169" t="s">
        <v>3771</v>
      </c>
      <c r="M32" s="32" t="s">
        <v>307</v>
      </c>
    </row>
    <row r="33" spans="1:13" x14ac:dyDescent="0.25">
      <c r="A33" s="168">
        <v>46175</v>
      </c>
      <c r="B33" s="32">
        <v>1</v>
      </c>
      <c r="C33" s="32" t="s">
        <v>342</v>
      </c>
      <c r="D33" s="169" t="s">
        <v>171</v>
      </c>
      <c r="E33" s="169" t="s">
        <v>163</v>
      </c>
      <c r="F33" s="32" t="s">
        <v>164</v>
      </c>
      <c r="G33" s="32">
        <v>52</v>
      </c>
      <c r="H33" s="32" t="s">
        <v>185</v>
      </c>
      <c r="I33" s="32">
        <v>4504</v>
      </c>
      <c r="J33" s="36">
        <v>866.57</v>
      </c>
      <c r="K33" s="32" t="s">
        <v>3772</v>
      </c>
      <c r="L33" s="169" t="s">
        <v>20</v>
      </c>
      <c r="M33" s="32" t="s">
        <v>224</v>
      </c>
    </row>
    <row r="34" spans="1:13" x14ac:dyDescent="0.25">
      <c r="A34" s="168">
        <v>46175</v>
      </c>
      <c r="B34" s="32">
        <v>1</v>
      </c>
      <c r="C34" s="32" t="s">
        <v>2866</v>
      </c>
      <c r="D34" s="169" t="s">
        <v>281</v>
      </c>
      <c r="E34" s="169" t="s">
        <v>166</v>
      </c>
      <c r="F34" s="32" t="s">
        <v>164</v>
      </c>
      <c r="G34" s="32">
        <v>58</v>
      </c>
      <c r="H34" s="32" t="s">
        <v>165</v>
      </c>
      <c r="I34" s="32">
        <v>4042</v>
      </c>
      <c r="J34" s="36">
        <v>867.41</v>
      </c>
      <c r="K34" s="32" t="s">
        <v>3773</v>
      </c>
      <c r="L34" s="169" t="s">
        <v>27</v>
      </c>
      <c r="M34" s="32" t="s">
        <v>224</v>
      </c>
    </row>
    <row r="35" spans="1:13" x14ac:dyDescent="0.25">
      <c r="A35" s="168">
        <v>46175</v>
      </c>
      <c r="B35" s="32">
        <v>1</v>
      </c>
      <c r="C35" s="32" t="s">
        <v>199</v>
      </c>
      <c r="D35" s="169" t="s">
        <v>180</v>
      </c>
      <c r="E35" s="169" t="s">
        <v>163</v>
      </c>
      <c r="F35" s="32" t="s">
        <v>111</v>
      </c>
      <c r="G35" s="32">
        <v>75</v>
      </c>
      <c r="H35" s="32" t="s">
        <v>185</v>
      </c>
      <c r="I35" s="32">
        <v>2708</v>
      </c>
      <c r="J35" s="36">
        <v>751.47</v>
      </c>
      <c r="K35" s="32" t="s">
        <v>3774</v>
      </c>
      <c r="L35" s="169" t="s">
        <v>3738</v>
      </c>
      <c r="M35" s="32" t="s">
        <v>111</v>
      </c>
    </row>
    <row r="36" spans="1:13" x14ac:dyDescent="0.25">
      <c r="A36" s="168">
        <v>46175</v>
      </c>
      <c r="B36" s="32">
        <v>1</v>
      </c>
      <c r="C36" s="32" t="s">
        <v>342</v>
      </c>
      <c r="D36" s="169" t="s">
        <v>171</v>
      </c>
      <c r="E36" s="169" t="s">
        <v>163</v>
      </c>
      <c r="F36" s="32" t="s">
        <v>164</v>
      </c>
      <c r="G36" s="32">
        <v>52</v>
      </c>
      <c r="H36" s="32" t="s">
        <v>185</v>
      </c>
      <c r="I36" s="32">
        <v>4518</v>
      </c>
      <c r="J36" s="36">
        <v>869.26</v>
      </c>
      <c r="K36" s="32" t="s">
        <v>3775</v>
      </c>
      <c r="L36" s="169" t="s">
        <v>20</v>
      </c>
      <c r="M36" s="32" t="s">
        <v>224</v>
      </c>
    </row>
    <row r="37" spans="1:13" x14ac:dyDescent="0.25">
      <c r="A37" s="168">
        <v>46175</v>
      </c>
      <c r="B37" s="32">
        <v>1</v>
      </c>
      <c r="C37" s="32" t="s">
        <v>192</v>
      </c>
      <c r="D37" s="169" t="s">
        <v>287</v>
      </c>
      <c r="E37" s="169" t="s">
        <v>2868</v>
      </c>
      <c r="F37" s="32" t="s">
        <v>2871</v>
      </c>
      <c r="G37" s="32">
        <v>70</v>
      </c>
      <c r="H37" s="32" t="s">
        <v>2869</v>
      </c>
      <c r="I37" s="32">
        <v>570</v>
      </c>
      <c r="J37" s="36">
        <v>1476.3</v>
      </c>
      <c r="K37" s="32" t="s">
        <v>3776</v>
      </c>
      <c r="L37" s="169" t="s">
        <v>3777</v>
      </c>
      <c r="M37" s="32" t="s">
        <v>157</v>
      </c>
    </row>
    <row r="38" spans="1:13" x14ac:dyDescent="0.25">
      <c r="A38" s="168">
        <v>46175</v>
      </c>
      <c r="B38" s="32">
        <v>1</v>
      </c>
      <c r="C38" s="32" t="s">
        <v>188</v>
      </c>
      <c r="D38" s="169" t="s">
        <v>189</v>
      </c>
      <c r="E38" s="169" t="s">
        <v>276</v>
      </c>
      <c r="F38" s="32" t="s">
        <v>307</v>
      </c>
      <c r="G38" s="32">
        <v>175</v>
      </c>
      <c r="H38" s="32" t="s">
        <v>221</v>
      </c>
      <c r="I38" s="32">
        <v>7184</v>
      </c>
      <c r="J38" s="36">
        <v>4023.04</v>
      </c>
      <c r="K38" s="32" t="s">
        <v>3778</v>
      </c>
      <c r="L38" s="169" t="s">
        <v>3756</v>
      </c>
      <c r="M38" s="32" t="s">
        <v>307</v>
      </c>
    </row>
    <row r="39" spans="1:13" x14ac:dyDescent="0.25">
      <c r="A39" s="168">
        <v>46175</v>
      </c>
      <c r="B39" s="32">
        <v>1</v>
      </c>
      <c r="C39" s="32" t="s">
        <v>202</v>
      </c>
      <c r="D39" s="169" t="s">
        <v>214</v>
      </c>
      <c r="E39" s="169" t="s">
        <v>166</v>
      </c>
      <c r="F39" s="32" t="s">
        <v>191</v>
      </c>
      <c r="G39" s="32">
        <v>243</v>
      </c>
      <c r="H39" s="32" t="s">
        <v>165</v>
      </c>
      <c r="I39" s="32">
        <v>6052</v>
      </c>
      <c r="J39" s="36">
        <v>5441.35</v>
      </c>
      <c r="K39" s="32" t="s">
        <v>3779</v>
      </c>
      <c r="L39" s="169" t="s">
        <v>36</v>
      </c>
      <c r="M39" s="32" t="s">
        <v>3780</v>
      </c>
    </row>
    <row r="40" spans="1:13" x14ac:dyDescent="0.25">
      <c r="A40" s="168">
        <v>46175</v>
      </c>
      <c r="B40" s="32">
        <v>1</v>
      </c>
      <c r="C40" s="32" t="s">
        <v>199</v>
      </c>
      <c r="D40" s="169" t="s">
        <v>180</v>
      </c>
      <c r="E40" s="169" t="s">
        <v>163</v>
      </c>
      <c r="F40" s="32" t="s">
        <v>111</v>
      </c>
      <c r="G40" s="32">
        <v>75</v>
      </c>
      <c r="H40" s="32" t="s">
        <v>185</v>
      </c>
      <c r="I40" s="32">
        <v>2808</v>
      </c>
      <c r="J40" s="36">
        <v>779.22</v>
      </c>
      <c r="K40" s="32" t="s">
        <v>3781</v>
      </c>
      <c r="L40" s="169" t="s">
        <v>3738</v>
      </c>
      <c r="M40" s="32" t="s">
        <v>111</v>
      </c>
    </row>
    <row r="41" spans="1:13" x14ac:dyDescent="0.25">
      <c r="A41" s="168">
        <v>46175</v>
      </c>
      <c r="B41" s="32">
        <v>1</v>
      </c>
      <c r="C41" s="32" t="s">
        <v>275</v>
      </c>
      <c r="D41" s="169" t="s">
        <v>178</v>
      </c>
      <c r="E41" s="169" t="s">
        <v>166</v>
      </c>
      <c r="F41" s="32" t="s">
        <v>164</v>
      </c>
      <c r="G41" s="32">
        <v>58</v>
      </c>
      <c r="H41" s="32" t="s">
        <v>165</v>
      </c>
      <c r="I41" s="32">
        <v>4664</v>
      </c>
      <c r="J41" s="36">
        <v>1000.89</v>
      </c>
      <c r="K41" s="32" t="s">
        <v>3782</v>
      </c>
      <c r="L41" s="169" t="s">
        <v>27</v>
      </c>
      <c r="M41" s="32" t="s">
        <v>224</v>
      </c>
    </row>
    <row r="42" spans="1:13" x14ac:dyDescent="0.25">
      <c r="A42" s="168">
        <v>46175</v>
      </c>
      <c r="B42" s="32">
        <v>1</v>
      </c>
      <c r="C42" s="32" t="s">
        <v>275</v>
      </c>
      <c r="D42" s="169" t="s">
        <v>178</v>
      </c>
      <c r="E42" s="169" t="s">
        <v>166</v>
      </c>
      <c r="F42" s="32" t="s">
        <v>164</v>
      </c>
      <c r="G42" s="32">
        <v>58</v>
      </c>
      <c r="H42" s="32" t="s">
        <v>165</v>
      </c>
      <c r="I42" s="32">
        <v>4648</v>
      </c>
      <c r="J42" s="36">
        <v>997.46</v>
      </c>
      <c r="K42" s="32" t="s">
        <v>3783</v>
      </c>
      <c r="L42" s="169" t="s">
        <v>27</v>
      </c>
      <c r="M42" s="32" t="s">
        <v>224</v>
      </c>
    </row>
    <row r="43" spans="1:13" x14ac:dyDescent="0.25">
      <c r="A43" s="168">
        <v>46175</v>
      </c>
      <c r="B43" s="32">
        <v>1</v>
      </c>
      <c r="C43" s="32" t="s">
        <v>203</v>
      </c>
      <c r="D43" s="169" t="s">
        <v>204</v>
      </c>
      <c r="E43" s="169" t="s">
        <v>3562</v>
      </c>
      <c r="F43" s="32" t="s">
        <v>2868</v>
      </c>
      <c r="G43" s="32">
        <v>56</v>
      </c>
      <c r="H43" s="32" t="s">
        <v>2869</v>
      </c>
      <c r="I43" s="32">
        <v>5158</v>
      </c>
      <c r="J43" s="36">
        <v>1068.74</v>
      </c>
      <c r="K43" s="32" t="s">
        <v>3784</v>
      </c>
      <c r="L43" s="169" t="s">
        <v>3785</v>
      </c>
      <c r="M43" s="32" t="s">
        <v>157</v>
      </c>
    </row>
    <row r="44" spans="1:13" x14ac:dyDescent="0.25">
      <c r="A44" s="168">
        <v>46175</v>
      </c>
      <c r="B44" s="32">
        <v>1</v>
      </c>
      <c r="C44" s="32" t="s">
        <v>208</v>
      </c>
      <c r="D44" s="169" t="s">
        <v>209</v>
      </c>
      <c r="E44" s="169" t="s">
        <v>166</v>
      </c>
      <c r="F44" s="32" t="s">
        <v>191</v>
      </c>
      <c r="G44" s="32">
        <v>243</v>
      </c>
      <c r="H44" s="32" t="s">
        <v>165</v>
      </c>
      <c r="I44" s="32">
        <v>500</v>
      </c>
      <c r="J44" s="36">
        <v>4495.5</v>
      </c>
      <c r="K44" s="32" t="s">
        <v>3786</v>
      </c>
      <c r="L44" s="169" t="s">
        <v>36</v>
      </c>
      <c r="M44" s="32" t="s">
        <v>3780</v>
      </c>
    </row>
    <row r="45" spans="1:13" x14ac:dyDescent="0.25">
      <c r="A45" s="168">
        <v>46175</v>
      </c>
      <c r="B45" s="32">
        <v>1</v>
      </c>
      <c r="C45" s="32" t="s">
        <v>183</v>
      </c>
      <c r="D45" s="169" t="s">
        <v>184</v>
      </c>
      <c r="E45" s="169" t="s">
        <v>163</v>
      </c>
      <c r="F45" s="32" t="s">
        <v>111</v>
      </c>
      <c r="G45" s="32">
        <v>75</v>
      </c>
      <c r="H45" s="32" t="s">
        <v>169</v>
      </c>
      <c r="I45" s="32">
        <v>2702</v>
      </c>
      <c r="J45" s="36">
        <v>749.81</v>
      </c>
      <c r="K45" s="32" t="s">
        <v>3787</v>
      </c>
      <c r="L45" s="169" t="s">
        <v>3742</v>
      </c>
      <c r="M45" s="32" t="s">
        <v>111</v>
      </c>
    </row>
    <row r="46" spans="1:13" x14ac:dyDescent="0.25">
      <c r="A46" s="168">
        <v>46175</v>
      </c>
      <c r="B46" s="32">
        <v>1</v>
      </c>
      <c r="C46" s="32" t="s">
        <v>183</v>
      </c>
      <c r="D46" s="169" t="s">
        <v>184</v>
      </c>
      <c r="E46" s="169" t="s">
        <v>163</v>
      </c>
      <c r="F46" s="32" t="s">
        <v>111</v>
      </c>
      <c r="G46" s="32">
        <v>75</v>
      </c>
      <c r="H46" s="32" t="s">
        <v>169</v>
      </c>
      <c r="I46" s="32">
        <v>2956</v>
      </c>
      <c r="J46" s="36">
        <v>820.29</v>
      </c>
      <c r="K46" s="32" t="s">
        <v>3788</v>
      </c>
      <c r="L46" s="169" t="s">
        <v>3742</v>
      </c>
      <c r="M46" s="32" t="s">
        <v>111</v>
      </c>
    </row>
    <row r="47" spans="1:13" x14ac:dyDescent="0.25">
      <c r="A47" s="168">
        <v>46175</v>
      </c>
      <c r="B47" s="32">
        <v>1</v>
      </c>
      <c r="C47" s="32" t="s">
        <v>183</v>
      </c>
      <c r="D47" s="169" t="s">
        <v>184</v>
      </c>
      <c r="E47" s="169" t="s">
        <v>163</v>
      </c>
      <c r="F47" s="32" t="s">
        <v>111</v>
      </c>
      <c r="G47" s="32">
        <v>75</v>
      </c>
      <c r="H47" s="32" t="s">
        <v>169</v>
      </c>
      <c r="I47" s="32">
        <v>2782</v>
      </c>
      <c r="J47" s="36">
        <v>772.01</v>
      </c>
      <c r="K47" s="32" t="s">
        <v>3789</v>
      </c>
      <c r="L47" s="169" t="s">
        <v>3742</v>
      </c>
      <c r="M47" s="32" t="s">
        <v>111</v>
      </c>
    </row>
    <row r="48" spans="1:13" x14ac:dyDescent="0.25">
      <c r="A48" s="168">
        <v>46175</v>
      </c>
      <c r="B48" s="32">
        <v>1</v>
      </c>
      <c r="C48" s="32" t="s">
        <v>179</v>
      </c>
      <c r="D48" s="169" t="s">
        <v>2863</v>
      </c>
      <c r="E48" s="169" t="s">
        <v>166</v>
      </c>
      <c r="F48" s="32" t="s">
        <v>111</v>
      </c>
      <c r="G48" s="32">
        <v>79</v>
      </c>
      <c r="H48" s="32" t="s">
        <v>169</v>
      </c>
      <c r="I48" s="32">
        <v>254</v>
      </c>
      <c r="J48" s="36">
        <v>742.44</v>
      </c>
      <c r="K48" s="32" t="s">
        <v>3790</v>
      </c>
      <c r="L48" s="169" t="s">
        <v>116</v>
      </c>
      <c r="M48" s="32" t="s">
        <v>111</v>
      </c>
    </row>
    <row r="49" spans="1:13" x14ac:dyDescent="0.25">
      <c r="A49" s="168">
        <v>46175</v>
      </c>
      <c r="B49" s="32">
        <v>1</v>
      </c>
      <c r="C49" s="32" t="s">
        <v>179</v>
      </c>
      <c r="D49" s="169" t="s">
        <v>2863</v>
      </c>
      <c r="E49" s="169" t="s">
        <v>166</v>
      </c>
      <c r="F49" s="32" t="s">
        <v>111</v>
      </c>
      <c r="G49" s="32">
        <v>79</v>
      </c>
      <c r="H49" s="32" t="s">
        <v>169</v>
      </c>
      <c r="I49" s="32">
        <v>2704</v>
      </c>
      <c r="J49" s="36">
        <v>790.38</v>
      </c>
      <c r="K49" s="32" t="s">
        <v>3791</v>
      </c>
      <c r="L49" s="169" t="s">
        <v>116</v>
      </c>
      <c r="M49" s="32" t="s">
        <v>111</v>
      </c>
    </row>
    <row r="50" spans="1:13" x14ac:dyDescent="0.25">
      <c r="A50" s="168">
        <v>46175</v>
      </c>
      <c r="B50" s="32">
        <v>1</v>
      </c>
      <c r="C50" s="32" t="s">
        <v>219</v>
      </c>
      <c r="D50" s="169" t="s">
        <v>220</v>
      </c>
      <c r="E50" s="169" t="s">
        <v>163</v>
      </c>
      <c r="F50" s="32" t="s">
        <v>164</v>
      </c>
      <c r="G50" s="32">
        <v>52</v>
      </c>
      <c r="H50" s="32" t="s">
        <v>165</v>
      </c>
      <c r="I50" s="32">
        <v>625</v>
      </c>
      <c r="J50" s="36">
        <v>1202.5</v>
      </c>
      <c r="K50" s="32" t="s">
        <v>3792</v>
      </c>
      <c r="L50" s="169" t="s">
        <v>31</v>
      </c>
      <c r="M50" s="32" t="s">
        <v>224</v>
      </c>
    </row>
    <row r="51" spans="1:13" x14ac:dyDescent="0.25">
      <c r="A51" s="168">
        <v>46175</v>
      </c>
      <c r="B51" s="32">
        <v>1</v>
      </c>
      <c r="C51" s="32" t="s">
        <v>219</v>
      </c>
      <c r="D51" s="169" t="s">
        <v>220</v>
      </c>
      <c r="E51" s="169" t="s">
        <v>163</v>
      </c>
      <c r="F51" s="32" t="s">
        <v>164</v>
      </c>
      <c r="G51" s="32">
        <v>52</v>
      </c>
      <c r="H51" s="32" t="s">
        <v>165</v>
      </c>
      <c r="I51" s="32">
        <v>599</v>
      </c>
      <c r="J51" s="36">
        <v>1152.48</v>
      </c>
      <c r="K51" s="32" t="s">
        <v>3793</v>
      </c>
      <c r="L51" s="169" t="s">
        <v>31</v>
      </c>
      <c r="M51" s="32" t="s">
        <v>224</v>
      </c>
    </row>
    <row r="52" spans="1:13" x14ac:dyDescent="0.25">
      <c r="A52" s="168">
        <v>46175</v>
      </c>
      <c r="B52" s="32">
        <v>1</v>
      </c>
      <c r="C52" s="32" t="s">
        <v>219</v>
      </c>
      <c r="D52" s="169" t="s">
        <v>220</v>
      </c>
      <c r="E52" s="169" t="s">
        <v>163</v>
      </c>
      <c r="F52" s="32" t="s">
        <v>164</v>
      </c>
      <c r="G52" s="32">
        <v>52</v>
      </c>
      <c r="H52" s="32" t="s">
        <v>175</v>
      </c>
      <c r="I52" s="32">
        <v>423</v>
      </c>
      <c r="J52" s="36">
        <v>813.85</v>
      </c>
      <c r="K52" s="32" t="s">
        <v>3794</v>
      </c>
      <c r="L52" s="169" t="s">
        <v>21</v>
      </c>
      <c r="M52" s="32" t="s">
        <v>224</v>
      </c>
    </row>
    <row r="53" spans="1:13" x14ac:dyDescent="0.25">
      <c r="A53" s="168">
        <v>46175</v>
      </c>
      <c r="B53" s="32">
        <v>1</v>
      </c>
      <c r="C53" s="32" t="s">
        <v>219</v>
      </c>
      <c r="D53" s="169" t="s">
        <v>220</v>
      </c>
      <c r="E53" s="169" t="s">
        <v>163</v>
      </c>
      <c r="F53" s="32" t="s">
        <v>164</v>
      </c>
      <c r="G53" s="32">
        <v>52</v>
      </c>
      <c r="H53" s="32" t="s">
        <v>175</v>
      </c>
      <c r="I53" s="32">
        <v>419</v>
      </c>
      <c r="J53" s="36">
        <v>806.16</v>
      </c>
      <c r="K53" s="32" t="s">
        <v>3795</v>
      </c>
      <c r="L53" s="169" t="s">
        <v>21</v>
      </c>
      <c r="M53" s="32" t="s">
        <v>224</v>
      </c>
    </row>
    <row r="54" spans="1:13" x14ac:dyDescent="0.25">
      <c r="A54" s="168">
        <v>46175</v>
      </c>
      <c r="B54" s="32">
        <v>1</v>
      </c>
      <c r="C54" s="32" t="s">
        <v>193</v>
      </c>
      <c r="D54" s="169" t="s">
        <v>285</v>
      </c>
      <c r="E54" s="169" t="s">
        <v>163</v>
      </c>
      <c r="F54" s="32" t="s">
        <v>111</v>
      </c>
      <c r="G54" s="32">
        <v>75</v>
      </c>
      <c r="H54" s="32" t="s">
        <v>185</v>
      </c>
      <c r="I54" s="32">
        <v>2632</v>
      </c>
      <c r="J54" s="36">
        <v>730.38</v>
      </c>
      <c r="K54" s="32" t="s">
        <v>3796</v>
      </c>
      <c r="L54" s="169" t="s">
        <v>3738</v>
      </c>
      <c r="M54" s="32" t="s">
        <v>111</v>
      </c>
    </row>
    <row r="55" spans="1:13" x14ac:dyDescent="0.25">
      <c r="A55" s="168">
        <v>46175</v>
      </c>
      <c r="B55" s="32">
        <v>1</v>
      </c>
      <c r="C55" s="32" t="s">
        <v>193</v>
      </c>
      <c r="D55" s="169" t="s">
        <v>285</v>
      </c>
      <c r="E55" s="169" t="s">
        <v>163</v>
      </c>
      <c r="F55" s="32" t="s">
        <v>111</v>
      </c>
      <c r="G55" s="32">
        <v>75</v>
      </c>
      <c r="H55" s="32" t="s">
        <v>185</v>
      </c>
      <c r="I55" s="32">
        <v>2656</v>
      </c>
      <c r="J55" s="36">
        <v>737.04</v>
      </c>
      <c r="K55" s="32" t="s">
        <v>3797</v>
      </c>
      <c r="L55" s="169" t="s">
        <v>3738</v>
      </c>
      <c r="M55" s="32" t="s">
        <v>111</v>
      </c>
    </row>
    <row r="56" spans="1:13" x14ac:dyDescent="0.25">
      <c r="A56" s="168">
        <v>46175</v>
      </c>
      <c r="B56" s="32">
        <v>1</v>
      </c>
      <c r="C56" s="32" t="s">
        <v>1129</v>
      </c>
      <c r="D56" s="169" t="s">
        <v>2396</v>
      </c>
      <c r="E56" s="169" t="s">
        <v>163</v>
      </c>
      <c r="F56" s="32" t="s">
        <v>111</v>
      </c>
      <c r="G56" s="32">
        <v>75</v>
      </c>
      <c r="H56" s="32" t="s">
        <v>185</v>
      </c>
      <c r="I56" s="32">
        <v>260</v>
      </c>
      <c r="J56" s="36">
        <v>721.5</v>
      </c>
      <c r="K56" s="32" t="s">
        <v>3798</v>
      </c>
      <c r="L56" s="169" t="s">
        <v>3738</v>
      </c>
      <c r="M56" s="32" t="s">
        <v>111</v>
      </c>
    </row>
    <row r="57" spans="1:13" x14ac:dyDescent="0.25">
      <c r="A57" s="168">
        <v>46175</v>
      </c>
      <c r="B57" s="32">
        <v>1</v>
      </c>
      <c r="C57" s="32" t="s">
        <v>1129</v>
      </c>
      <c r="D57" s="169" t="s">
        <v>2396</v>
      </c>
      <c r="E57" s="169" t="s">
        <v>163</v>
      </c>
      <c r="F57" s="32" t="s">
        <v>111</v>
      </c>
      <c r="G57" s="32">
        <v>75</v>
      </c>
      <c r="H57" s="32" t="s">
        <v>185</v>
      </c>
      <c r="I57" s="32">
        <v>282</v>
      </c>
      <c r="J57" s="36">
        <v>782.55</v>
      </c>
      <c r="K57" s="32" t="s">
        <v>3799</v>
      </c>
      <c r="L57" s="169" t="s">
        <v>3738</v>
      </c>
      <c r="M57" s="32" t="s">
        <v>111</v>
      </c>
    </row>
    <row r="58" spans="1:13" x14ac:dyDescent="0.25">
      <c r="A58" s="168">
        <v>46175</v>
      </c>
      <c r="B58" s="32">
        <v>1</v>
      </c>
      <c r="C58" s="32" t="s">
        <v>270</v>
      </c>
      <c r="D58" s="169" t="s">
        <v>288</v>
      </c>
      <c r="E58" s="169" t="s">
        <v>166</v>
      </c>
      <c r="F58" s="32" t="s">
        <v>191</v>
      </c>
      <c r="G58" s="32">
        <v>243</v>
      </c>
      <c r="H58" s="32" t="s">
        <v>165</v>
      </c>
      <c r="I58" s="32">
        <v>4812</v>
      </c>
      <c r="J58" s="36">
        <v>3741.81</v>
      </c>
      <c r="K58" s="32" t="s">
        <v>3800</v>
      </c>
      <c r="L58" s="169" t="s">
        <v>36</v>
      </c>
      <c r="M58" s="32" t="s">
        <v>3780</v>
      </c>
    </row>
    <row r="59" spans="1:13" x14ac:dyDescent="0.25">
      <c r="A59" s="168">
        <v>46175</v>
      </c>
      <c r="B59" s="32">
        <v>1</v>
      </c>
      <c r="C59" s="32" t="s">
        <v>286</v>
      </c>
      <c r="D59" s="169" t="s">
        <v>506</v>
      </c>
      <c r="E59" s="169" t="s">
        <v>163</v>
      </c>
      <c r="F59" s="32" t="s">
        <v>164</v>
      </c>
      <c r="G59" s="32">
        <v>52</v>
      </c>
      <c r="H59" s="32" t="s">
        <v>175</v>
      </c>
      <c r="I59" s="32">
        <v>4582</v>
      </c>
      <c r="J59" s="36">
        <v>881.58</v>
      </c>
      <c r="K59" s="32" t="s">
        <v>3801</v>
      </c>
      <c r="L59" s="169" t="s">
        <v>21</v>
      </c>
      <c r="M59" s="32" t="s">
        <v>224</v>
      </c>
    </row>
    <row r="60" spans="1:13" x14ac:dyDescent="0.25">
      <c r="A60" s="168">
        <v>46175</v>
      </c>
      <c r="B60" s="32">
        <v>1</v>
      </c>
      <c r="C60" s="32" t="s">
        <v>286</v>
      </c>
      <c r="D60" s="169" t="s">
        <v>506</v>
      </c>
      <c r="E60" s="169" t="s">
        <v>163</v>
      </c>
      <c r="F60" s="32" t="s">
        <v>164</v>
      </c>
      <c r="G60" s="32">
        <v>52</v>
      </c>
      <c r="H60" s="32" t="s">
        <v>175</v>
      </c>
      <c r="I60" s="32">
        <v>4604</v>
      </c>
      <c r="J60" s="36">
        <v>885.81</v>
      </c>
      <c r="K60" s="32" t="s">
        <v>3802</v>
      </c>
      <c r="L60" s="169" t="s">
        <v>21</v>
      </c>
      <c r="M60" s="32" t="s">
        <v>224</v>
      </c>
    </row>
    <row r="61" spans="1:13" x14ac:dyDescent="0.25">
      <c r="A61" s="168">
        <v>46175</v>
      </c>
      <c r="B61" s="32">
        <v>1</v>
      </c>
      <c r="C61" s="32" t="s">
        <v>173</v>
      </c>
      <c r="D61" s="169" t="s">
        <v>174</v>
      </c>
      <c r="E61" s="169" t="s">
        <v>166</v>
      </c>
      <c r="F61" s="32" t="s">
        <v>111</v>
      </c>
      <c r="G61" s="32">
        <v>79</v>
      </c>
      <c r="H61" s="32" t="s">
        <v>172</v>
      </c>
      <c r="I61" s="32">
        <v>2508</v>
      </c>
      <c r="J61" s="36">
        <v>733.09</v>
      </c>
      <c r="K61" s="32" t="s">
        <v>3803</v>
      </c>
      <c r="L61" s="169" t="s">
        <v>117</v>
      </c>
      <c r="M61" s="32" t="s">
        <v>111</v>
      </c>
    </row>
    <row r="62" spans="1:13" x14ac:dyDescent="0.25">
      <c r="A62" s="168">
        <v>46175</v>
      </c>
      <c r="B62" s="32">
        <v>1</v>
      </c>
      <c r="C62" s="32" t="s">
        <v>173</v>
      </c>
      <c r="D62" s="169" t="s">
        <v>174</v>
      </c>
      <c r="E62" s="169" t="s">
        <v>166</v>
      </c>
      <c r="F62" s="32" t="s">
        <v>111</v>
      </c>
      <c r="G62" s="32">
        <v>79</v>
      </c>
      <c r="H62" s="32" t="s">
        <v>172</v>
      </c>
      <c r="I62" s="32">
        <v>2422</v>
      </c>
      <c r="J62" s="36">
        <v>707.95</v>
      </c>
      <c r="K62" s="32" t="s">
        <v>3804</v>
      </c>
      <c r="L62" s="169" t="s">
        <v>117</v>
      </c>
      <c r="M62" s="32" t="s">
        <v>111</v>
      </c>
    </row>
    <row r="63" spans="1:13" x14ac:dyDescent="0.25">
      <c r="A63" s="168">
        <v>46176</v>
      </c>
      <c r="B63" s="32">
        <v>1</v>
      </c>
      <c r="C63" s="32" t="s">
        <v>219</v>
      </c>
      <c r="D63" s="169" t="s">
        <v>220</v>
      </c>
      <c r="E63" s="169" t="s">
        <v>166</v>
      </c>
      <c r="F63" s="32" t="s">
        <v>164</v>
      </c>
      <c r="G63" s="32">
        <v>58</v>
      </c>
      <c r="H63" s="32" t="s">
        <v>165</v>
      </c>
      <c r="I63" s="32">
        <v>365</v>
      </c>
      <c r="J63" s="36">
        <v>783.29</v>
      </c>
      <c r="K63" s="32" t="s">
        <v>3805</v>
      </c>
      <c r="L63" s="169" t="s">
        <v>27</v>
      </c>
      <c r="M63" s="32" t="s">
        <v>224</v>
      </c>
    </row>
    <row r="64" spans="1:13" x14ac:dyDescent="0.25">
      <c r="A64" s="168">
        <v>46176</v>
      </c>
      <c r="B64" s="32">
        <v>1</v>
      </c>
      <c r="C64" s="32" t="s">
        <v>219</v>
      </c>
      <c r="D64" s="169" t="s">
        <v>220</v>
      </c>
      <c r="E64" s="169" t="s">
        <v>166</v>
      </c>
      <c r="F64" s="32" t="s">
        <v>164</v>
      </c>
      <c r="G64" s="32">
        <v>58</v>
      </c>
      <c r="H64" s="32" t="s">
        <v>175</v>
      </c>
      <c r="I64" s="32">
        <v>368</v>
      </c>
      <c r="J64" s="36">
        <v>789.73</v>
      </c>
      <c r="K64" s="32" t="s">
        <v>3806</v>
      </c>
      <c r="L64" s="169" t="s">
        <v>86</v>
      </c>
      <c r="M64" s="32" t="s">
        <v>224</v>
      </c>
    </row>
    <row r="65" spans="1:13" x14ac:dyDescent="0.25">
      <c r="A65" s="168">
        <v>46176</v>
      </c>
      <c r="B65" s="32">
        <v>1</v>
      </c>
      <c r="C65" s="32" t="s">
        <v>2866</v>
      </c>
      <c r="D65" s="169" t="s">
        <v>281</v>
      </c>
      <c r="E65" s="169" t="s">
        <v>166</v>
      </c>
      <c r="F65" s="32" t="s">
        <v>164</v>
      </c>
      <c r="G65" s="32">
        <v>58</v>
      </c>
      <c r="H65" s="32" t="s">
        <v>165</v>
      </c>
      <c r="I65" s="32">
        <v>4638</v>
      </c>
      <c r="J65" s="36">
        <v>995.31</v>
      </c>
      <c r="K65" s="32" t="s">
        <v>3807</v>
      </c>
      <c r="L65" s="169" t="s">
        <v>27</v>
      </c>
      <c r="M65" s="32" t="s">
        <v>224</v>
      </c>
    </row>
    <row r="66" spans="1:13" x14ac:dyDescent="0.25">
      <c r="A66" s="168">
        <v>46176</v>
      </c>
      <c r="B66" s="32">
        <v>1</v>
      </c>
      <c r="C66" s="32" t="s">
        <v>1129</v>
      </c>
      <c r="D66" s="169" t="s">
        <v>2396</v>
      </c>
      <c r="E66" s="169" t="s">
        <v>163</v>
      </c>
      <c r="F66" s="32" t="s">
        <v>164</v>
      </c>
      <c r="G66" s="32">
        <v>52</v>
      </c>
      <c r="H66" s="32" t="s">
        <v>175</v>
      </c>
      <c r="I66" s="32">
        <v>2906</v>
      </c>
      <c r="J66" s="36">
        <v>559.11</v>
      </c>
      <c r="K66" s="32" t="s">
        <v>3808</v>
      </c>
      <c r="L66" s="169" t="s">
        <v>21</v>
      </c>
      <c r="M66" s="32" t="s">
        <v>224</v>
      </c>
    </row>
    <row r="67" spans="1:13" x14ac:dyDescent="0.25">
      <c r="A67" s="168">
        <v>46176</v>
      </c>
      <c r="B67" s="32">
        <v>1</v>
      </c>
      <c r="C67" s="32" t="s">
        <v>342</v>
      </c>
      <c r="D67" s="169" t="s">
        <v>171</v>
      </c>
      <c r="E67" s="169" t="s">
        <v>163</v>
      </c>
      <c r="F67" s="32" t="s">
        <v>164</v>
      </c>
      <c r="G67" s="32">
        <v>52</v>
      </c>
      <c r="H67" s="32" t="s">
        <v>185</v>
      </c>
      <c r="I67" s="32">
        <v>4536</v>
      </c>
      <c r="J67" s="36">
        <v>872.73</v>
      </c>
      <c r="K67" s="32" t="s">
        <v>3809</v>
      </c>
      <c r="L67" s="169" t="s">
        <v>20</v>
      </c>
      <c r="M67" s="32" t="s">
        <v>224</v>
      </c>
    </row>
    <row r="68" spans="1:13" x14ac:dyDescent="0.25">
      <c r="A68" s="168">
        <v>46176</v>
      </c>
      <c r="B68" s="32">
        <v>1</v>
      </c>
      <c r="C68" s="32" t="s">
        <v>199</v>
      </c>
      <c r="D68" s="169" t="s">
        <v>180</v>
      </c>
      <c r="E68" s="169" t="s">
        <v>163</v>
      </c>
      <c r="F68" s="32" t="s">
        <v>111</v>
      </c>
      <c r="G68" s="32">
        <v>75</v>
      </c>
      <c r="H68" s="32" t="s">
        <v>185</v>
      </c>
      <c r="I68" s="32">
        <v>284</v>
      </c>
      <c r="J68" s="36">
        <v>788.1</v>
      </c>
      <c r="K68" s="32" t="s">
        <v>3810</v>
      </c>
      <c r="L68" s="169" t="s">
        <v>3738</v>
      </c>
      <c r="M68" s="32" t="s">
        <v>111</v>
      </c>
    </row>
    <row r="69" spans="1:13" x14ac:dyDescent="0.25">
      <c r="A69" s="168">
        <v>46176</v>
      </c>
      <c r="B69" s="32">
        <v>1</v>
      </c>
      <c r="C69" s="32" t="s">
        <v>2866</v>
      </c>
      <c r="D69" s="169" t="s">
        <v>281</v>
      </c>
      <c r="E69" s="169" t="s">
        <v>166</v>
      </c>
      <c r="F69" s="32" t="s">
        <v>164</v>
      </c>
      <c r="G69" s="32">
        <v>58</v>
      </c>
      <c r="H69" s="32" t="s">
        <v>195</v>
      </c>
      <c r="I69" s="32">
        <v>271</v>
      </c>
      <c r="J69" s="36">
        <v>581.57000000000005</v>
      </c>
      <c r="K69" s="32" t="s">
        <v>3811</v>
      </c>
      <c r="L69" s="169" t="s">
        <v>91</v>
      </c>
      <c r="M69" s="32" t="s">
        <v>224</v>
      </c>
    </row>
    <row r="70" spans="1:13" x14ac:dyDescent="0.25">
      <c r="A70" s="168">
        <v>46176</v>
      </c>
      <c r="B70" s="32">
        <v>1</v>
      </c>
      <c r="C70" s="32" t="s">
        <v>270</v>
      </c>
      <c r="D70" s="169" t="s">
        <v>288</v>
      </c>
      <c r="E70" s="169" t="s">
        <v>163</v>
      </c>
      <c r="F70" s="32" t="s">
        <v>164</v>
      </c>
      <c r="G70" s="32">
        <v>52</v>
      </c>
      <c r="H70" s="32" t="s">
        <v>165</v>
      </c>
      <c r="I70" s="32">
        <v>4724</v>
      </c>
      <c r="J70" s="36">
        <v>908.9</v>
      </c>
      <c r="K70" s="32" t="s">
        <v>3812</v>
      </c>
      <c r="L70" s="169" t="s">
        <v>31</v>
      </c>
      <c r="M70" s="32" t="s">
        <v>224</v>
      </c>
    </row>
    <row r="71" spans="1:13" x14ac:dyDescent="0.25">
      <c r="A71" s="168">
        <v>46176</v>
      </c>
      <c r="B71" s="32">
        <v>1</v>
      </c>
      <c r="C71" s="32" t="s">
        <v>196</v>
      </c>
      <c r="D71" s="169" t="s">
        <v>197</v>
      </c>
      <c r="E71" s="169" t="s">
        <v>276</v>
      </c>
      <c r="F71" s="32" t="s">
        <v>307</v>
      </c>
      <c r="G71" s="32">
        <v>175</v>
      </c>
      <c r="H71" s="32" t="s">
        <v>165</v>
      </c>
      <c r="I71" s="32">
        <v>7364</v>
      </c>
      <c r="J71" s="36">
        <v>4123.84</v>
      </c>
      <c r="K71" s="32" t="s">
        <v>3813</v>
      </c>
      <c r="L71" s="169" t="s">
        <v>3771</v>
      </c>
      <c r="M71" s="32" t="s">
        <v>307</v>
      </c>
    </row>
    <row r="72" spans="1:13" x14ac:dyDescent="0.25">
      <c r="A72" s="168">
        <v>46176</v>
      </c>
      <c r="B72" s="32">
        <v>1</v>
      </c>
      <c r="C72" s="32" t="s">
        <v>208</v>
      </c>
      <c r="D72" s="169" t="s">
        <v>209</v>
      </c>
      <c r="E72" s="169" t="s">
        <v>163</v>
      </c>
      <c r="F72" s="32" t="s">
        <v>164</v>
      </c>
      <c r="G72" s="32">
        <v>52</v>
      </c>
      <c r="H72" s="32" t="s">
        <v>175</v>
      </c>
      <c r="I72" s="32">
        <v>520</v>
      </c>
      <c r="J72" s="36">
        <v>1000.48</v>
      </c>
      <c r="K72" s="32" t="s">
        <v>3814</v>
      </c>
      <c r="L72" s="169" t="s">
        <v>21</v>
      </c>
      <c r="M72" s="32" t="s">
        <v>224</v>
      </c>
    </row>
    <row r="73" spans="1:13" x14ac:dyDescent="0.25">
      <c r="A73" s="168">
        <v>46176</v>
      </c>
      <c r="B73" s="32">
        <v>1</v>
      </c>
      <c r="C73" s="32" t="s">
        <v>188</v>
      </c>
      <c r="D73" s="169" t="s">
        <v>189</v>
      </c>
      <c r="E73" s="169" t="s">
        <v>276</v>
      </c>
      <c r="F73" s="32" t="s">
        <v>2033</v>
      </c>
      <c r="G73" s="32">
        <v>323</v>
      </c>
      <c r="H73" s="32" t="s">
        <v>172</v>
      </c>
      <c r="I73" s="32">
        <v>7402</v>
      </c>
      <c r="J73" s="36">
        <v>7650.71</v>
      </c>
      <c r="K73" s="32" t="s">
        <v>3815</v>
      </c>
      <c r="L73" s="169" t="s">
        <v>3735</v>
      </c>
      <c r="M73" s="32" t="s">
        <v>15</v>
      </c>
    </row>
    <row r="74" spans="1:13" x14ac:dyDescent="0.25">
      <c r="A74" s="168">
        <v>46176</v>
      </c>
      <c r="B74" s="32">
        <v>1</v>
      </c>
      <c r="C74" s="32" t="s">
        <v>205</v>
      </c>
      <c r="D74" s="169" t="s">
        <v>206</v>
      </c>
      <c r="E74" s="169" t="s">
        <v>276</v>
      </c>
      <c r="F74" s="32" t="s">
        <v>2033</v>
      </c>
      <c r="G74" s="32">
        <v>323</v>
      </c>
      <c r="H74" s="32" t="s">
        <v>185</v>
      </c>
      <c r="I74" s="32">
        <v>657</v>
      </c>
      <c r="J74" s="36">
        <v>6790.75</v>
      </c>
      <c r="K74" s="32" t="s">
        <v>3816</v>
      </c>
      <c r="L74" s="169" t="s">
        <v>3817</v>
      </c>
      <c r="M74" s="32" t="s">
        <v>15</v>
      </c>
    </row>
    <row r="75" spans="1:13" x14ac:dyDescent="0.25">
      <c r="A75" s="168">
        <v>46176</v>
      </c>
      <c r="B75" s="32">
        <v>1</v>
      </c>
      <c r="C75" s="32" t="s">
        <v>173</v>
      </c>
      <c r="D75" s="169" t="s">
        <v>174</v>
      </c>
      <c r="E75" s="169" t="s">
        <v>166</v>
      </c>
      <c r="F75" s="32" t="s">
        <v>111</v>
      </c>
      <c r="G75" s="32">
        <v>79</v>
      </c>
      <c r="H75" s="32" t="s">
        <v>172</v>
      </c>
      <c r="I75" s="32">
        <v>2546</v>
      </c>
      <c r="J75" s="36">
        <v>744.2</v>
      </c>
      <c r="K75" s="32" t="s">
        <v>3818</v>
      </c>
      <c r="L75" s="169" t="s">
        <v>117</v>
      </c>
      <c r="M75" s="32" t="s">
        <v>111</v>
      </c>
    </row>
    <row r="76" spans="1:13" x14ac:dyDescent="0.25">
      <c r="A76" s="168">
        <v>46176</v>
      </c>
      <c r="B76" s="32">
        <v>1</v>
      </c>
      <c r="C76" s="32" t="s">
        <v>173</v>
      </c>
      <c r="D76" s="169" t="s">
        <v>174</v>
      </c>
      <c r="E76" s="169" t="s">
        <v>166</v>
      </c>
      <c r="F76" s="32" t="s">
        <v>111</v>
      </c>
      <c r="G76" s="32">
        <v>79</v>
      </c>
      <c r="H76" s="32" t="s">
        <v>169</v>
      </c>
      <c r="I76" s="32">
        <v>2616</v>
      </c>
      <c r="J76" s="36">
        <v>764.66</v>
      </c>
      <c r="K76" s="32" t="s">
        <v>3819</v>
      </c>
      <c r="L76" s="169" t="s">
        <v>116</v>
      </c>
      <c r="M76" s="32" t="s">
        <v>111</v>
      </c>
    </row>
    <row r="77" spans="1:13" x14ac:dyDescent="0.25">
      <c r="A77" s="168">
        <v>46176</v>
      </c>
      <c r="B77" s="32">
        <v>1</v>
      </c>
      <c r="C77" s="32" t="s">
        <v>283</v>
      </c>
      <c r="D77" s="169" t="s">
        <v>282</v>
      </c>
      <c r="E77" s="169" t="s">
        <v>163</v>
      </c>
      <c r="F77" s="32" t="s">
        <v>111</v>
      </c>
      <c r="G77" s="32">
        <v>75</v>
      </c>
      <c r="H77" s="32" t="s">
        <v>292</v>
      </c>
      <c r="I77" s="32">
        <v>2752</v>
      </c>
      <c r="J77" s="36">
        <v>763.68</v>
      </c>
      <c r="K77" s="32" t="s">
        <v>3820</v>
      </c>
      <c r="L77" s="169" t="s">
        <v>3821</v>
      </c>
      <c r="M77" s="32" t="s">
        <v>111</v>
      </c>
    </row>
    <row r="78" spans="1:13" x14ac:dyDescent="0.25">
      <c r="A78" s="168">
        <v>46176</v>
      </c>
      <c r="B78" s="32">
        <v>1</v>
      </c>
      <c r="C78" s="32" t="s">
        <v>296</v>
      </c>
      <c r="D78" s="169" t="s">
        <v>1536</v>
      </c>
      <c r="E78" s="169" t="s">
        <v>276</v>
      </c>
      <c r="F78" s="32" t="s">
        <v>277</v>
      </c>
      <c r="G78" s="32">
        <v>118</v>
      </c>
      <c r="H78" s="32" t="s">
        <v>165</v>
      </c>
      <c r="I78" s="32">
        <v>4138</v>
      </c>
      <c r="J78" s="36">
        <v>1562.51</v>
      </c>
      <c r="K78" s="32" t="s">
        <v>3822</v>
      </c>
      <c r="L78" s="169" t="s">
        <v>24</v>
      </c>
      <c r="M78" s="32" t="s">
        <v>15</v>
      </c>
    </row>
    <row r="79" spans="1:13" x14ac:dyDescent="0.25">
      <c r="A79" s="168">
        <v>46176</v>
      </c>
      <c r="B79" s="32">
        <v>1</v>
      </c>
      <c r="C79" s="32" t="s">
        <v>219</v>
      </c>
      <c r="D79" s="169" t="s">
        <v>220</v>
      </c>
      <c r="E79" s="169" t="s">
        <v>163</v>
      </c>
      <c r="F79" s="32" t="s">
        <v>164</v>
      </c>
      <c r="G79" s="32">
        <v>52</v>
      </c>
      <c r="H79" s="32" t="s">
        <v>175</v>
      </c>
      <c r="I79" s="32">
        <v>610</v>
      </c>
      <c r="J79" s="36">
        <v>1173.6400000000001</v>
      </c>
      <c r="K79" s="32" t="s">
        <v>3823</v>
      </c>
      <c r="L79" s="169" t="s">
        <v>21</v>
      </c>
      <c r="M79" s="32" t="s">
        <v>224</v>
      </c>
    </row>
    <row r="80" spans="1:13" x14ac:dyDescent="0.25">
      <c r="A80" s="168">
        <v>46176</v>
      </c>
      <c r="B80" s="32">
        <v>1</v>
      </c>
      <c r="C80" s="32" t="s">
        <v>1948</v>
      </c>
      <c r="D80" s="169" t="s">
        <v>1949</v>
      </c>
      <c r="E80" s="169" t="s">
        <v>2868</v>
      </c>
      <c r="F80" s="32" t="s">
        <v>2881</v>
      </c>
      <c r="G80" s="32">
        <v>62</v>
      </c>
      <c r="H80" s="32" t="s">
        <v>2869</v>
      </c>
      <c r="I80" s="32">
        <v>521</v>
      </c>
      <c r="J80" s="36">
        <v>1195.17</v>
      </c>
      <c r="K80" s="32" t="s">
        <v>3824</v>
      </c>
      <c r="L80" s="169" t="s">
        <v>3825</v>
      </c>
      <c r="M80" s="32" t="s">
        <v>157</v>
      </c>
    </row>
    <row r="81" spans="1:13" x14ac:dyDescent="0.25">
      <c r="A81" s="168">
        <v>46176</v>
      </c>
      <c r="B81" s="32">
        <v>1</v>
      </c>
      <c r="C81" s="32" t="s">
        <v>286</v>
      </c>
      <c r="D81" s="169" t="s">
        <v>506</v>
      </c>
      <c r="E81" s="169" t="s">
        <v>163</v>
      </c>
      <c r="F81" s="32" t="s">
        <v>164</v>
      </c>
      <c r="G81" s="32">
        <v>52</v>
      </c>
      <c r="H81" s="32" t="s">
        <v>175</v>
      </c>
      <c r="I81" s="32">
        <v>460</v>
      </c>
      <c r="J81" s="36">
        <v>885.04</v>
      </c>
      <c r="K81" s="32" t="s">
        <v>3826</v>
      </c>
      <c r="L81" s="169" t="s">
        <v>21</v>
      </c>
      <c r="M81" s="32" t="s">
        <v>224</v>
      </c>
    </row>
    <row r="82" spans="1:13" x14ac:dyDescent="0.25">
      <c r="A82" s="168">
        <v>46176</v>
      </c>
      <c r="B82" s="32">
        <v>1</v>
      </c>
      <c r="C82" s="32" t="s">
        <v>183</v>
      </c>
      <c r="D82" s="169" t="s">
        <v>184</v>
      </c>
      <c r="E82" s="169" t="s">
        <v>163</v>
      </c>
      <c r="F82" s="32" t="s">
        <v>111</v>
      </c>
      <c r="G82" s="32">
        <v>75</v>
      </c>
      <c r="H82" s="32" t="s">
        <v>185</v>
      </c>
      <c r="I82" s="32">
        <v>2774</v>
      </c>
      <c r="J82" s="36">
        <v>769.79</v>
      </c>
      <c r="K82" s="32" t="s">
        <v>3827</v>
      </c>
      <c r="L82" s="169" t="s">
        <v>3738</v>
      </c>
      <c r="M82" s="32" t="s">
        <v>111</v>
      </c>
    </row>
    <row r="83" spans="1:13" x14ac:dyDescent="0.25">
      <c r="A83" s="168">
        <v>46176</v>
      </c>
      <c r="B83" s="32">
        <v>1</v>
      </c>
      <c r="C83" s="32" t="s">
        <v>193</v>
      </c>
      <c r="D83" s="169" t="s">
        <v>285</v>
      </c>
      <c r="E83" s="169" t="s">
        <v>163</v>
      </c>
      <c r="F83" s="32" t="s">
        <v>111</v>
      </c>
      <c r="G83" s="32">
        <v>75</v>
      </c>
      <c r="H83" s="32" t="s">
        <v>185</v>
      </c>
      <c r="I83" s="32">
        <v>26168</v>
      </c>
      <c r="J83" s="36">
        <v>726.16</v>
      </c>
      <c r="K83" s="32" t="s">
        <v>3828</v>
      </c>
      <c r="L83" s="169" t="s">
        <v>3738</v>
      </c>
      <c r="M83" s="32" t="s">
        <v>111</v>
      </c>
    </row>
    <row r="84" spans="1:13" x14ac:dyDescent="0.25">
      <c r="A84" s="168">
        <v>46176</v>
      </c>
      <c r="B84" s="32">
        <v>1</v>
      </c>
      <c r="C84" s="32" t="s">
        <v>275</v>
      </c>
      <c r="D84" s="169" t="s">
        <v>178</v>
      </c>
      <c r="E84" s="169" t="s">
        <v>166</v>
      </c>
      <c r="F84" s="32" t="s">
        <v>164</v>
      </c>
      <c r="G84" s="32">
        <v>58</v>
      </c>
      <c r="H84" s="32" t="s">
        <v>165</v>
      </c>
      <c r="I84" s="32">
        <v>4606</v>
      </c>
      <c r="J84" s="36">
        <v>988.45</v>
      </c>
      <c r="K84" s="32" t="s">
        <v>3829</v>
      </c>
      <c r="L84" s="169" t="s">
        <v>27</v>
      </c>
      <c r="M84" s="32" t="s">
        <v>224</v>
      </c>
    </row>
    <row r="85" spans="1:13" x14ac:dyDescent="0.25">
      <c r="A85" s="168">
        <v>46176</v>
      </c>
      <c r="B85" s="32">
        <v>1</v>
      </c>
      <c r="C85" s="32" t="s">
        <v>176</v>
      </c>
      <c r="D85" s="169" t="s">
        <v>177</v>
      </c>
      <c r="E85" s="169" t="s">
        <v>2868</v>
      </c>
      <c r="F85" s="32" t="s">
        <v>2871</v>
      </c>
      <c r="G85" s="32">
        <v>70</v>
      </c>
      <c r="H85" s="32" t="s">
        <v>2869</v>
      </c>
      <c r="I85" s="32">
        <v>3732</v>
      </c>
      <c r="J85" s="36">
        <v>966.59</v>
      </c>
      <c r="K85" s="32" t="s">
        <v>3830</v>
      </c>
      <c r="L85" s="169" t="s">
        <v>3777</v>
      </c>
      <c r="M85" s="32" t="s">
        <v>157</v>
      </c>
    </row>
    <row r="86" spans="1:13" x14ac:dyDescent="0.25">
      <c r="A86" s="168">
        <v>46176</v>
      </c>
      <c r="B86" s="32">
        <v>1</v>
      </c>
      <c r="C86" s="32" t="s">
        <v>179</v>
      </c>
      <c r="D86" s="169" t="s">
        <v>2863</v>
      </c>
      <c r="E86" s="169" t="s">
        <v>166</v>
      </c>
      <c r="F86" s="32" t="s">
        <v>111</v>
      </c>
      <c r="G86" s="32">
        <v>79</v>
      </c>
      <c r="H86" s="32" t="s">
        <v>169</v>
      </c>
      <c r="I86" s="32">
        <v>2586</v>
      </c>
      <c r="J86" s="36">
        <v>755.89</v>
      </c>
      <c r="K86" s="32" t="s">
        <v>3831</v>
      </c>
      <c r="L86" s="169" t="s">
        <v>116</v>
      </c>
      <c r="M86" s="32" t="s">
        <v>111</v>
      </c>
    </row>
    <row r="87" spans="1:13" x14ac:dyDescent="0.25">
      <c r="A87" s="168">
        <v>46177</v>
      </c>
      <c r="B87" s="32">
        <v>1</v>
      </c>
      <c r="C87" s="32" t="s">
        <v>183</v>
      </c>
      <c r="D87" s="169" t="s">
        <v>184</v>
      </c>
      <c r="E87" s="169" t="s">
        <v>163</v>
      </c>
      <c r="F87" s="32" t="s">
        <v>111</v>
      </c>
      <c r="G87" s="32">
        <v>75</v>
      </c>
      <c r="H87" s="32" t="s">
        <v>169</v>
      </c>
      <c r="I87" s="32">
        <v>3148</v>
      </c>
      <c r="J87" s="36">
        <v>873.57</v>
      </c>
      <c r="K87" s="32" t="s">
        <v>3832</v>
      </c>
      <c r="L87" s="169" t="s">
        <v>3742</v>
      </c>
      <c r="M87" s="32" t="s">
        <v>111</v>
      </c>
    </row>
    <row r="88" spans="1:13" x14ac:dyDescent="0.25">
      <c r="A88" s="168">
        <v>46178</v>
      </c>
      <c r="B88" s="32">
        <v>1</v>
      </c>
      <c r="C88" s="32" t="s">
        <v>173</v>
      </c>
      <c r="D88" s="169" t="s">
        <v>174</v>
      </c>
      <c r="E88" s="169" t="s">
        <v>163</v>
      </c>
      <c r="F88" s="32" t="s">
        <v>164</v>
      </c>
      <c r="G88" s="32">
        <v>52</v>
      </c>
      <c r="H88" s="32" t="s">
        <v>172</v>
      </c>
      <c r="I88" s="32">
        <v>27248</v>
      </c>
      <c r="J88" s="36">
        <v>524.25</v>
      </c>
      <c r="K88" s="32" t="s">
        <v>3622</v>
      </c>
      <c r="L88" s="169" t="s">
        <v>140</v>
      </c>
      <c r="M88" s="32" t="s">
        <v>224</v>
      </c>
    </row>
    <row r="89" spans="1:13" x14ac:dyDescent="0.25">
      <c r="A89" s="168">
        <v>46178</v>
      </c>
      <c r="B89" s="32">
        <v>1</v>
      </c>
      <c r="C89" s="32" t="s">
        <v>342</v>
      </c>
      <c r="D89" s="169" t="s">
        <v>171</v>
      </c>
      <c r="E89" s="169" t="s">
        <v>163</v>
      </c>
      <c r="F89" s="32" t="s">
        <v>164</v>
      </c>
      <c r="G89" s="32">
        <v>52</v>
      </c>
      <c r="H89" s="32" t="s">
        <v>185</v>
      </c>
      <c r="I89" s="32">
        <v>441</v>
      </c>
      <c r="J89" s="36">
        <v>848.48</v>
      </c>
      <c r="K89" s="32" t="s">
        <v>3833</v>
      </c>
      <c r="L89" s="169" t="s">
        <v>20</v>
      </c>
      <c r="M89" s="32" t="s">
        <v>224</v>
      </c>
    </row>
    <row r="90" spans="1:13" x14ac:dyDescent="0.25">
      <c r="A90" s="168">
        <v>46178</v>
      </c>
      <c r="B90" s="32">
        <v>1</v>
      </c>
      <c r="C90" s="32" t="s">
        <v>2866</v>
      </c>
      <c r="D90" s="169" t="s">
        <v>281</v>
      </c>
      <c r="E90" s="169" t="s">
        <v>166</v>
      </c>
      <c r="F90" s="32" t="s">
        <v>164</v>
      </c>
      <c r="G90" s="32">
        <v>58</v>
      </c>
      <c r="H90" s="32" t="s">
        <v>165</v>
      </c>
      <c r="I90" s="32">
        <v>4136</v>
      </c>
      <c r="J90" s="36">
        <v>887.59</v>
      </c>
      <c r="K90" s="32" t="s">
        <v>3834</v>
      </c>
      <c r="L90" s="169" t="s">
        <v>27</v>
      </c>
      <c r="M90" s="32" t="s">
        <v>224</v>
      </c>
    </row>
    <row r="91" spans="1:13" x14ac:dyDescent="0.25">
      <c r="A91" s="168">
        <v>46178</v>
      </c>
      <c r="B91" s="32">
        <v>1</v>
      </c>
      <c r="C91" s="32" t="s">
        <v>199</v>
      </c>
      <c r="D91" s="169" t="s">
        <v>180</v>
      </c>
      <c r="E91" s="169" t="s">
        <v>163</v>
      </c>
      <c r="F91" s="32" t="s">
        <v>111</v>
      </c>
      <c r="G91" s="32">
        <v>75</v>
      </c>
      <c r="H91" s="32" t="s">
        <v>185</v>
      </c>
      <c r="I91" s="32">
        <v>2772</v>
      </c>
      <c r="J91" s="36">
        <v>769.23</v>
      </c>
      <c r="K91" s="32" t="s">
        <v>3835</v>
      </c>
      <c r="L91" s="169" t="s">
        <v>3738</v>
      </c>
      <c r="M91" s="32" t="s">
        <v>111</v>
      </c>
    </row>
    <row r="92" spans="1:13" x14ac:dyDescent="0.25">
      <c r="A92" s="168">
        <v>46178</v>
      </c>
      <c r="B92" s="32">
        <v>1</v>
      </c>
      <c r="C92" s="32" t="s">
        <v>342</v>
      </c>
      <c r="D92" s="169" t="s">
        <v>171</v>
      </c>
      <c r="E92" s="169" t="s">
        <v>163</v>
      </c>
      <c r="F92" s="32" t="s">
        <v>164</v>
      </c>
      <c r="G92" s="32">
        <v>52</v>
      </c>
      <c r="H92" s="32" t="s">
        <v>185</v>
      </c>
      <c r="I92" s="32">
        <v>4452</v>
      </c>
      <c r="J92" s="36">
        <v>856.56</v>
      </c>
      <c r="K92" s="32" t="s">
        <v>3836</v>
      </c>
      <c r="L92" s="169" t="s">
        <v>20</v>
      </c>
      <c r="M92" s="32" t="s">
        <v>224</v>
      </c>
    </row>
    <row r="93" spans="1:13" x14ac:dyDescent="0.25">
      <c r="A93" s="168">
        <v>46178</v>
      </c>
      <c r="B93" s="32">
        <v>1</v>
      </c>
      <c r="C93" s="32" t="s">
        <v>192</v>
      </c>
      <c r="D93" s="169" t="s">
        <v>287</v>
      </c>
      <c r="E93" s="169" t="s">
        <v>190</v>
      </c>
      <c r="F93" s="32" t="s">
        <v>191</v>
      </c>
      <c r="G93" s="32">
        <v>217</v>
      </c>
      <c r="H93" s="32" t="s">
        <v>165</v>
      </c>
      <c r="I93" s="32">
        <v>546</v>
      </c>
      <c r="J93" s="36">
        <v>4383.83</v>
      </c>
      <c r="K93" s="32" t="s">
        <v>3837</v>
      </c>
      <c r="L93" s="169" t="s">
        <v>19</v>
      </c>
      <c r="M93" s="32" t="s">
        <v>3780</v>
      </c>
    </row>
    <row r="94" spans="1:13" x14ac:dyDescent="0.25">
      <c r="A94" s="168">
        <v>46178</v>
      </c>
      <c r="B94" s="32">
        <v>1</v>
      </c>
      <c r="C94" s="32" t="s">
        <v>296</v>
      </c>
      <c r="D94" s="169" t="s">
        <v>1536</v>
      </c>
      <c r="E94" s="169" t="s">
        <v>276</v>
      </c>
      <c r="F94" s="32" t="s">
        <v>277</v>
      </c>
      <c r="G94" s="32">
        <v>118</v>
      </c>
      <c r="H94" s="32" t="s">
        <v>165</v>
      </c>
      <c r="I94" s="32">
        <v>4196</v>
      </c>
      <c r="J94" s="36">
        <v>1584.41</v>
      </c>
      <c r="K94" s="32" t="s">
        <v>3838</v>
      </c>
      <c r="L94" s="169" t="s">
        <v>24</v>
      </c>
      <c r="M94" s="32" t="s">
        <v>15</v>
      </c>
    </row>
    <row r="95" spans="1:13" x14ac:dyDescent="0.25">
      <c r="A95" s="168">
        <v>46178</v>
      </c>
      <c r="B95" s="32">
        <v>1</v>
      </c>
      <c r="C95" s="32" t="s">
        <v>199</v>
      </c>
      <c r="D95" s="169" t="s">
        <v>180</v>
      </c>
      <c r="E95" s="169" t="s">
        <v>163</v>
      </c>
      <c r="F95" s="32" t="s">
        <v>111</v>
      </c>
      <c r="G95" s="32">
        <v>75</v>
      </c>
      <c r="H95" s="32" t="s">
        <v>185</v>
      </c>
      <c r="I95" s="32">
        <v>2782</v>
      </c>
      <c r="J95" s="36">
        <v>772.01</v>
      </c>
      <c r="K95" s="32" t="s">
        <v>3839</v>
      </c>
      <c r="L95" s="169" t="s">
        <v>3738</v>
      </c>
      <c r="M95" s="32" t="s">
        <v>111</v>
      </c>
    </row>
    <row r="96" spans="1:13" x14ac:dyDescent="0.25">
      <c r="A96" s="168">
        <v>46178</v>
      </c>
      <c r="B96" s="32">
        <v>1</v>
      </c>
      <c r="C96" s="32" t="s">
        <v>208</v>
      </c>
      <c r="D96" s="169" t="s">
        <v>209</v>
      </c>
      <c r="E96" s="169" t="s">
        <v>190</v>
      </c>
      <c r="F96" s="32" t="s">
        <v>191</v>
      </c>
      <c r="G96" s="32">
        <v>217</v>
      </c>
      <c r="H96" s="32" t="s">
        <v>165</v>
      </c>
      <c r="I96" s="32">
        <v>530</v>
      </c>
      <c r="J96" s="36">
        <v>4255.37</v>
      </c>
      <c r="K96" s="32" t="s">
        <v>3840</v>
      </c>
      <c r="L96" s="169" t="s">
        <v>19</v>
      </c>
      <c r="M96" s="32" t="s">
        <v>3780</v>
      </c>
    </row>
    <row r="97" spans="1:13" x14ac:dyDescent="0.25">
      <c r="A97" s="168">
        <v>46178</v>
      </c>
      <c r="B97" s="32">
        <v>1</v>
      </c>
      <c r="C97" s="32" t="s">
        <v>167</v>
      </c>
      <c r="D97" s="169" t="s">
        <v>168</v>
      </c>
      <c r="E97" s="169" t="s">
        <v>163</v>
      </c>
      <c r="F97" s="32" t="s">
        <v>164</v>
      </c>
      <c r="G97" s="32">
        <v>52</v>
      </c>
      <c r="H97" s="32" t="s">
        <v>175</v>
      </c>
      <c r="I97" s="32">
        <v>2768</v>
      </c>
      <c r="J97" s="36">
        <v>532.55999999999995</v>
      </c>
      <c r="K97" s="32" t="s">
        <v>3841</v>
      </c>
      <c r="L97" s="169" t="s">
        <v>21</v>
      </c>
      <c r="M97" s="32" t="s">
        <v>224</v>
      </c>
    </row>
    <row r="98" spans="1:13" x14ac:dyDescent="0.25">
      <c r="A98" s="168">
        <v>46178</v>
      </c>
      <c r="B98" s="32">
        <v>1</v>
      </c>
      <c r="C98" s="32" t="s">
        <v>167</v>
      </c>
      <c r="D98" s="169" t="s">
        <v>168</v>
      </c>
      <c r="E98" s="169" t="s">
        <v>163</v>
      </c>
      <c r="F98" s="32" t="s">
        <v>164</v>
      </c>
      <c r="G98" s="32">
        <v>52</v>
      </c>
      <c r="H98" s="32" t="s">
        <v>175</v>
      </c>
      <c r="I98" s="32">
        <v>267</v>
      </c>
      <c r="J98" s="36">
        <v>513.71</v>
      </c>
      <c r="K98" s="32" t="s">
        <v>3842</v>
      </c>
      <c r="L98" s="169" t="s">
        <v>21</v>
      </c>
      <c r="M98" s="32" t="s">
        <v>224</v>
      </c>
    </row>
    <row r="99" spans="1:13" x14ac:dyDescent="0.25">
      <c r="A99" s="168">
        <v>46178</v>
      </c>
      <c r="B99" s="32">
        <v>1</v>
      </c>
      <c r="C99" s="32" t="s">
        <v>286</v>
      </c>
      <c r="D99" s="169" t="s">
        <v>506</v>
      </c>
      <c r="E99" s="169" t="s">
        <v>163</v>
      </c>
      <c r="F99" s="32" t="s">
        <v>164</v>
      </c>
      <c r="G99" s="32">
        <v>52</v>
      </c>
      <c r="H99" s="32" t="s">
        <v>175</v>
      </c>
      <c r="I99" s="32">
        <v>4496</v>
      </c>
      <c r="J99" s="36">
        <v>865.03</v>
      </c>
      <c r="K99" s="32" t="s">
        <v>3843</v>
      </c>
      <c r="L99" s="169" t="s">
        <v>21</v>
      </c>
      <c r="M99" s="32" t="s">
        <v>224</v>
      </c>
    </row>
    <row r="100" spans="1:13" x14ac:dyDescent="0.25">
      <c r="A100" s="168">
        <v>46178</v>
      </c>
      <c r="B100" s="32">
        <v>1</v>
      </c>
      <c r="C100" s="32" t="s">
        <v>286</v>
      </c>
      <c r="D100" s="169" t="s">
        <v>506</v>
      </c>
      <c r="E100" s="169" t="s">
        <v>163</v>
      </c>
      <c r="F100" s="32" t="s">
        <v>164</v>
      </c>
      <c r="G100" s="32">
        <v>52</v>
      </c>
      <c r="H100" s="32" t="s">
        <v>175</v>
      </c>
      <c r="I100" s="32">
        <v>447</v>
      </c>
      <c r="J100" s="36">
        <v>860.03</v>
      </c>
      <c r="K100" s="32" t="s">
        <v>3844</v>
      </c>
      <c r="L100" s="169" t="s">
        <v>21</v>
      </c>
      <c r="M100" s="32" t="s">
        <v>224</v>
      </c>
    </row>
    <row r="101" spans="1:13" x14ac:dyDescent="0.25">
      <c r="A101" s="168">
        <v>46178</v>
      </c>
      <c r="B101" s="32">
        <v>1</v>
      </c>
      <c r="C101" s="32" t="s">
        <v>283</v>
      </c>
      <c r="D101" s="169" t="s">
        <v>282</v>
      </c>
      <c r="E101" s="169" t="s">
        <v>166</v>
      </c>
      <c r="F101" s="32" t="s">
        <v>111</v>
      </c>
      <c r="G101" s="32">
        <v>79</v>
      </c>
      <c r="H101" s="32" t="s">
        <v>169</v>
      </c>
      <c r="I101" s="32">
        <v>2612</v>
      </c>
      <c r="J101" s="36">
        <v>763.49</v>
      </c>
      <c r="K101" s="32" t="s">
        <v>3845</v>
      </c>
      <c r="L101" s="169" t="s">
        <v>116</v>
      </c>
      <c r="M101" s="32" t="s">
        <v>111</v>
      </c>
    </row>
    <row r="102" spans="1:13" x14ac:dyDescent="0.25">
      <c r="A102" s="168">
        <v>46178</v>
      </c>
      <c r="B102" s="32">
        <v>1</v>
      </c>
      <c r="C102" s="32" t="s">
        <v>283</v>
      </c>
      <c r="D102" s="169" t="s">
        <v>282</v>
      </c>
      <c r="E102" s="169" t="s">
        <v>166</v>
      </c>
      <c r="F102" s="32" t="s">
        <v>1178</v>
      </c>
      <c r="G102" s="32">
        <v>51</v>
      </c>
      <c r="H102" s="32" t="s">
        <v>172</v>
      </c>
      <c r="I102" s="32">
        <v>275</v>
      </c>
      <c r="J102" s="36">
        <v>518.92999999999995</v>
      </c>
      <c r="K102" s="32" t="s">
        <v>3846</v>
      </c>
      <c r="L102" s="169" t="s">
        <v>3847</v>
      </c>
      <c r="M102" s="32" t="s">
        <v>1178</v>
      </c>
    </row>
    <row r="103" spans="1:13" x14ac:dyDescent="0.25">
      <c r="A103" s="168">
        <v>46178</v>
      </c>
      <c r="B103" s="32">
        <v>1</v>
      </c>
      <c r="C103" s="32" t="s">
        <v>183</v>
      </c>
      <c r="D103" s="169" t="s">
        <v>184</v>
      </c>
      <c r="E103" s="169" t="s">
        <v>163</v>
      </c>
      <c r="F103" s="32" t="s">
        <v>111</v>
      </c>
      <c r="G103" s="32">
        <v>75</v>
      </c>
      <c r="H103" s="32" t="s">
        <v>169</v>
      </c>
      <c r="I103" s="32">
        <v>2676</v>
      </c>
      <c r="J103" s="36">
        <v>742.59</v>
      </c>
      <c r="K103" s="32" t="s">
        <v>3848</v>
      </c>
      <c r="L103" s="169" t="s">
        <v>3742</v>
      </c>
      <c r="M103" s="32" t="s">
        <v>111</v>
      </c>
    </row>
    <row r="104" spans="1:13" x14ac:dyDescent="0.25">
      <c r="A104" s="168">
        <v>46178</v>
      </c>
      <c r="B104" s="32">
        <v>1</v>
      </c>
      <c r="C104" s="32" t="s">
        <v>183</v>
      </c>
      <c r="D104" s="169" t="s">
        <v>184</v>
      </c>
      <c r="E104" s="169" t="s">
        <v>163</v>
      </c>
      <c r="F104" s="32" t="s">
        <v>111</v>
      </c>
      <c r="G104" s="32">
        <v>75</v>
      </c>
      <c r="H104" s="32" t="s">
        <v>169</v>
      </c>
      <c r="I104" s="32">
        <v>2568</v>
      </c>
      <c r="J104" s="36">
        <v>712.62</v>
      </c>
      <c r="K104" s="32" t="s">
        <v>3849</v>
      </c>
      <c r="L104" s="169" t="s">
        <v>3742</v>
      </c>
      <c r="M104" s="32" t="s">
        <v>111</v>
      </c>
    </row>
    <row r="105" spans="1:13" x14ac:dyDescent="0.25">
      <c r="A105" s="168">
        <v>46178</v>
      </c>
      <c r="B105" s="32">
        <v>1</v>
      </c>
      <c r="C105" s="32" t="s">
        <v>199</v>
      </c>
      <c r="D105" s="169" t="s">
        <v>180</v>
      </c>
      <c r="E105" s="169" t="s">
        <v>163</v>
      </c>
      <c r="F105" s="32" t="s">
        <v>164</v>
      </c>
      <c r="G105" s="32">
        <v>52</v>
      </c>
      <c r="H105" s="32" t="s">
        <v>175</v>
      </c>
      <c r="I105" s="32">
        <v>3016</v>
      </c>
      <c r="J105" s="36">
        <v>580.28</v>
      </c>
      <c r="K105" s="32" t="s">
        <v>3850</v>
      </c>
      <c r="L105" s="169" t="s">
        <v>21</v>
      </c>
      <c r="M105" s="32" t="s">
        <v>224</v>
      </c>
    </row>
    <row r="106" spans="1:13" x14ac:dyDescent="0.25">
      <c r="A106" s="168">
        <v>46178</v>
      </c>
      <c r="B106" s="32">
        <v>1</v>
      </c>
      <c r="C106" s="32" t="s">
        <v>173</v>
      </c>
      <c r="D106" s="169" t="s">
        <v>174</v>
      </c>
      <c r="E106" s="169" t="s">
        <v>163</v>
      </c>
      <c r="F106" s="32" t="s">
        <v>164</v>
      </c>
      <c r="G106" s="32">
        <v>52</v>
      </c>
      <c r="H106" s="32" t="s">
        <v>175</v>
      </c>
      <c r="I106" s="32">
        <v>2654</v>
      </c>
      <c r="J106" s="36">
        <v>510.63</v>
      </c>
      <c r="K106" s="32" t="s">
        <v>3851</v>
      </c>
      <c r="L106" s="169" t="s">
        <v>21</v>
      </c>
      <c r="M106" s="32" t="s">
        <v>224</v>
      </c>
    </row>
    <row r="107" spans="1:13" x14ac:dyDescent="0.25">
      <c r="A107" s="168">
        <v>46178</v>
      </c>
      <c r="B107" s="32">
        <v>1</v>
      </c>
      <c r="C107" s="32" t="s">
        <v>173</v>
      </c>
      <c r="D107" s="169" t="s">
        <v>174</v>
      </c>
      <c r="E107" s="169" t="s">
        <v>166</v>
      </c>
      <c r="F107" s="32" t="s">
        <v>111</v>
      </c>
      <c r="G107" s="32">
        <v>79</v>
      </c>
      <c r="H107" s="32" t="s">
        <v>169</v>
      </c>
      <c r="I107" s="32">
        <v>260</v>
      </c>
      <c r="J107" s="36">
        <v>759.98</v>
      </c>
      <c r="K107" s="32" t="s">
        <v>3852</v>
      </c>
      <c r="L107" s="169" t="s">
        <v>116</v>
      </c>
      <c r="M107" s="32" t="s">
        <v>111</v>
      </c>
    </row>
    <row r="108" spans="1:13" x14ac:dyDescent="0.25">
      <c r="A108" s="168">
        <v>46178</v>
      </c>
      <c r="B108" s="32">
        <v>1</v>
      </c>
      <c r="C108" s="32" t="s">
        <v>179</v>
      </c>
      <c r="D108" s="169" t="s">
        <v>2863</v>
      </c>
      <c r="E108" s="169" t="s">
        <v>166</v>
      </c>
      <c r="F108" s="32" t="s">
        <v>111</v>
      </c>
      <c r="G108" s="32">
        <v>79</v>
      </c>
      <c r="H108" s="32" t="s">
        <v>169</v>
      </c>
      <c r="I108" s="32">
        <v>2688</v>
      </c>
      <c r="J108" s="36">
        <v>785.7</v>
      </c>
      <c r="K108" s="32" t="s">
        <v>3853</v>
      </c>
      <c r="L108" s="169" t="s">
        <v>116</v>
      </c>
      <c r="M108" s="32" t="s">
        <v>111</v>
      </c>
    </row>
    <row r="109" spans="1:13" x14ac:dyDescent="0.25">
      <c r="A109" s="168">
        <v>46178</v>
      </c>
      <c r="B109" s="32">
        <v>1</v>
      </c>
      <c r="C109" s="32" t="s">
        <v>179</v>
      </c>
      <c r="D109" s="169" t="s">
        <v>2863</v>
      </c>
      <c r="E109" s="169" t="s">
        <v>166</v>
      </c>
      <c r="F109" s="32" t="s">
        <v>111</v>
      </c>
      <c r="G109" s="32">
        <v>79</v>
      </c>
      <c r="H109" s="32" t="s">
        <v>169</v>
      </c>
      <c r="I109" s="32">
        <v>2638</v>
      </c>
      <c r="J109" s="36">
        <v>771.09</v>
      </c>
      <c r="K109" s="32" t="s">
        <v>3854</v>
      </c>
      <c r="L109" s="169" t="s">
        <v>116</v>
      </c>
      <c r="M109" s="32" t="s">
        <v>111</v>
      </c>
    </row>
    <row r="110" spans="1:13" x14ac:dyDescent="0.25">
      <c r="A110" s="168">
        <v>46178</v>
      </c>
      <c r="B110" s="32">
        <v>1</v>
      </c>
      <c r="C110" s="32" t="s">
        <v>1129</v>
      </c>
      <c r="D110" s="169" t="s">
        <v>2396</v>
      </c>
      <c r="E110" s="169" t="s">
        <v>163</v>
      </c>
      <c r="F110" s="32" t="s">
        <v>111</v>
      </c>
      <c r="G110" s="32">
        <v>75</v>
      </c>
      <c r="H110" s="32" t="s">
        <v>185</v>
      </c>
      <c r="I110" s="32">
        <v>2524</v>
      </c>
      <c r="J110" s="36">
        <v>700.41</v>
      </c>
      <c r="K110" s="32" t="s">
        <v>3855</v>
      </c>
      <c r="L110" s="169" t="s">
        <v>3738</v>
      </c>
      <c r="M110" s="32" t="s">
        <v>111</v>
      </c>
    </row>
    <row r="111" spans="1:13" x14ac:dyDescent="0.25">
      <c r="A111" s="168">
        <v>46178</v>
      </c>
      <c r="B111" s="32">
        <v>1</v>
      </c>
      <c r="C111" s="32" t="s">
        <v>1129</v>
      </c>
      <c r="D111" s="169" t="s">
        <v>2396</v>
      </c>
      <c r="E111" s="169" t="s">
        <v>163</v>
      </c>
      <c r="F111" s="32" t="s">
        <v>111</v>
      </c>
      <c r="G111" s="32">
        <v>75</v>
      </c>
      <c r="H111" s="32" t="s">
        <v>185</v>
      </c>
      <c r="I111" s="32">
        <v>2556</v>
      </c>
      <c r="J111" s="36">
        <v>709.29</v>
      </c>
      <c r="K111" s="32" t="s">
        <v>3856</v>
      </c>
      <c r="L111" s="169" t="s">
        <v>3738</v>
      </c>
      <c r="M111" s="32" t="s">
        <v>111</v>
      </c>
    </row>
    <row r="112" spans="1:13" x14ac:dyDescent="0.25">
      <c r="A112" s="168">
        <v>46178</v>
      </c>
      <c r="B112" s="32">
        <v>1</v>
      </c>
      <c r="C112" s="32" t="s">
        <v>219</v>
      </c>
      <c r="D112" s="169" t="s">
        <v>220</v>
      </c>
      <c r="E112" s="169" t="s">
        <v>163</v>
      </c>
      <c r="F112" s="32" t="s">
        <v>164</v>
      </c>
      <c r="G112" s="32">
        <v>52</v>
      </c>
      <c r="H112" s="32" t="s">
        <v>175</v>
      </c>
      <c r="I112" s="32">
        <v>412</v>
      </c>
      <c r="J112" s="36">
        <v>792.69</v>
      </c>
      <c r="K112" s="32" t="s">
        <v>3857</v>
      </c>
      <c r="L112" s="169" t="s">
        <v>21</v>
      </c>
      <c r="M112" s="32" t="s">
        <v>224</v>
      </c>
    </row>
    <row r="113" spans="1:13" x14ac:dyDescent="0.25">
      <c r="A113" s="168">
        <v>46178</v>
      </c>
      <c r="B113" s="32">
        <v>1</v>
      </c>
      <c r="C113" s="32" t="s">
        <v>219</v>
      </c>
      <c r="D113" s="169" t="s">
        <v>220</v>
      </c>
      <c r="E113" s="169" t="s">
        <v>163</v>
      </c>
      <c r="F113" s="32" t="s">
        <v>164</v>
      </c>
      <c r="G113" s="32">
        <v>52</v>
      </c>
      <c r="H113" s="32" t="s">
        <v>175</v>
      </c>
      <c r="I113" s="32">
        <v>606</v>
      </c>
      <c r="J113" s="36">
        <v>1165.94</v>
      </c>
      <c r="K113" s="32" t="s">
        <v>3858</v>
      </c>
      <c r="L113" s="169" t="s">
        <v>21</v>
      </c>
      <c r="M113" s="32" t="s">
        <v>224</v>
      </c>
    </row>
    <row r="114" spans="1:13" x14ac:dyDescent="0.25">
      <c r="A114" s="168">
        <v>46178</v>
      </c>
      <c r="B114" s="32">
        <v>1</v>
      </c>
      <c r="C114" s="32" t="s">
        <v>275</v>
      </c>
      <c r="D114" s="169" t="s">
        <v>178</v>
      </c>
      <c r="E114" s="169" t="s">
        <v>163</v>
      </c>
      <c r="F114" s="32" t="s">
        <v>164</v>
      </c>
      <c r="G114" s="32">
        <v>52</v>
      </c>
      <c r="H114" s="32" t="s">
        <v>175</v>
      </c>
      <c r="I114" s="32">
        <v>4422</v>
      </c>
      <c r="J114" s="36">
        <v>850.79</v>
      </c>
      <c r="K114" s="32" t="s">
        <v>3859</v>
      </c>
      <c r="L114" s="169" t="s">
        <v>21</v>
      </c>
      <c r="M114" s="32" t="s">
        <v>224</v>
      </c>
    </row>
    <row r="115" spans="1:13" x14ac:dyDescent="0.25">
      <c r="A115" s="168">
        <v>46178</v>
      </c>
      <c r="B115" s="32">
        <v>1</v>
      </c>
      <c r="C115" s="32" t="s">
        <v>275</v>
      </c>
      <c r="D115" s="169" t="s">
        <v>178</v>
      </c>
      <c r="E115" s="169" t="s">
        <v>163</v>
      </c>
      <c r="F115" s="32" t="s">
        <v>164</v>
      </c>
      <c r="G115" s="32">
        <v>52</v>
      </c>
      <c r="H115" s="32" t="s">
        <v>165</v>
      </c>
      <c r="I115" s="32">
        <v>4566</v>
      </c>
      <c r="J115" s="36">
        <v>878.5</v>
      </c>
      <c r="K115" s="32" t="s">
        <v>3860</v>
      </c>
      <c r="L115" s="169" t="s">
        <v>31</v>
      </c>
      <c r="M115" s="32" t="s">
        <v>224</v>
      </c>
    </row>
    <row r="116" spans="1:13" x14ac:dyDescent="0.25">
      <c r="A116" s="168">
        <v>46178</v>
      </c>
      <c r="B116" s="32">
        <v>1</v>
      </c>
      <c r="C116" s="32" t="s">
        <v>193</v>
      </c>
      <c r="D116" s="169" t="s">
        <v>285</v>
      </c>
      <c r="E116" s="169" t="s">
        <v>163</v>
      </c>
      <c r="F116" s="32" t="s">
        <v>111</v>
      </c>
      <c r="G116" s="32">
        <v>75</v>
      </c>
      <c r="H116" s="32" t="s">
        <v>185</v>
      </c>
      <c r="I116" s="32">
        <v>2694</v>
      </c>
      <c r="J116" s="36">
        <v>747.59</v>
      </c>
      <c r="K116" s="32" t="s">
        <v>3861</v>
      </c>
      <c r="L116" s="169" t="s">
        <v>3738</v>
      </c>
      <c r="M116" s="32" t="s">
        <v>111</v>
      </c>
    </row>
    <row r="117" spans="1:13" x14ac:dyDescent="0.25">
      <c r="A117" s="168">
        <v>46178</v>
      </c>
      <c r="B117" s="32">
        <v>1</v>
      </c>
      <c r="C117" s="32" t="s">
        <v>193</v>
      </c>
      <c r="D117" s="169" t="s">
        <v>285</v>
      </c>
      <c r="E117" s="169" t="s">
        <v>163</v>
      </c>
      <c r="F117" s="32" t="s">
        <v>111</v>
      </c>
      <c r="G117" s="32">
        <v>75</v>
      </c>
      <c r="H117" s="32" t="s">
        <v>185</v>
      </c>
      <c r="I117" s="32">
        <v>272</v>
      </c>
      <c r="J117" s="36">
        <v>754.8</v>
      </c>
      <c r="K117" s="32" t="s">
        <v>3862</v>
      </c>
      <c r="L117" s="169" t="s">
        <v>3738</v>
      </c>
      <c r="M117" s="32" t="s">
        <v>111</v>
      </c>
    </row>
    <row r="118" spans="1:13" x14ac:dyDescent="0.25">
      <c r="A118" s="168">
        <v>46178</v>
      </c>
      <c r="B118" s="32">
        <v>1</v>
      </c>
      <c r="C118" s="32" t="s">
        <v>270</v>
      </c>
      <c r="D118" s="169" t="s">
        <v>288</v>
      </c>
      <c r="E118" s="169" t="s">
        <v>190</v>
      </c>
      <c r="F118" s="32" t="s">
        <v>191</v>
      </c>
      <c r="G118" s="32">
        <v>217</v>
      </c>
      <c r="H118" s="32" t="s">
        <v>165</v>
      </c>
      <c r="I118" s="32">
        <v>513</v>
      </c>
      <c r="J118" s="36">
        <v>3562.27</v>
      </c>
      <c r="K118" s="32" t="s">
        <v>3863</v>
      </c>
      <c r="L118" s="169" t="s">
        <v>19</v>
      </c>
      <c r="M118" s="32" t="s">
        <v>3780</v>
      </c>
    </row>
    <row r="119" spans="1:13" x14ac:dyDescent="0.25">
      <c r="A119" s="168">
        <v>46178</v>
      </c>
      <c r="B119" s="32">
        <v>1</v>
      </c>
      <c r="C119" s="32" t="s">
        <v>186</v>
      </c>
      <c r="D119" s="169" t="s">
        <v>187</v>
      </c>
      <c r="E119" s="169" t="s">
        <v>2757</v>
      </c>
      <c r="F119" s="32" t="s">
        <v>2867</v>
      </c>
      <c r="G119" s="32">
        <v>383</v>
      </c>
      <c r="H119" s="32" t="s">
        <v>172</v>
      </c>
      <c r="I119" s="32">
        <v>4416</v>
      </c>
      <c r="J119" s="36">
        <v>5412.25</v>
      </c>
      <c r="K119" s="32" t="s">
        <v>3864</v>
      </c>
      <c r="L119" s="169" t="s">
        <v>3865</v>
      </c>
      <c r="M119" s="32" t="s">
        <v>15</v>
      </c>
    </row>
    <row r="120" spans="1:13" x14ac:dyDescent="0.25">
      <c r="A120" s="168">
        <v>46179</v>
      </c>
      <c r="B120" s="32">
        <v>1</v>
      </c>
      <c r="C120" s="32" t="s">
        <v>342</v>
      </c>
      <c r="D120" s="169" t="s">
        <v>171</v>
      </c>
      <c r="E120" s="169" t="s">
        <v>163</v>
      </c>
      <c r="F120" s="32" t="s">
        <v>164</v>
      </c>
      <c r="G120" s="32">
        <v>52</v>
      </c>
      <c r="H120" s="32" t="s">
        <v>185</v>
      </c>
      <c r="I120" s="32">
        <v>4408</v>
      </c>
      <c r="J120" s="36">
        <v>848.1</v>
      </c>
      <c r="K120" s="32" t="s">
        <v>3866</v>
      </c>
      <c r="L120" s="169" t="s">
        <v>20</v>
      </c>
      <c r="M120" s="32" t="s">
        <v>224</v>
      </c>
    </row>
    <row r="121" spans="1:13" x14ac:dyDescent="0.25">
      <c r="A121" s="168">
        <v>46179</v>
      </c>
      <c r="B121" s="32">
        <v>1</v>
      </c>
      <c r="C121" s="32" t="s">
        <v>219</v>
      </c>
      <c r="D121" s="169" t="s">
        <v>220</v>
      </c>
      <c r="E121" s="169" t="s">
        <v>163</v>
      </c>
      <c r="F121" s="32" t="s">
        <v>164</v>
      </c>
      <c r="G121" s="32">
        <v>52</v>
      </c>
      <c r="H121" s="32" t="s">
        <v>175</v>
      </c>
      <c r="I121" s="32">
        <v>626</v>
      </c>
      <c r="J121" s="36">
        <v>1204.42</v>
      </c>
      <c r="K121" s="32" t="s">
        <v>3867</v>
      </c>
      <c r="L121" s="169" t="s">
        <v>21</v>
      </c>
      <c r="M121" s="32" t="s">
        <v>224</v>
      </c>
    </row>
    <row r="122" spans="1:13" x14ac:dyDescent="0.25">
      <c r="A122" s="168">
        <v>46179</v>
      </c>
      <c r="B122" s="32">
        <v>1</v>
      </c>
      <c r="C122" s="32" t="s">
        <v>219</v>
      </c>
      <c r="D122" s="169" t="s">
        <v>220</v>
      </c>
      <c r="E122" s="169" t="s">
        <v>166</v>
      </c>
      <c r="F122" s="32" t="s">
        <v>164</v>
      </c>
      <c r="G122" s="32">
        <v>58</v>
      </c>
      <c r="H122" s="32" t="s">
        <v>165</v>
      </c>
      <c r="I122" s="32">
        <v>349</v>
      </c>
      <c r="J122" s="36">
        <v>748.95</v>
      </c>
      <c r="K122" s="32" t="s">
        <v>3868</v>
      </c>
      <c r="L122" s="169" t="s">
        <v>27</v>
      </c>
      <c r="M122" s="32" t="s">
        <v>224</v>
      </c>
    </row>
    <row r="123" spans="1:13" x14ac:dyDescent="0.25">
      <c r="A123" s="168">
        <v>46179</v>
      </c>
      <c r="B123" s="32">
        <v>1</v>
      </c>
      <c r="C123" s="32" t="s">
        <v>167</v>
      </c>
      <c r="D123" s="169" t="s">
        <v>168</v>
      </c>
      <c r="E123" s="169" t="s">
        <v>163</v>
      </c>
      <c r="F123" s="32" t="s">
        <v>111</v>
      </c>
      <c r="G123" s="32">
        <v>75</v>
      </c>
      <c r="H123" s="32" t="s">
        <v>185</v>
      </c>
      <c r="I123" s="32">
        <v>256</v>
      </c>
      <c r="J123" s="36">
        <v>710.4</v>
      </c>
      <c r="K123" s="32" t="s">
        <v>3869</v>
      </c>
      <c r="L123" s="169" t="s">
        <v>3738</v>
      </c>
      <c r="M123" s="32" t="s">
        <v>111</v>
      </c>
    </row>
    <row r="124" spans="1:13" x14ac:dyDescent="0.25">
      <c r="A124" s="168">
        <v>46179</v>
      </c>
      <c r="B124" s="32">
        <v>1</v>
      </c>
      <c r="C124" s="32" t="s">
        <v>167</v>
      </c>
      <c r="D124" s="169" t="s">
        <v>168</v>
      </c>
      <c r="E124" s="169" t="s">
        <v>163</v>
      </c>
      <c r="F124" s="32" t="s">
        <v>164</v>
      </c>
      <c r="G124" s="32">
        <v>52</v>
      </c>
      <c r="H124" s="32" t="s">
        <v>175</v>
      </c>
      <c r="I124" s="32">
        <v>2708</v>
      </c>
      <c r="J124" s="36">
        <v>521.02</v>
      </c>
      <c r="K124" s="32" t="s">
        <v>3870</v>
      </c>
      <c r="L124" s="169" t="s">
        <v>21</v>
      </c>
      <c r="M124" s="32" t="s">
        <v>224</v>
      </c>
    </row>
    <row r="125" spans="1:13" x14ac:dyDescent="0.25">
      <c r="A125" s="168">
        <v>46179</v>
      </c>
      <c r="B125" s="32">
        <v>1</v>
      </c>
      <c r="C125" s="32" t="s">
        <v>283</v>
      </c>
      <c r="D125" s="169" t="s">
        <v>282</v>
      </c>
      <c r="E125" s="169" t="s">
        <v>163</v>
      </c>
      <c r="F125" s="32" t="s">
        <v>111</v>
      </c>
      <c r="G125" s="32">
        <v>75</v>
      </c>
      <c r="H125" s="32" t="s">
        <v>169</v>
      </c>
      <c r="I125" s="32">
        <v>2922</v>
      </c>
      <c r="J125" s="36">
        <v>810.86</v>
      </c>
      <c r="K125" s="32" t="s">
        <v>3871</v>
      </c>
      <c r="L125" s="169" t="s">
        <v>3742</v>
      </c>
      <c r="M125" s="32" t="s">
        <v>111</v>
      </c>
    </row>
    <row r="126" spans="1:13" x14ac:dyDescent="0.25">
      <c r="A126" s="168">
        <v>46179</v>
      </c>
      <c r="B126" s="32">
        <v>1</v>
      </c>
      <c r="C126" s="32" t="s">
        <v>275</v>
      </c>
      <c r="D126" s="169" t="s">
        <v>178</v>
      </c>
      <c r="E126" s="169" t="s">
        <v>163</v>
      </c>
      <c r="F126" s="32" t="s">
        <v>164</v>
      </c>
      <c r="G126" s="32">
        <v>52</v>
      </c>
      <c r="H126" s="32" t="s">
        <v>175</v>
      </c>
      <c r="I126" s="32">
        <v>453</v>
      </c>
      <c r="J126" s="36">
        <v>871.57</v>
      </c>
      <c r="K126" s="32" t="s">
        <v>3872</v>
      </c>
      <c r="L126" s="169" t="s">
        <v>21</v>
      </c>
      <c r="M126" s="32" t="s">
        <v>224</v>
      </c>
    </row>
    <row r="127" spans="1:13" x14ac:dyDescent="0.25">
      <c r="A127" s="168">
        <v>46179</v>
      </c>
      <c r="B127" s="32">
        <v>1</v>
      </c>
      <c r="C127" s="32" t="s">
        <v>199</v>
      </c>
      <c r="D127" s="169" t="s">
        <v>180</v>
      </c>
      <c r="E127" s="169" t="s">
        <v>163</v>
      </c>
      <c r="F127" s="32" t="s">
        <v>111</v>
      </c>
      <c r="G127" s="32">
        <v>75</v>
      </c>
      <c r="H127" s="32" t="s">
        <v>185</v>
      </c>
      <c r="I127" s="32">
        <v>275</v>
      </c>
      <c r="J127" s="36">
        <v>763.13</v>
      </c>
      <c r="K127" s="32" t="s">
        <v>3873</v>
      </c>
      <c r="L127" s="169" t="s">
        <v>3738</v>
      </c>
      <c r="M127" s="32" t="s">
        <v>111</v>
      </c>
    </row>
    <row r="128" spans="1:13" x14ac:dyDescent="0.25">
      <c r="A128" s="168">
        <v>46179</v>
      </c>
      <c r="B128" s="32">
        <v>1</v>
      </c>
      <c r="C128" s="32" t="s">
        <v>208</v>
      </c>
      <c r="D128" s="169" t="s">
        <v>209</v>
      </c>
      <c r="E128" s="169" t="s">
        <v>190</v>
      </c>
      <c r="F128" s="32" t="s">
        <v>198</v>
      </c>
      <c r="G128" s="32">
        <v>70</v>
      </c>
      <c r="H128" s="32" t="s">
        <v>165</v>
      </c>
      <c r="I128" s="32">
        <v>450</v>
      </c>
      <c r="J128" s="36">
        <v>1165.5</v>
      </c>
      <c r="K128" s="32" t="s">
        <v>3874</v>
      </c>
      <c r="L128" s="169" t="s">
        <v>30</v>
      </c>
      <c r="M128" s="32" t="s">
        <v>224</v>
      </c>
    </row>
    <row r="129" spans="1:13" x14ac:dyDescent="0.25">
      <c r="A129" s="168">
        <v>46179</v>
      </c>
      <c r="B129" s="32">
        <v>1</v>
      </c>
      <c r="C129" s="32" t="s">
        <v>167</v>
      </c>
      <c r="D129" s="169" t="s">
        <v>168</v>
      </c>
      <c r="E129" s="169" t="s">
        <v>163</v>
      </c>
      <c r="F129" s="32" t="s">
        <v>164</v>
      </c>
      <c r="G129" s="32">
        <v>52</v>
      </c>
      <c r="H129" s="32" t="s">
        <v>175</v>
      </c>
      <c r="I129" s="32">
        <v>2644</v>
      </c>
      <c r="J129" s="36">
        <v>508.71</v>
      </c>
      <c r="K129" s="32" t="s">
        <v>3875</v>
      </c>
      <c r="L129" s="169" t="s">
        <v>21</v>
      </c>
      <c r="M129" s="32" t="s">
        <v>224</v>
      </c>
    </row>
    <row r="130" spans="1:13" x14ac:dyDescent="0.25">
      <c r="A130" s="168">
        <v>46179</v>
      </c>
      <c r="B130" s="32">
        <v>1</v>
      </c>
      <c r="C130" s="32" t="s">
        <v>173</v>
      </c>
      <c r="D130" s="169" t="s">
        <v>174</v>
      </c>
      <c r="E130" s="169" t="s">
        <v>166</v>
      </c>
      <c r="F130" s="32" t="s">
        <v>111</v>
      </c>
      <c r="G130" s="32">
        <v>79</v>
      </c>
      <c r="H130" s="32" t="s">
        <v>172</v>
      </c>
      <c r="I130" s="32">
        <v>3054</v>
      </c>
      <c r="J130" s="36">
        <v>892.68</v>
      </c>
      <c r="K130" s="32" t="s">
        <v>3876</v>
      </c>
      <c r="L130" s="169" t="s">
        <v>117</v>
      </c>
      <c r="M130" s="32" t="s">
        <v>111</v>
      </c>
    </row>
    <row r="131" spans="1:13" x14ac:dyDescent="0.25">
      <c r="A131" s="168">
        <v>46179</v>
      </c>
      <c r="B131" s="32">
        <v>1</v>
      </c>
      <c r="C131" s="32" t="s">
        <v>173</v>
      </c>
      <c r="D131" s="169" t="s">
        <v>174</v>
      </c>
      <c r="E131" s="169" t="s">
        <v>163</v>
      </c>
      <c r="F131" s="32" t="s">
        <v>164</v>
      </c>
      <c r="G131" s="32">
        <v>52</v>
      </c>
      <c r="H131" s="32" t="s">
        <v>175</v>
      </c>
      <c r="I131" s="32">
        <v>245</v>
      </c>
      <c r="J131" s="36">
        <v>471.38</v>
      </c>
      <c r="K131" s="32" t="s">
        <v>3877</v>
      </c>
      <c r="L131" s="169" t="s">
        <v>21</v>
      </c>
      <c r="M131" s="32" t="s">
        <v>224</v>
      </c>
    </row>
    <row r="132" spans="1:13" x14ac:dyDescent="0.25">
      <c r="A132" s="168">
        <v>46179</v>
      </c>
      <c r="B132" s="32">
        <v>1</v>
      </c>
      <c r="C132" s="32" t="s">
        <v>173</v>
      </c>
      <c r="D132" s="169" t="s">
        <v>174</v>
      </c>
      <c r="E132" s="169" t="s">
        <v>166</v>
      </c>
      <c r="F132" s="32" t="s">
        <v>164</v>
      </c>
      <c r="G132" s="32">
        <v>58</v>
      </c>
      <c r="H132" s="32" t="s">
        <v>165</v>
      </c>
      <c r="I132" s="32">
        <v>2942</v>
      </c>
      <c r="J132" s="36">
        <v>631.35</v>
      </c>
      <c r="K132" s="32" t="s">
        <v>3878</v>
      </c>
      <c r="L132" s="169" t="s">
        <v>27</v>
      </c>
      <c r="M132" s="32" t="s">
        <v>224</v>
      </c>
    </row>
    <row r="133" spans="1:13" x14ac:dyDescent="0.25">
      <c r="A133" s="168">
        <v>46179</v>
      </c>
      <c r="B133" s="32">
        <v>1</v>
      </c>
      <c r="C133" s="32" t="s">
        <v>183</v>
      </c>
      <c r="D133" s="169" t="s">
        <v>184</v>
      </c>
      <c r="E133" s="169" t="s">
        <v>163</v>
      </c>
      <c r="F133" s="32" t="s">
        <v>164</v>
      </c>
      <c r="G133" s="32">
        <v>52</v>
      </c>
      <c r="H133" s="32" t="s">
        <v>175</v>
      </c>
      <c r="I133" s="32">
        <v>2604</v>
      </c>
      <c r="J133" s="36">
        <v>501.01</v>
      </c>
      <c r="K133" s="32" t="s">
        <v>3879</v>
      </c>
      <c r="L133" s="169" t="s">
        <v>21</v>
      </c>
      <c r="M133" s="32" t="s">
        <v>224</v>
      </c>
    </row>
    <row r="134" spans="1:13" x14ac:dyDescent="0.25">
      <c r="A134" s="168">
        <v>46179</v>
      </c>
      <c r="B134" s="32">
        <v>1</v>
      </c>
      <c r="C134" s="32" t="s">
        <v>183</v>
      </c>
      <c r="D134" s="169" t="s">
        <v>184</v>
      </c>
      <c r="E134" s="169" t="s">
        <v>163</v>
      </c>
      <c r="F134" s="32" t="s">
        <v>111</v>
      </c>
      <c r="G134" s="32">
        <v>75</v>
      </c>
      <c r="H134" s="32" t="s">
        <v>169</v>
      </c>
      <c r="I134" s="32">
        <v>2956</v>
      </c>
      <c r="J134" s="36">
        <v>820.29</v>
      </c>
      <c r="K134" s="32" t="s">
        <v>3880</v>
      </c>
      <c r="L134" s="169" t="s">
        <v>3742</v>
      </c>
      <c r="M134" s="32" t="s">
        <v>111</v>
      </c>
    </row>
    <row r="135" spans="1:13" x14ac:dyDescent="0.25">
      <c r="A135" s="168">
        <v>46179</v>
      </c>
      <c r="B135" s="32">
        <v>1</v>
      </c>
      <c r="C135" s="32" t="s">
        <v>1129</v>
      </c>
      <c r="D135" s="169" t="s">
        <v>2396</v>
      </c>
      <c r="E135" s="169" t="s">
        <v>163</v>
      </c>
      <c r="F135" s="32" t="s">
        <v>111</v>
      </c>
      <c r="G135" s="32">
        <v>75</v>
      </c>
      <c r="H135" s="32" t="s">
        <v>185</v>
      </c>
      <c r="I135" s="32">
        <v>260</v>
      </c>
      <c r="J135" s="36">
        <v>721.5</v>
      </c>
      <c r="K135" s="32" t="s">
        <v>3881</v>
      </c>
      <c r="L135" s="169" t="s">
        <v>3738</v>
      </c>
      <c r="M135" s="32" t="s">
        <v>111</v>
      </c>
    </row>
    <row r="136" spans="1:13" x14ac:dyDescent="0.25">
      <c r="A136" s="168">
        <v>46179</v>
      </c>
      <c r="B136" s="32">
        <v>1</v>
      </c>
      <c r="C136" s="32" t="s">
        <v>193</v>
      </c>
      <c r="D136" s="169" t="s">
        <v>285</v>
      </c>
      <c r="E136" s="169" t="s">
        <v>163</v>
      </c>
      <c r="F136" s="32" t="s">
        <v>111</v>
      </c>
      <c r="G136" s="32">
        <v>75</v>
      </c>
      <c r="H136" s="32" t="s">
        <v>185</v>
      </c>
      <c r="I136" s="32">
        <v>273</v>
      </c>
      <c r="J136" s="36">
        <v>757.58</v>
      </c>
      <c r="K136" s="32" t="s">
        <v>3882</v>
      </c>
      <c r="L136" s="169" t="s">
        <v>3738</v>
      </c>
      <c r="M136" s="32" t="s">
        <v>111</v>
      </c>
    </row>
    <row r="137" spans="1:13" x14ac:dyDescent="0.25">
      <c r="A137" s="168">
        <v>46179</v>
      </c>
      <c r="B137" s="32">
        <v>1</v>
      </c>
      <c r="C137" s="32" t="s">
        <v>200</v>
      </c>
      <c r="D137" s="169" t="s">
        <v>201</v>
      </c>
      <c r="E137" s="169" t="s">
        <v>2868</v>
      </c>
      <c r="F137" s="32" t="s">
        <v>2881</v>
      </c>
      <c r="G137" s="32">
        <v>62</v>
      </c>
      <c r="H137" s="32" t="s">
        <v>2869</v>
      </c>
      <c r="I137" s="32">
        <v>5283</v>
      </c>
      <c r="J137" s="36">
        <v>1211.92</v>
      </c>
      <c r="K137" s="32" t="s">
        <v>3883</v>
      </c>
      <c r="L137" s="169" t="s">
        <v>3825</v>
      </c>
      <c r="M137" s="32" t="s">
        <v>157</v>
      </c>
    </row>
    <row r="138" spans="1:13" x14ac:dyDescent="0.25">
      <c r="A138" s="168">
        <v>46179</v>
      </c>
      <c r="B138" s="32">
        <v>1</v>
      </c>
      <c r="C138" s="32" t="s">
        <v>286</v>
      </c>
      <c r="D138" s="169" t="s">
        <v>506</v>
      </c>
      <c r="E138" s="169" t="s">
        <v>163</v>
      </c>
      <c r="F138" s="32" t="s">
        <v>164</v>
      </c>
      <c r="G138" s="32">
        <v>52</v>
      </c>
      <c r="H138" s="32" t="s">
        <v>165</v>
      </c>
      <c r="I138" s="32">
        <v>450</v>
      </c>
      <c r="J138" s="36">
        <v>865.8</v>
      </c>
      <c r="K138" s="32" t="s">
        <v>3884</v>
      </c>
      <c r="L138" s="169" t="s">
        <v>31</v>
      </c>
      <c r="M138" s="32" t="s">
        <v>224</v>
      </c>
    </row>
    <row r="139" spans="1:13" x14ac:dyDescent="0.25">
      <c r="A139" s="168">
        <v>46180</v>
      </c>
      <c r="B139" s="32">
        <v>1</v>
      </c>
      <c r="C139" s="32" t="s">
        <v>1948</v>
      </c>
      <c r="D139" s="169" t="s">
        <v>1949</v>
      </c>
      <c r="E139" s="169" t="s">
        <v>2868</v>
      </c>
      <c r="F139" s="32" t="s">
        <v>2881</v>
      </c>
      <c r="G139" s="32">
        <v>62</v>
      </c>
      <c r="H139" s="32" t="s">
        <v>2869</v>
      </c>
      <c r="I139" s="32">
        <v>518</v>
      </c>
      <c r="J139" s="36">
        <v>1188.29</v>
      </c>
      <c r="K139" s="32" t="s">
        <v>3885</v>
      </c>
      <c r="L139" s="169" t="s">
        <v>3825</v>
      </c>
      <c r="M139" s="32" t="s">
        <v>157</v>
      </c>
    </row>
    <row r="140" spans="1:13" x14ac:dyDescent="0.25">
      <c r="A140" s="168">
        <v>46181</v>
      </c>
      <c r="B140" s="32">
        <v>1</v>
      </c>
      <c r="C140" s="32" t="s">
        <v>196</v>
      </c>
      <c r="D140" s="169" t="s">
        <v>197</v>
      </c>
      <c r="E140" s="169" t="s">
        <v>276</v>
      </c>
      <c r="F140" s="32" t="s">
        <v>2033</v>
      </c>
      <c r="G140" s="32">
        <v>323</v>
      </c>
      <c r="H140" s="32" t="s">
        <v>172</v>
      </c>
      <c r="I140" s="32">
        <v>6874</v>
      </c>
      <c r="J140" s="36">
        <v>7104.97</v>
      </c>
      <c r="K140" s="32" t="s">
        <v>3886</v>
      </c>
      <c r="L140" s="169" t="s">
        <v>3735</v>
      </c>
      <c r="M140" s="32" t="s">
        <v>15</v>
      </c>
    </row>
    <row r="141" spans="1:13" x14ac:dyDescent="0.25">
      <c r="A141" s="168">
        <v>46181</v>
      </c>
      <c r="B141" s="32">
        <v>1</v>
      </c>
      <c r="C141" s="32" t="s">
        <v>200</v>
      </c>
      <c r="D141" s="169" t="s">
        <v>201</v>
      </c>
      <c r="E141" s="169" t="s">
        <v>2868</v>
      </c>
      <c r="F141" s="32" t="s">
        <v>2871</v>
      </c>
      <c r="G141" s="32">
        <v>70</v>
      </c>
      <c r="H141" s="32" t="s">
        <v>2869</v>
      </c>
      <c r="I141" s="32">
        <v>54529</v>
      </c>
      <c r="J141" s="36">
        <v>1412.3</v>
      </c>
      <c r="K141" s="32" t="s">
        <v>3887</v>
      </c>
      <c r="L141" s="169" t="s">
        <v>3777</v>
      </c>
      <c r="M141" s="32" t="s">
        <v>157</v>
      </c>
    </row>
    <row r="142" spans="1:13" x14ac:dyDescent="0.25">
      <c r="A142" s="168">
        <v>46181</v>
      </c>
      <c r="B142" s="32">
        <v>1</v>
      </c>
      <c r="C142" s="32" t="s">
        <v>342</v>
      </c>
      <c r="D142" s="169" t="s">
        <v>171</v>
      </c>
      <c r="E142" s="169" t="s">
        <v>163</v>
      </c>
      <c r="F142" s="32" t="s">
        <v>164</v>
      </c>
      <c r="G142" s="32">
        <v>52</v>
      </c>
      <c r="H142" s="32" t="s">
        <v>185</v>
      </c>
      <c r="I142" s="32">
        <v>4578</v>
      </c>
      <c r="J142" s="36">
        <v>880.81</v>
      </c>
      <c r="K142" s="32" t="s">
        <v>3888</v>
      </c>
      <c r="L142" s="169" t="s">
        <v>20</v>
      </c>
      <c r="M142" s="32" t="s">
        <v>224</v>
      </c>
    </row>
    <row r="143" spans="1:13" x14ac:dyDescent="0.25">
      <c r="A143" s="168">
        <v>46181</v>
      </c>
      <c r="B143" s="32">
        <v>1</v>
      </c>
      <c r="C143" s="32" t="s">
        <v>192</v>
      </c>
      <c r="D143" s="169" t="s">
        <v>287</v>
      </c>
      <c r="E143" s="169" t="s">
        <v>163</v>
      </c>
      <c r="F143" s="32" t="s">
        <v>164</v>
      </c>
      <c r="G143" s="32">
        <v>52</v>
      </c>
      <c r="H143" s="32" t="s">
        <v>165</v>
      </c>
      <c r="I143" s="32">
        <v>592</v>
      </c>
      <c r="J143" s="36">
        <v>1139.01</v>
      </c>
      <c r="K143" s="32" t="s">
        <v>3889</v>
      </c>
      <c r="L143" s="169" t="s">
        <v>31</v>
      </c>
      <c r="M143" s="32" t="s">
        <v>224</v>
      </c>
    </row>
    <row r="144" spans="1:13" x14ac:dyDescent="0.25">
      <c r="A144" s="168">
        <v>46181</v>
      </c>
      <c r="B144" s="32">
        <v>1</v>
      </c>
      <c r="C144" s="32" t="s">
        <v>202</v>
      </c>
      <c r="D144" s="169" t="s">
        <v>214</v>
      </c>
      <c r="E144" s="169" t="s">
        <v>166</v>
      </c>
      <c r="F144" s="32" t="s">
        <v>164</v>
      </c>
      <c r="G144" s="32">
        <v>58</v>
      </c>
      <c r="H144" s="32" t="s">
        <v>165</v>
      </c>
      <c r="I144" s="32">
        <v>4794</v>
      </c>
      <c r="J144" s="36">
        <v>1028.79</v>
      </c>
      <c r="K144" s="32" t="s">
        <v>3890</v>
      </c>
      <c r="L144" s="169" t="s">
        <v>27</v>
      </c>
      <c r="M144" s="32" t="s">
        <v>224</v>
      </c>
    </row>
    <row r="145" spans="1:13" x14ac:dyDescent="0.25">
      <c r="A145" s="168">
        <v>46181</v>
      </c>
      <c r="B145" s="32">
        <v>1</v>
      </c>
      <c r="C145" s="32" t="s">
        <v>199</v>
      </c>
      <c r="D145" s="169" t="s">
        <v>180</v>
      </c>
      <c r="E145" s="169" t="s">
        <v>163</v>
      </c>
      <c r="F145" s="32" t="s">
        <v>111</v>
      </c>
      <c r="G145" s="32">
        <v>75</v>
      </c>
      <c r="H145" s="32" t="s">
        <v>185</v>
      </c>
      <c r="I145" s="32">
        <v>2888</v>
      </c>
      <c r="J145" s="36">
        <v>801.42</v>
      </c>
      <c r="K145" s="32" t="s">
        <v>3891</v>
      </c>
      <c r="L145" s="169" t="s">
        <v>3738</v>
      </c>
      <c r="M145" s="32" t="s">
        <v>111</v>
      </c>
    </row>
    <row r="146" spans="1:13" x14ac:dyDescent="0.25">
      <c r="A146" s="168">
        <v>46181</v>
      </c>
      <c r="B146" s="32">
        <v>1</v>
      </c>
      <c r="C146" s="32" t="s">
        <v>167</v>
      </c>
      <c r="D146" s="169" t="s">
        <v>168</v>
      </c>
      <c r="E146" s="169" t="s">
        <v>163</v>
      </c>
      <c r="F146" s="32" t="s">
        <v>111</v>
      </c>
      <c r="G146" s="32">
        <v>75</v>
      </c>
      <c r="H146" s="32" t="s">
        <v>185</v>
      </c>
      <c r="I146" s="32">
        <v>2674</v>
      </c>
      <c r="J146" s="36">
        <v>742.04</v>
      </c>
      <c r="K146" s="32" t="s">
        <v>3892</v>
      </c>
      <c r="L146" s="169" t="s">
        <v>3738</v>
      </c>
      <c r="M146" s="32" t="s">
        <v>111</v>
      </c>
    </row>
    <row r="147" spans="1:13" x14ac:dyDescent="0.25">
      <c r="A147" s="168">
        <v>46181</v>
      </c>
      <c r="B147" s="32">
        <v>1</v>
      </c>
      <c r="C147" s="32" t="s">
        <v>188</v>
      </c>
      <c r="D147" s="169" t="s">
        <v>189</v>
      </c>
      <c r="E147" s="169" t="s">
        <v>276</v>
      </c>
      <c r="F147" s="32" t="s">
        <v>2033</v>
      </c>
      <c r="G147" s="32">
        <v>323</v>
      </c>
      <c r="H147" s="32" t="s">
        <v>172</v>
      </c>
      <c r="I147" s="32">
        <v>7828</v>
      </c>
      <c r="J147" s="36">
        <v>8091.02</v>
      </c>
      <c r="K147" s="32" t="s">
        <v>3893</v>
      </c>
      <c r="L147" s="169" t="s">
        <v>3735</v>
      </c>
      <c r="M147" s="32" t="s">
        <v>15</v>
      </c>
    </row>
    <row r="148" spans="1:13" x14ac:dyDescent="0.25">
      <c r="A148" s="168">
        <v>46181</v>
      </c>
      <c r="B148" s="32">
        <v>1</v>
      </c>
      <c r="C148" s="32" t="s">
        <v>205</v>
      </c>
      <c r="D148" s="169" t="s">
        <v>206</v>
      </c>
      <c r="E148" s="169" t="s">
        <v>276</v>
      </c>
      <c r="F148" s="32" t="s">
        <v>2033</v>
      </c>
      <c r="G148" s="32">
        <v>323</v>
      </c>
      <c r="H148" s="32" t="s">
        <v>185</v>
      </c>
      <c r="I148" s="32">
        <v>757</v>
      </c>
      <c r="J148" s="36">
        <v>7824.35</v>
      </c>
      <c r="K148" s="32" t="s">
        <v>3894</v>
      </c>
      <c r="L148" s="169" t="s">
        <v>3817</v>
      </c>
      <c r="M148" s="32" t="s">
        <v>15</v>
      </c>
    </row>
    <row r="149" spans="1:13" x14ac:dyDescent="0.25">
      <c r="A149" s="168">
        <v>46181</v>
      </c>
      <c r="B149" s="32">
        <v>1</v>
      </c>
      <c r="C149" s="32" t="s">
        <v>167</v>
      </c>
      <c r="D149" s="169" t="s">
        <v>168</v>
      </c>
      <c r="E149" s="169" t="s">
        <v>163</v>
      </c>
      <c r="F149" s="32" t="s">
        <v>111</v>
      </c>
      <c r="G149" s="32">
        <v>75</v>
      </c>
      <c r="H149" s="32" t="s">
        <v>185</v>
      </c>
      <c r="I149" s="32">
        <v>2726</v>
      </c>
      <c r="J149" s="36">
        <v>756.47</v>
      </c>
      <c r="K149" s="32" t="s">
        <v>3895</v>
      </c>
      <c r="L149" s="169" t="s">
        <v>3738</v>
      </c>
      <c r="M149" s="32" t="s">
        <v>111</v>
      </c>
    </row>
    <row r="150" spans="1:13" x14ac:dyDescent="0.25">
      <c r="A150" s="168">
        <v>46181</v>
      </c>
      <c r="B150" s="32">
        <v>1</v>
      </c>
      <c r="C150" s="32" t="s">
        <v>342</v>
      </c>
      <c r="D150" s="169" t="s">
        <v>171</v>
      </c>
      <c r="E150" s="169" t="s">
        <v>163</v>
      </c>
      <c r="F150" s="32" t="s">
        <v>164</v>
      </c>
      <c r="G150" s="32">
        <v>52</v>
      </c>
      <c r="H150" s="32" t="s">
        <v>185</v>
      </c>
      <c r="I150" s="32">
        <v>4496</v>
      </c>
      <c r="J150" s="36">
        <v>865.03</v>
      </c>
      <c r="K150" s="32" t="s">
        <v>3896</v>
      </c>
      <c r="L150" s="169" t="s">
        <v>20</v>
      </c>
      <c r="M150" s="32" t="s">
        <v>224</v>
      </c>
    </row>
    <row r="151" spans="1:13" x14ac:dyDescent="0.25">
      <c r="A151" s="168">
        <v>46181</v>
      </c>
      <c r="B151" s="32">
        <v>1</v>
      </c>
      <c r="C151" s="32" t="s">
        <v>202</v>
      </c>
      <c r="D151" s="169" t="s">
        <v>214</v>
      </c>
      <c r="E151" s="169" t="s">
        <v>166</v>
      </c>
      <c r="F151" s="32" t="s">
        <v>191</v>
      </c>
      <c r="G151" s="32">
        <v>243</v>
      </c>
      <c r="H151" s="32" t="s">
        <v>165</v>
      </c>
      <c r="I151" s="32">
        <v>6538</v>
      </c>
      <c r="J151" s="36">
        <v>5878.32</v>
      </c>
      <c r="K151" s="32" t="s">
        <v>3897</v>
      </c>
      <c r="L151" s="169" t="s">
        <v>36</v>
      </c>
      <c r="M151" s="32" t="s">
        <v>3780</v>
      </c>
    </row>
    <row r="152" spans="1:13" x14ac:dyDescent="0.25">
      <c r="A152" s="168">
        <v>46181</v>
      </c>
      <c r="B152" s="32">
        <v>1</v>
      </c>
      <c r="C152" s="32" t="s">
        <v>208</v>
      </c>
      <c r="D152" s="169" t="s">
        <v>209</v>
      </c>
      <c r="E152" s="169" t="s">
        <v>190</v>
      </c>
      <c r="F152" s="32" t="s">
        <v>212</v>
      </c>
      <c r="G152" s="32">
        <v>376</v>
      </c>
      <c r="H152" s="32" t="s">
        <v>165</v>
      </c>
      <c r="I152" s="32">
        <v>570</v>
      </c>
      <c r="J152" s="36">
        <v>6858.24</v>
      </c>
      <c r="K152" s="32" t="s">
        <v>3898</v>
      </c>
      <c r="L152" s="169" t="s">
        <v>22</v>
      </c>
      <c r="M152" s="32" t="s">
        <v>223</v>
      </c>
    </row>
    <row r="153" spans="1:13" x14ac:dyDescent="0.25">
      <c r="A153" s="168">
        <v>46181</v>
      </c>
      <c r="B153" s="32">
        <v>1</v>
      </c>
      <c r="C153" s="32" t="s">
        <v>283</v>
      </c>
      <c r="D153" s="169" t="s">
        <v>282</v>
      </c>
      <c r="E153" s="169" t="s">
        <v>166</v>
      </c>
      <c r="F153" s="32" t="s">
        <v>1178</v>
      </c>
      <c r="G153" s="32">
        <v>51</v>
      </c>
      <c r="H153" s="32" t="s">
        <v>172</v>
      </c>
      <c r="I153" s="32">
        <v>2924</v>
      </c>
      <c r="J153" s="36">
        <v>551.76</v>
      </c>
      <c r="K153" s="32" t="s">
        <v>3899</v>
      </c>
      <c r="L153" s="169" t="s">
        <v>3847</v>
      </c>
      <c r="M153" s="32" t="s">
        <v>1178</v>
      </c>
    </row>
    <row r="154" spans="1:13" x14ac:dyDescent="0.25">
      <c r="A154" s="168">
        <v>46181</v>
      </c>
      <c r="B154" s="32">
        <v>1</v>
      </c>
      <c r="C154" s="32" t="s">
        <v>1129</v>
      </c>
      <c r="D154" s="169" t="s">
        <v>2396</v>
      </c>
      <c r="E154" s="169" t="s">
        <v>163</v>
      </c>
      <c r="F154" s="32" t="s">
        <v>111</v>
      </c>
      <c r="G154" s="32">
        <v>75</v>
      </c>
      <c r="H154" s="32" t="s">
        <v>185</v>
      </c>
      <c r="I154" s="32">
        <v>2908</v>
      </c>
      <c r="J154" s="36">
        <v>806.97</v>
      </c>
      <c r="K154" s="32" t="s">
        <v>3900</v>
      </c>
      <c r="L154" s="169" t="s">
        <v>3738</v>
      </c>
      <c r="M154" s="32" t="s">
        <v>111</v>
      </c>
    </row>
    <row r="155" spans="1:13" x14ac:dyDescent="0.25">
      <c r="A155" s="168">
        <v>46181</v>
      </c>
      <c r="B155" s="32">
        <v>1</v>
      </c>
      <c r="C155" s="32" t="s">
        <v>1129</v>
      </c>
      <c r="D155" s="169" t="s">
        <v>2396</v>
      </c>
      <c r="E155" s="169" t="s">
        <v>163</v>
      </c>
      <c r="F155" s="32" t="s">
        <v>111</v>
      </c>
      <c r="G155" s="32">
        <v>75</v>
      </c>
      <c r="H155" s="32" t="s">
        <v>185</v>
      </c>
      <c r="I155" s="32">
        <v>2553</v>
      </c>
      <c r="J155" s="36">
        <v>708.46</v>
      </c>
      <c r="K155" s="32" t="s">
        <v>3901</v>
      </c>
      <c r="L155" s="169" t="s">
        <v>3738</v>
      </c>
      <c r="M155" s="32" t="s">
        <v>111</v>
      </c>
    </row>
    <row r="156" spans="1:13" x14ac:dyDescent="0.25">
      <c r="A156" s="168">
        <v>46181</v>
      </c>
      <c r="B156" s="32">
        <v>1</v>
      </c>
      <c r="C156" s="32" t="s">
        <v>193</v>
      </c>
      <c r="D156" s="169" t="s">
        <v>285</v>
      </c>
      <c r="E156" s="169" t="s">
        <v>163</v>
      </c>
      <c r="F156" s="32" t="s">
        <v>111</v>
      </c>
      <c r="G156" s="32">
        <v>75</v>
      </c>
      <c r="H156" s="32" t="s">
        <v>185</v>
      </c>
      <c r="I156" s="32">
        <v>283</v>
      </c>
      <c r="J156" s="36">
        <v>785.33</v>
      </c>
      <c r="K156" s="32" t="s">
        <v>3902</v>
      </c>
      <c r="L156" s="169" t="s">
        <v>3738</v>
      </c>
      <c r="M156" s="32" t="s">
        <v>111</v>
      </c>
    </row>
    <row r="157" spans="1:13" x14ac:dyDescent="0.25">
      <c r="A157" s="168">
        <v>46181</v>
      </c>
      <c r="B157" s="32">
        <v>1</v>
      </c>
      <c r="C157" s="32" t="s">
        <v>193</v>
      </c>
      <c r="D157" s="169" t="s">
        <v>285</v>
      </c>
      <c r="E157" s="169" t="s">
        <v>163</v>
      </c>
      <c r="F157" s="32" t="s">
        <v>111</v>
      </c>
      <c r="G157" s="32">
        <v>75</v>
      </c>
      <c r="H157" s="32" t="s">
        <v>185</v>
      </c>
      <c r="I157" s="32">
        <v>2776</v>
      </c>
      <c r="J157" s="36">
        <v>770.34</v>
      </c>
      <c r="K157" s="32" t="s">
        <v>3903</v>
      </c>
      <c r="L157" s="169" t="s">
        <v>3738</v>
      </c>
      <c r="M157" s="32" t="s">
        <v>111</v>
      </c>
    </row>
    <row r="158" spans="1:13" x14ac:dyDescent="0.25">
      <c r="A158" s="168">
        <v>46181</v>
      </c>
      <c r="B158" s="32">
        <v>1</v>
      </c>
      <c r="C158" s="32" t="s">
        <v>275</v>
      </c>
      <c r="D158" s="169" t="s">
        <v>178</v>
      </c>
      <c r="E158" s="169" t="s">
        <v>163</v>
      </c>
      <c r="F158" s="32" t="s">
        <v>164</v>
      </c>
      <c r="G158" s="32">
        <v>52</v>
      </c>
      <c r="H158" s="32" t="s">
        <v>175</v>
      </c>
      <c r="I158" s="32">
        <v>4458</v>
      </c>
      <c r="J158" s="36">
        <v>857.72</v>
      </c>
      <c r="K158" s="32" t="s">
        <v>3904</v>
      </c>
      <c r="L158" s="169" t="s">
        <v>21</v>
      </c>
      <c r="M158" s="32" t="s">
        <v>224</v>
      </c>
    </row>
    <row r="159" spans="1:13" x14ac:dyDescent="0.25">
      <c r="A159" s="168">
        <v>46181</v>
      </c>
      <c r="B159" s="32">
        <v>1</v>
      </c>
      <c r="C159" s="32" t="s">
        <v>275</v>
      </c>
      <c r="D159" s="169" t="s">
        <v>178</v>
      </c>
      <c r="E159" s="169" t="s">
        <v>166</v>
      </c>
      <c r="F159" s="32" t="s">
        <v>164</v>
      </c>
      <c r="G159" s="32">
        <v>58</v>
      </c>
      <c r="H159" s="32" t="s">
        <v>165</v>
      </c>
      <c r="I159" s="32">
        <v>4668</v>
      </c>
      <c r="J159" s="36">
        <v>1001.75</v>
      </c>
      <c r="K159" s="32" t="s">
        <v>3905</v>
      </c>
      <c r="L159" s="169" t="s">
        <v>27</v>
      </c>
      <c r="M159" s="32" t="s">
        <v>224</v>
      </c>
    </row>
    <row r="160" spans="1:13" x14ac:dyDescent="0.25">
      <c r="A160" s="168">
        <v>46181</v>
      </c>
      <c r="B160" s="32">
        <v>1</v>
      </c>
      <c r="C160" s="32" t="s">
        <v>183</v>
      </c>
      <c r="D160" s="169" t="s">
        <v>184</v>
      </c>
      <c r="E160" s="169" t="s">
        <v>163</v>
      </c>
      <c r="F160" s="32" t="s">
        <v>164</v>
      </c>
      <c r="G160" s="32">
        <v>52</v>
      </c>
      <c r="H160" s="32" t="s">
        <v>175</v>
      </c>
      <c r="I160" s="32">
        <v>2892</v>
      </c>
      <c r="J160" s="36">
        <v>556.41999999999996</v>
      </c>
      <c r="K160" s="32" t="s">
        <v>3906</v>
      </c>
      <c r="L160" s="169" t="s">
        <v>21</v>
      </c>
      <c r="M160" s="32" t="s">
        <v>224</v>
      </c>
    </row>
    <row r="161" spans="1:13" x14ac:dyDescent="0.25">
      <c r="A161" s="168">
        <v>46181</v>
      </c>
      <c r="B161" s="32">
        <v>1</v>
      </c>
      <c r="C161" s="32" t="s">
        <v>183</v>
      </c>
      <c r="D161" s="169" t="s">
        <v>184</v>
      </c>
      <c r="E161" s="169" t="s">
        <v>163</v>
      </c>
      <c r="F161" s="32" t="s">
        <v>164</v>
      </c>
      <c r="G161" s="32">
        <v>52</v>
      </c>
      <c r="H161" s="32" t="s">
        <v>175</v>
      </c>
      <c r="I161" s="32">
        <v>2674</v>
      </c>
      <c r="J161" s="36">
        <v>514.48</v>
      </c>
      <c r="K161" s="32" t="s">
        <v>3907</v>
      </c>
      <c r="L161" s="169" t="s">
        <v>21</v>
      </c>
      <c r="M161" s="32" t="s">
        <v>224</v>
      </c>
    </row>
    <row r="162" spans="1:13" x14ac:dyDescent="0.25">
      <c r="A162" s="168">
        <v>46181</v>
      </c>
      <c r="B162" s="32">
        <v>1</v>
      </c>
      <c r="C162" s="32" t="s">
        <v>183</v>
      </c>
      <c r="D162" s="169" t="s">
        <v>184</v>
      </c>
      <c r="E162" s="169" t="s">
        <v>163</v>
      </c>
      <c r="F162" s="32" t="s">
        <v>111</v>
      </c>
      <c r="G162" s="32">
        <v>75</v>
      </c>
      <c r="H162" s="32" t="s">
        <v>169</v>
      </c>
      <c r="I162" s="32">
        <v>3148</v>
      </c>
      <c r="J162" s="36">
        <v>873.57</v>
      </c>
      <c r="K162" s="32" t="s">
        <v>3908</v>
      </c>
      <c r="L162" s="169" t="s">
        <v>3742</v>
      </c>
      <c r="M162" s="32" t="s">
        <v>111</v>
      </c>
    </row>
    <row r="163" spans="1:13" x14ac:dyDescent="0.25">
      <c r="A163" s="168">
        <v>46181</v>
      </c>
      <c r="B163" s="32">
        <v>1</v>
      </c>
      <c r="C163" s="32" t="s">
        <v>219</v>
      </c>
      <c r="D163" s="169" t="s">
        <v>220</v>
      </c>
      <c r="E163" s="169" t="s">
        <v>163</v>
      </c>
      <c r="F163" s="32" t="s">
        <v>164</v>
      </c>
      <c r="G163" s="32">
        <v>52</v>
      </c>
      <c r="H163" s="32" t="s">
        <v>175</v>
      </c>
      <c r="I163" s="32">
        <v>524</v>
      </c>
      <c r="J163" s="36">
        <v>1008.18</v>
      </c>
      <c r="K163" s="32" t="s">
        <v>3909</v>
      </c>
      <c r="L163" s="169" t="s">
        <v>21</v>
      </c>
      <c r="M163" s="32" t="s">
        <v>224</v>
      </c>
    </row>
    <row r="164" spans="1:13" x14ac:dyDescent="0.25">
      <c r="A164" s="168">
        <v>46181</v>
      </c>
      <c r="B164" s="32">
        <v>1</v>
      </c>
      <c r="C164" s="32" t="s">
        <v>219</v>
      </c>
      <c r="D164" s="169" t="s">
        <v>220</v>
      </c>
      <c r="E164" s="169" t="s">
        <v>163</v>
      </c>
      <c r="F164" s="32" t="s">
        <v>164</v>
      </c>
      <c r="G164" s="32">
        <v>52</v>
      </c>
      <c r="H164" s="32" t="s">
        <v>175</v>
      </c>
      <c r="I164" s="32">
        <v>531</v>
      </c>
      <c r="J164" s="36">
        <v>1021.64</v>
      </c>
      <c r="K164" s="32" t="s">
        <v>3910</v>
      </c>
      <c r="L164" s="169" t="s">
        <v>21</v>
      </c>
      <c r="M164" s="32" t="s">
        <v>224</v>
      </c>
    </row>
    <row r="165" spans="1:13" x14ac:dyDescent="0.25">
      <c r="A165" s="168">
        <v>46181</v>
      </c>
      <c r="B165" s="32">
        <v>1</v>
      </c>
      <c r="C165" s="32" t="s">
        <v>286</v>
      </c>
      <c r="D165" s="169" t="s">
        <v>506</v>
      </c>
      <c r="E165" s="169" t="s">
        <v>163</v>
      </c>
      <c r="F165" s="32" t="s">
        <v>164</v>
      </c>
      <c r="G165" s="32">
        <v>52</v>
      </c>
      <c r="H165" s="32" t="s">
        <v>175</v>
      </c>
      <c r="I165" s="32">
        <v>4704</v>
      </c>
      <c r="J165" s="36">
        <v>905.05</v>
      </c>
      <c r="K165" s="32" t="s">
        <v>3911</v>
      </c>
      <c r="L165" s="169" t="s">
        <v>21</v>
      </c>
      <c r="M165" s="32" t="s">
        <v>224</v>
      </c>
    </row>
    <row r="166" spans="1:13" x14ac:dyDescent="0.25">
      <c r="A166" s="168">
        <v>46181</v>
      </c>
      <c r="B166" s="32">
        <v>1</v>
      </c>
      <c r="C166" s="32" t="s">
        <v>286</v>
      </c>
      <c r="D166" s="169" t="s">
        <v>506</v>
      </c>
      <c r="E166" s="169" t="s">
        <v>163</v>
      </c>
      <c r="F166" s="32" t="s">
        <v>164</v>
      </c>
      <c r="G166" s="32">
        <v>52</v>
      </c>
      <c r="H166" s="32" t="s">
        <v>175</v>
      </c>
      <c r="I166" s="32">
        <v>442</v>
      </c>
      <c r="J166" s="36">
        <v>850.41</v>
      </c>
      <c r="K166" s="32" t="s">
        <v>3912</v>
      </c>
      <c r="L166" s="169" t="s">
        <v>21</v>
      </c>
      <c r="M166" s="32" t="s">
        <v>224</v>
      </c>
    </row>
    <row r="167" spans="1:13" x14ac:dyDescent="0.25">
      <c r="A167" s="168">
        <v>46181</v>
      </c>
      <c r="B167" s="32">
        <v>1</v>
      </c>
      <c r="C167" s="32" t="s">
        <v>179</v>
      </c>
      <c r="D167" s="169" t="s">
        <v>2863</v>
      </c>
      <c r="E167" s="169" t="s">
        <v>166</v>
      </c>
      <c r="F167" s="32" t="s">
        <v>111</v>
      </c>
      <c r="G167" s="32">
        <v>79</v>
      </c>
      <c r="H167" s="32" t="s">
        <v>169</v>
      </c>
      <c r="I167" s="32">
        <v>2818</v>
      </c>
      <c r="J167" s="36">
        <v>823.7</v>
      </c>
      <c r="K167" s="32" t="s">
        <v>3913</v>
      </c>
      <c r="L167" s="169" t="s">
        <v>116</v>
      </c>
      <c r="M167" s="32" t="s">
        <v>111</v>
      </c>
    </row>
    <row r="168" spans="1:13" x14ac:dyDescent="0.25">
      <c r="A168" s="168">
        <v>46181</v>
      </c>
      <c r="B168" s="32">
        <v>1</v>
      </c>
      <c r="C168" s="32" t="s">
        <v>179</v>
      </c>
      <c r="D168" s="169" t="s">
        <v>2863</v>
      </c>
      <c r="E168" s="169" t="s">
        <v>166</v>
      </c>
      <c r="F168" s="32" t="s">
        <v>111</v>
      </c>
      <c r="G168" s="32">
        <v>79</v>
      </c>
      <c r="H168" s="32" t="s">
        <v>169</v>
      </c>
      <c r="I168" s="32">
        <v>2617</v>
      </c>
      <c r="J168" s="36">
        <v>764.95</v>
      </c>
      <c r="K168" s="32" t="s">
        <v>3914</v>
      </c>
      <c r="L168" s="169" t="s">
        <v>116</v>
      </c>
      <c r="M168" s="32" t="s">
        <v>111</v>
      </c>
    </row>
    <row r="169" spans="1:13" x14ac:dyDescent="0.25">
      <c r="A169" s="168">
        <v>46182</v>
      </c>
      <c r="B169" s="32">
        <v>1</v>
      </c>
      <c r="C169" s="32" t="s">
        <v>342</v>
      </c>
      <c r="D169" s="169" t="s">
        <v>171</v>
      </c>
      <c r="E169" s="169" t="s">
        <v>163</v>
      </c>
      <c r="F169" s="32" t="s">
        <v>164</v>
      </c>
      <c r="G169" s="32">
        <v>52</v>
      </c>
      <c r="H169" s="32" t="s">
        <v>185</v>
      </c>
      <c r="I169" s="32">
        <v>4491</v>
      </c>
      <c r="J169" s="36">
        <v>864.07</v>
      </c>
      <c r="K169" s="32" t="s">
        <v>3915</v>
      </c>
      <c r="L169" s="169" t="s">
        <v>20</v>
      </c>
      <c r="M169" s="32" t="s">
        <v>224</v>
      </c>
    </row>
    <row r="170" spans="1:13" x14ac:dyDescent="0.25">
      <c r="A170" s="168">
        <v>46182</v>
      </c>
      <c r="B170" s="32">
        <v>1</v>
      </c>
      <c r="C170" s="32" t="s">
        <v>199</v>
      </c>
      <c r="D170" s="169" t="s">
        <v>180</v>
      </c>
      <c r="E170" s="169" t="s">
        <v>163</v>
      </c>
      <c r="F170" s="32" t="s">
        <v>111</v>
      </c>
      <c r="G170" s="32">
        <v>75</v>
      </c>
      <c r="H170" s="32" t="s">
        <v>185</v>
      </c>
      <c r="I170" s="32">
        <v>2855</v>
      </c>
      <c r="J170" s="36">
        <v>792.26</v>
      </c>
      <c r="K170" s="32" t="s">
        <v>3916</v>
      </c>
      <c r="L170" s="169" t="s">
        <v>3738</v>
      </c>
      <c r="M170" s="32" t="s">
        <v>111</v>
      </c>
    </row>
    <row r="171" spans="1:13" x14ac:dyDescent="0.25">
      <c r="A171" s="168">
        <v>46182</v>
      </c>
      <c r="B171" s="32">
        <v>1</v>
      </c>
      <c r="C171" s="32" t="s">
        <v>167</v>
      </c>
      <c r="D171" s="169" t="s">
        <v>168</v>
      </c>
      <c r="E171" s="169" t="s">
        <v>163</v>
      </c>
      <c r="F171" s="32" t="s">
        <v>111</v>
      </c>
      <c r="G171" s="32">
        <v>75</v>
      </c>
      <c r="H171" s="32" t="s">
        <v>185</v>
      </c>
      <c r="I171" s="32">
        <v>2689</v>
      </c>
      <c r="J171" s="36">
        <v>746.2</v>
      </c>
      <c r="K171" s="32" t="s">
        <v>3917</v>
      </c>
      <c r="L171" s="169" t="s">
        <v>3738</v>
      </c>
      <c r="M171" s="32" t="s">
        <v>111</v>
      </c>
    </row>
    <row r="172" spans="1:13" x14ac:dyDescent="0.25">
      <c r="A172" s="168">
        <v>46182</v>
      </c>
      <c r="B172" s="32">
        <v>1</v>
      </c>
      <c r="C172" s="32" t="s">
        <v>167</v>
      </c>
      <c r="D172" s="169" t="s">
        <v>168</v>
      </c>
      <c r="E172" s="169" t="s">
        <v>163</v>
      </c>
      <c r="F172" s="32" t="s">
        <v>164</v>
      </c>
      <c r="G172" s="32">
        <v>52</v>
      </c>
      <c r="H172" s="32" t="s">
        <v>185</v>
      </c>
      <c r="I172" s="32">
        <v>2664</v>
      </c>
      <c r="J172" s="36">
        <v>512.54999999999995</v>
      </c>
      <c r="K172" s="32" t="s">
        <v>3918</v>
      </c>
      <c r="L172" s="169" t="s">
        <v>20</v>
      </c>
      <c r="M172" s="32" t="s">
        <v>224</v>
      </c>
    </row>
    <row r="173" spans="1:13" x14ac:dyDescent="0.25">
      <c r="A173" s="168">
        <v>46182</v>
      </c>
      <c r="B173" s="32">
        <v>1</v>
      </c>
      <c r="C173" s="32" t="s">
        <v>202</v>
      </c>
      <c r="D173" s="169" t="s">
        <v>214</v>
      </c>
      <c r="E173" s="169" t="s">
        <v>166</v>
      </c>
      <c r="F173" s="32" t="s">
        <v>191</v>
      </c>
      <c r="G173" s="32">
        <v>243</v>
      </c>
      <c r="H173" s="32" t="s">
        <v>165</v>
      </c>
      <c r="I173" s="32">
        <v>6422</v>
      </c>
      <c r="J173" s="36">
        <v>5774.02</v>
      </c>
      <c r="K173" s="32" t="s">
        <v>3919</v>
      </c>
      <c r="L173" s="169" t="s">
        <v>36</v>
      </c>
      <c r="M173" s="32" t="s">
        <v>3780</v>
      </c>
    </row>
    <row r="174" spans="1:13" x14ac:dyDescent="0.25">
      <c r="A174" s="168">
        <v>46182</v>
      </c>
      <c r="B174" s="32">
        <v>1</v>
      </c>
      <c r="C174" s="32" t="s">
        <v>196</v>
      </c>
      <c r="D174" s="169" t="s">
        <v>197</v>
      </c>
      <c r="E174" s="169" t="s">
        <v>276</v>
      </c>
      <c r="F174" s="32" t="s">
        <v>2033</v>
      </c>
      <c r="G174" s="32">
        <v>323</v>
      </c>
      <c r="H174" s="32" t="s">
        <v>172</v>
      </c>
      <c r="I174" s="32">
        <v>7192</v>
      </c>
      <c r="J174" s="36">
        <v>7433.65</v>
      </c>
      <c r="K174" s="32" t="s">
        <v>3920</v>
      </c>
      <c r="L174" s="169" t="s">
        <v>3735</v>
      </c>
      <c r="M174" s="32" t="s">
        <v>15</v>
      </c>
    </row>
    <row r="175" spans="1:13" x14ac:dyDescent="0.25">
      <c r="A175" s="168">
        <v>46182</v>
      </c>
      <c r="B175" s="32">
        <v>1</v>
      </c>
      <c r="C175" s="32" t="s">
        <v>342</v>
      </c>
      <c r="D175" s="169" t="s">
        <v>171</v>
      </c>
      <c r="E175" s="169" t="s">
        <v>163</v>
      </c>
      <c r="F175" s="32" t="s">
        <v>164</v>
      </c>
      <c r="G175" s="32">
        <v>52</v>
      </c>
      <c r="H175" s="32" t="s">
        <v>185</v>
      </c>
      <c r="I175" s="32">
        <v>4534</v>
      </c>
      <c r="J175" s="36">
        <v>872.34</v>
      </c>
      <c r="K175" s="32" t="s">
        <v>3921</v>
      </c>
      <c r="L175" s="169" t="s">
        <v>20</v>
      </c>
      <c r="M175" s="32" t="s">
        <v>224</v>
      </c>
    </row>
    <row r="176" spans="1:13" x14ac:dyDescent="0.25">
      <c r="A176" s="168">
        <v>46182</v>
      </c>
      <c r="B176" s="32">
        <v>1</v>
      </c>
      <c r="C176" s="32" t="s">
        <v>283</v>
      </c>
      <c r="D176" s="169" t="s">
        <v>282</v>
      </c>
      <c r="E176" s="169" t="s">
        <v>166</v>
      </c>
      <c r="F176" s="32" t="s">
        <v>1178</v>
      </c>
      <c r="G176" s="32">
        <v>51</v>
      </c>
      <c r="H176" s="32" t="s">
        <v>172</v>
      </c>
      <c r="I176" s="32">
        <v>2706</v>
      </c>
      <c r="J176" s="36">
        <v>510.62</v>
      </c>
      <c r="K176" s="32" t="s">
        <v>3922</v>
      </c>
      <c r="L176" s="169" t="s">
        <v>3847</v>
      </c>
      <c r="M176" s="32" t="s">
        <v>1178</v>
      </c>
    </row>
    <row r="177" spans="1:13" x14ac:dyDescent="0.25">
      <c r="A177" s="168">
        <v>46182</v>
      </c>
      <c r="B177" s="32">
        <v>1</v>
      </c>
      <c r="C177" s="32" t="s">
        <v>283</v>
      </c>
      <c r="D177" s="169" t="s">
        <v>282</v>
      </c>
      <c r="E177" s="169" t="s">
        <v>166</v>
      </c>
      <c r="F177" s="32" t="s">
        <v>1178</v>
      </c>
      <c r="G177" s="32">
        <v>51</v>
      </c>
      <c r="H177" s="32" t="s">
        <v>172</v>
      </c>
      <c r="I177" s="32">
        <v>2668</v>
      </c>
      <c r="J177" s="36">
        <v>503.45</v>
      </c>
      <c r="K177" s="32" t="s">
        <v>3923</v>
      </c>
      <c r="L177" s="169" t="s">
        <v>3847</v>
      </c>
      <c r="M177" s="32" t="s">
        <v>1178</v>
      </c>
    </row>
    <row r="178" spans="1:13" x14ac:dyDescent="0.25">
      <c r="A178" s="168">
        <v>46182</v>
      </c>
      <c r="B178" s="32">
        <v>1</v>
      </c>
      <c r="C178" s="32" t="s">
        <v>296</v>
      </c>
      <c r="D178" s="169" t="s">
        <v>1536</v>
      </c>
      <c r="E178" s="169" t="s">
        <v>2757</v>
      </c>
      <c r="F178" s="32" t="s">
        <v>2867</v>
      </c>
      <c r="G178" s="32">
        <v>383</v>
      </c>
      <c r="H178" s="32" t="s">
        <v>279</v>
      </c>
      <c r="I178" s="32">
        <v>340</v>
      </c>
      <c r="J178" s="36">
        <v>4167.04</v>
      </c>
      <c r="K178" s="32" t="s">
        <v>3924</v>
      </c>
      <c r="L178" s="169" t="s">
        <v>3925</v>
      </c>
      <c r="M178" s="32" t="s">
        <v>15</v>
      </c>
    </row>
    <row r="179" spans="1:13" x14ac:dyDescent="0.25">
      <c r="A179" s="168">
        <v>46182</v>
      </c>
      <c r="B179" s="32">
        <v>1</v>
      </c>
      <c r="C179" s="32" t="s">
        <v>183</v>
      </c>
      <c r="D179" s="169" t="s">
        <v>184</v>
      </c>
      <c r="E179" s="169" t="s">
        <v>163</v>
      </c>
      <c r="F179" s="32" t="s">
        <v>111</v>
      </c>
      <c r="G179" s="32">
        <v>75</v>
      </c>
      <c r="H179" s="32" t="s">
        <v>169</v>
      </c>
      <c r="I179" s="32">
        <v>264</v>
      </c>
      <c r="J179" s="36">
        <v>732.6</v>
      </c>
      <c r="K179" s="32" t="s">
        <v>3926</v>
      </c>
      <c r="L179" s="169" t="s">
        <v>3742</v>
      </c>
      <c r="M179" s="32" t="s">
        <v>111</v>
      </c>
    </row>
    <row r="180" spans="1:13" x14ac:dyDescent="0.25">
      <c r="A180" s="168">
        <v>46182</v>
      </c>
      <c r="B180" s="32">
        <v>1</v>
      </c>
      <c r="C180" s="32" t="s">
        <v>183</v>
      </c>
      <c r="D180" s="169" t="s">
        <v>184</v>
      </c>
      <c r="E180" s="169" t="s">
        <v>163</v>
      </c>
      <c r="F180" s="32" t="s">
        <v>111</v>
      </c>
      <c r="G180" s="32">
        <v>75</v>
      </c>
      <c r="H180" s="32" t="s">
        <v>169</v>
      </c>
      <c r="I180" s="32">
        <v>2568</v>
      </c>
      <c r="J180" s="36">
        <v>712.62</v>
      </c>
      <c r="K180" s="32" t="s">
        <v>3927</v>
      </c>
      <c r="L180" s="169" t="s">
        <v>3742</v>
      </c>
      <c r="M180" s="32" t="s">
        <v>111</v>
      </c>
    </row>
    <row r="181" spans="1:13" x14ac:dyDescent="0.25">
      <c r="A181" s="168">
        <v>46182</v>
      </c>
      <c r="B181" s="32">
        <v>1</v>
      </c>
      <c r="C181" s="32" t="s">
        <v>205</v>
      </c>
      <c r="D181" s="169" t="s">
        <v>206</v>
      </c>
      <c r="E181" s="169" t="s">
        <v>276</v>
      </c>
      <c r="F181" s="32" t="s">
        <v>2033</v>
      </c>
      <c r="G181" s="32">
        <v>323</v>
      </c>
      <c r="H181" s="32" t="s">
        <v>185</v>
      </c>
      <c r="I181" s="32">
        <v>7328</v>
      </c>
      <c r="J181" s="36">
        <v>7574.22</v>
      </c>
      <c r="K181" s="32" t="s">
        <v>3928</v>
      </c>
      <c r="L181" s="169" t="s">
        <v>3817</v>
      </c>
      <c r="M181" s="32" t="s">
        <v>15</v>
      </c>
    </row>
    <row r="182" spans="1:13" x14ac:dyDescent="0.25">
      <c r="A182" s="168">
        <v>46182</v>
      </c>
      <c r="B182" s="32">
        <v>1</v>
      </c>
      <c r="C182" s="32" t="s">
        <v>286</v>
      </c>
      <c r="D182" s="169" t="s">
        <v>506</v>
      </c>
      <c r="E182" s="169" t="s">
        <v>163</v>
      </c>
      <c r="F182" s="32" t="s">
        <v>164</v>
      </c>
      <c r="G182" s="32">
        <v>52</v>
      </c>
      <c r="H182" s="32" t="s">
        <v>175</v>
      </c>
      <c r="I182" s="32">
        <v>4463</v>
      </c>
      <c r="J182" s="36">
        <v>858.68</v>
      </c>
      <c r="K182" s="32" t="s">
        <v>3929</v>
      </c>
      <c r="L182" s="169" t="s">
        <v>21</v>
      </c>
      <c r="M182" s="32" t="s">
        <v>224</v>
      </c>
    </row>
    <row r="183" spans="1:13" x14ac:dyDescent="0.25">
      <c r="A183" s="168">
        <v>46182</v>
      </c>
      <c r="B183" s="32">
        <v>1</v>
      </c>
      <c r="C183" s="32" t="s">
        <v>167</v>
      </c>
      <c r="D183" s="169" t="s">
        <v>168</v>
      </c>
      <c r="E183" s="169" t="s">
        <v>163</v>
      </c>
      <c r="F183" s="32" t="s">
        <v>111</v>
      </c>
      <c r="G183" s="32">
        <v>75</v>
      </c>
      <c r="H183" s="32" t="s">
        <v>185</v>
      </c>
      <c r="I183" s="32">
        <v>2652</v>
      </c>
      <c r="J183" s="36">
        <v>735.93</v>
      </c>
      <c r="K183" s="32" t="s">
        <v>3930</v>
      </c>
      <c r="L183" s="169" t="s">
        <v>3738</v>
      </c>
      <c r="M183" s="32" t="s">
        <v>111</v>
      </c>
    </row>
    <row r="184" spans="1:13" x14ac:dyDescent="0.25">
      <c r="A184" s="168">
        <v>46182</v>
      </c>
      <c r="B184" s="32">
        <v>1</v>
      </c>
      <c r="C184" s="32" t="s">
        <v>192</v>
      </c>
      <c r="D184" s="169" t="s">
        <v>287</v>
      </c>
      <c r="E184" s="169" t="s">
        <v>166</v>
      </c>
      <c r="F184" s="32" t="s">
        <v>191</v>
      </c>
      <c r="G184" s="32">
        <v>243</v>
      </c>
      <c r="H184" s="32" t="s">
        <v>165</v>
      </c>
      <c r="I184" s="32">
        <v>5512</v>
      </c>
      <c r="J184" s="36">
        <v>4955.84</v>
      </c>
      <c r="K184" s="32" t="s">
        <v>3931</v>
      </c>
      <c r="L184" s="169" t="s">
        <v>36</v>
      </c>
      <c r="M184" s="32" t="s">
        <v>3780</v>
      </c>
    </row>
    <row r="185" spans="1:13" x14ac:dyDescent="0.25">
      <c r="A185" s="168">
        <v>46182</v>
      </c>
      <c r="B185" s="32">
        <v>1</v>
      </c>
      <c r="C185" s="32" t="s">
        <v>275</v>
      </c>
      <c r="D185" s="169" t="s">
        <v>178</v>
      </c>
      <c r="E185" s="169" t="s">
        <v>166</v>
      </c>
      <c r="F185" s="32" t="s">
        <v>164</v>
      </c>
      <c r="G185" s="32">
        <v>58</v>
      </c>
      <c r="H185" s="32" t="s">
        <v>165</v>
      </c>
      <c r="I185" s="32">
        <v>4688</v>
      </c>
      <c r="J185" s="36">
        <v>1006.04</v>
      </c>
      <c r="K185" s="32" t="s">
        <v>3932</v>
      </c>
      <c r="L185" s="169" t="s">
        <v>27</v>
      </c>
      <c r="M185" s="32" t="s">
        <v>224</v>
      </c>
    </row>
    <row r="186" spans="1:13" x14ac:dyDescent="0.25">
      <c r="A186" s="168">
        <v>46182</v>
      </c>
      <c r="B186" s="32">
        <v>1</v>
      </c>
      <c r="C186" s="32" t="s">
        <v>219</v>
      </c>
      <c r="D186" s="169" t="s">
        <v>220</v>
      </c>
      <c r="E186" s="169" t="s">
        <v>163</v>
      </c>
      <c r="F186" s="32" t="s">
        <v>164</v>
      </c>
      <c r="G186" s="32">
        <v>52</v>
      </c>
      <c r="H186" s="32" t="s">
        <v>175</v>
      </c>
      <c r="I186" s="32">
        <v>366</v>
      </c>
      <c r="J186" s="36">
        <v>704.18</v>
      </c>
      <c r="K186" s="32" t="s">
        <v>3933</v>
      </c>
      <c r="L186" s="169" t="s">
        <v>21</v>
      </c>
      <c r="M186" s="32" t="s">
        <v>224</v>
      </c>
    </row>
    <row r="187" spans="1:13" x14ac:dyDescent="0.25">
      <c r="A187" s="168">
        <v>46182</v>
      </c>
      <c r="B187" s="32">
        <v>1</v>
      </c>
      <c r="C187" s="32" t="s">
        <v>193</v>
      </c>
      <c r="D187" s="169" t="s">
        <v>285</v>
      </c>
      <c r="E187" s="169" t="s">
        <v>163</v>
      </c>
      <c r="F187" s="32" t="s">
        <v>111</v>
      </c>
      <c r="G187" s="32">
        <v>75</v>
      </c>
      <c r="H187" s="32" t="s">
        <v>185</v>
      </c>
      <c r="I187" s="32">
        <v>2782</v>
      </c>
      <c r="J187" s="36">
        <v>772.01</v>
      </c>
      <c r="K187" s="32" t="s">
        <v>3934</v>
      </c>
      <c r="L187" s="169" t="s">
        <v>3738</v>
      </c>
      <c r="M187" s="32" t="s">
        <v>111</v>
      </c>
    </row>
    <row r="188" spans="1:13" x14ac:dyDescent="0.25">
      <c r="A188" s="168">
        <v>46182</v>
      </c>
      <c r="B188" s="32">
        <v>1</v>
      </c>
      <c r="C188" s="32" t="s">
        <v>193</v>
      </c>
      <c r="D188" s="169" t="s">
        <v>285</v>
      </c>
      <c r="E188" s="169" t="s">
        <v>163</v>
      </c>
      <c r="F188" s="32" t="s">
        <v>111</v>
      </c>
      <c r="G188" s="32">
        <v>75</v>
      </c>
      <c r="H188" s="32" t="s">
        <v>185</v>
      </c>
      <c r="I188" s="32">
        <v>2676</v>
      </c>
      <c r="J188" s="36">
        <v>742.59</v>
      </c>
      <c r="K188" s="32" t="s">
        <v>3935</v>
      </c>
      <c r="L188" s="169" t="s">
        <v>3738</v>
      </c>
      <c r="M188" s="32" t="s">
        <v>111</v>
      </c>
    </row>
    <row r="189" spans="1:13" x14ac:dyDescent="0.25">
      <c r="A189" s="168">
        <v>46182</v>
      </c>
      <c r="B189" s="32">
        <v>1</v>
      </c>
      <c r="C189" s="32" t="s">
        <v>1948</v>
      </c>
      <c r="D189" s="169" t="s">
        <v>1949</v>
      </c>
      <c r="E189" s="169" t="s">
        <v>2868</v>
      </c>
      <c r="F189" s="32" t="s">
        <v>2881</v>
      </c>
      <c r="G189" s="32">
        <v>62</v>
      </c>
      <c r="H189" s="32" t="s">
        <v>2869</v>
      </c>
      <c r="I189" s="32">
        <v>511</v>
      </c>
      <c r="J189" s="36">
        <v>1172.23</v>
      </c>
      <c r="K189" s="32" t="s">
        <v>3936</v>
      </c>
      <c r="L189" s="169" t="s">
        <v>3825</v>
      </c>
      <c r="M189" s="32" t="s">
        <v>157</v>
      </c>
    </row>
    <row r="190" spans="1:13" x14ac:dyDescent="0.25">
      <c r="A190" s="168">
        <v>46182</v>
      </c>
      <c r="B190" s="32">
        <v>1</v>
      </c>
      <c r="C190" s="32" t="s">
        <v>188</v>
      </c>
      <c r="D190" s="169" t="s">
        <v>189</v>
      </c>
      <c r="E190" s="169" t="s">
        <v>276</v>
      </c>
      <c r="F190" s="32" t="s">
        <v>2033</v>
      </c>
      <c r="G190" s="32">
        <v>323</v>
      </c>
      <c r="H190" s="32" t="s">
        <v>172</v>
      </c>
      <c r="I190" s="32">
        <v>7428</v>
      </c>
      <c r="J190" s="36">
        <v>7677.58</v>
      </c>
      <c r="K190" s="32" t="s">
        <v>3937</v>
      </c>
      <c r="L190" s="169" t="s">
        <v>3735</v>
      </c>
      <c r="M190" s="32" t="s">
        <v>15</v>
      </c>
    </row>
    <row r="191" spans="1:13" x14ac:dyDescent="0.25">
      <c r="A191" s="168">
        <v>46182</v>
      </c>
      <c r="B191" s="32">
        <v>1</v>
      </c>
      <c r="C191" s="32" t="s">
        <v>186</v>
      </c>
      <c r="D191" s="169" t="s">
        <v>187</v>
      </c>
      <c r="E191" s="169" t="s">
        <v>276</v>
      </c>
      <c r="F191" s="32" t="s">
        <v>2033</v>
      </c>
      <c r="G191" s="32">
        <v>323</v>
      </c>
      <c r="H191" s="32" t="s">
        <v>185</v>
      </c>
      <c r="I191" s="32">
        <v>4368</v>
      </c>
      <c r="J191" s="36">
        <v>4514.76</v>
      </c>
      <c r="K191" s="32" t="s">
        <v>3938</v>
      </c>
      <c r="L191" s="169" t="s">
        <v>3817</v>
      </c>
      <c r="M191" s="32" t="s">
        <v>15</v>
      </c>
    </row>
    <row r="192" spans="1:13" x14ac:dyDescent="0.25">
      <c r="A192" s="168">
        <v>46182</v>
      </c>
      <c r="B192" s="32">
        <v>1</v>
      </c>
      <c r="C192" s="32" t="s">
        <v>286</v>
      </c>
      <c r="D192" s="169" t="s">
        <v>506</v>
      </c>
      <c r="E192" s="169" t="s">
        <v>163</v>
      </c>
      <c r="F192" s="32" t="s">
        <v>164</v>
      </c>
      <c r="G192" s="32">
        <v>52</v>
      </c>
      <c r="H192" s="32" t="s">
        <v>165</v>
      </c>
      <c r="I192" s="32">
        <v>4434</v>
      </c>
      <c r="J192" s="36">
        <v>853.1</v>
      </c>
      <c r="K192" s="32" t="s">
        <v>3939</v>
      </c>
      <c r="L192" s="169" t="s">
        <v>31</v>
      </c>
      <c r="M192" s="32" t="s">
        <v>224</v>
      </c>
    </row>
    <row r="193" spans="1:13" x14ac:dyDescent="0.25">
      <c r="A193" s="168">
        <v>46182</v>
      </c>
      <c r="B193" s="32">
        <v>1</v>
      </c>
      <c r="C193" s="32" t="s">
        <v>179</v>
      </c>
      <c r="D193" s="169" t="s">
        <v>2863</v>
      </c>
      <c r="E193" s="169" t="s">
        <v>166</v>
      </c>
      <c r="F193" s="32" t="s">
        <v>111</v>
      </c>
      <c r="G193" s="32">
        <v>79</v>
      </c>
      <c r="H193" s="32" t="s">
        <v>169</v>
      </c>
      <c r="I193" s="32">
        <v>2705</v>
      </c>
      <c r="J193" s="36">
        <v>790.67</v>
      </c>
      <c r="K193" s="32" t="s">
        <v>3940</v>
      </c>
      <c r="L193" s="169" t="s">
        <v>116</v>
      </c>
      <c r="M193" s="32" t="s">
        <v>111</v>
      </c>
    </row>
    <row r="194" spans="1:13" x14ac:dyDescent="0.25">
      <c r="A194" s="168">
        <v>46183</v>
      </c>
      <c r="B194" s="32">
        <v>1</v>
      </c>
      <c r="C194" s="32" t="s">
        <v>203</v>
      </c>
      <c r="D194" s="169" t="s">
        <v>204</v>
      </c>
      <c r="E194" s="169" t="s">
        <v>190</v>
      </c>
      <c r="F194" s="32" t="s">
        <v>212</v>
      </c>
      <c r="G194" s="32">
        <v>376</v>
      </c>
      <c r="H194" s="32" t="s">
        <v>165</v>
      </c>
      <c r="I194" s="32">
        <v>5856</v>
      </c>
      <c r="J194" s="36">
        <v>7045.94</v>
      </c>
      <c r="K194" s="32" t="s">
        <v>3941</v>
      </c>
      <c r="L194" s="169" t="s">
        <v>22</v>
      </c>
      <c r="M194" s="32" t="s">
        <v>223</v>
      </c>
    </row>
    <row r="195" spans="1:13" x14ac:dyDescent="0.25">
      <c r="A195" s="168">
        <v>46183</v>
      </c>
      <c r="B195" s="32">
        <v>1</v>
      </c>
      <c r="C195" s="32" t="s">
        <v>208</v>
      </c>
      <c r="D195" s="169" t="s">
        <v>209</v>
      </c>
      <c r="E195" s="169" t="s">
        <v>190</v>
      </c>
      <c r="F195" s="32" t="s">
        <v>212</v>
      </c>
      <c r="G195" s="32">
        <v>376</v>
      </c>
      <c r="H195" s="32" t="s">
        <v>165</v>
      </c>
      <c r="I195" s="32">
        <v>570</v>
      </c>
      <c r="J195" s="36">
        <v>6858.24</v>
      </c>
      <c r="K195" s="32" t="s">
        <v>3942</v>
      </c>
      <c r="L195" s="169" t="s">
        <v>22</v>
      </c>
      <c r="M195" s="32" t="s">
        <v>223</v>
      </c>
    </row>
    <row r="196" spans="1:13" x14ac:dyDescent="0.25">
      <c r="A196" s="168">
        <v>46183</v>
      </c>
      <c r="B196" s="32">
        <v>1</v>
      </c>
      <c r="C196" s="32" t="s">
        <v>192</v>
      </c>
      <c r="D196" s="169" t="s">
        <v>287</v>
      </c>
      <c r="E196" s="169" t="s">
        <v>163</v>
      </c>
      <c r="F196" s="32" t="s">
        <v>164</v>
      </c>
      <c r="G196" s="32">
        <v>52</v>
      </c>
      <c r="H196" s="32" t="s">
        <v>165</v>
      </c>
      <c r="I196" s="32">
        <v>6049</v>
      </c>
      <c r="J196" s="36">
        <v>1163.83</v>
      </c>
      <c r="K196" s="32" t="s">
        <v>3943</v>
      </c>
      <c r="L196" s="169" t="s">
        <v>31</v>
      </c>
      <c r="M196" s="32" t="s">
        <v>224</v>
      </c>
    </row>
    <row r="197" spans="1:13" x14ac:dyDescent="0.25">
      <c r="A197" s="168">
        <v>46183</v>
      </c>
      <c r="B197" s="32">
        <v>1</v>
      </c>
      <c r="C197" s="32" t="s">
        <v>167</v>
      </c>
      <c r="D197" s="169" t="s">
        <v>168</v>
      </c>
      <c r="E197" s="169" t="s">
        <v>163</v>
      </c>
      <c r="F197" s="32" t="s">
        <v>111</v>
      </c>
      <c r="G197" s="32">
        <v>75</v>
      </c>
      <c r="H197" s="32" t="s">
        <v>185</v>
      </c>
      <c r="I197" s="32">
        <v>2719</v>
      </c>
      <c r="J197" s="36">
        <v>754.52</v>
      </c>
      <c r="K197" s="32" t="s">
        <v>3944</v>
      </c>
      <c r="L197" s="169" t="s">
        <v>3738</v>
      </c>
      <c r="M197" s="32" t="s">
        <v>111</v>
      </c>
    </row>
    <row r="198" spans="1:13" x14ac:dyDescent="0.25">
      <c r="A198" s="168">
        <v>46183</v>
      </c>
      <c r="B198" s="32">
        <v>1</v>
      </c>
      <c r="C198" s="32" t="s">
        <v>199</v>
      </c>
      <c r="D198" s="169" t="s">
        <v>180</v>
      </c>
      <c r="E198" s="169" t="s">
        <v>163</v>
      </c>
      <c r="F198" s="32" t="s">
        <v>111</v>
      </c>
      <c r="G198" s="32">
        <v>75</v>
      </c>
      <c r="H198" s="32" t="s">
        <v>185</v>
      </c>
      <c r="I198" s="32">
        <v>2837</v>
      </c>
      <c r="J198" s="36">
        <v>787.27</v>
      </c>
      <c r="K198" s="32" t="s">
        <v>3945</v>
      </c>
      <c r="L198" s="169" t="s">
        <v>3738</v>
      </c>
      <c r="M198" s="32" t="s">
        <v>111</v>
      </c>
    </row>
    <row r="199" spans="1:13" x14ac:dyDescent="0.25">
      <c r="A199" s="168">
        <v>46183</v>
      </c>
      <c r="B199" s="32">
        <v>1</v>
      </c>
      <c r="C199" s="32" t="s">
        <v>342</v>
      </c>
      <c r="D199" s="169" t="s">
        <v>171</v>
      </c>
      <c r="E199" s="169" t="s">
        <v>163</v>
      </c>
      <c r="F199" s="32" t="s">
        <v>164</v>
      </c>
      <c r="G199" s="32">
        <v>52</v>
      </c>
      <c r="H199" s="32" t="s">
        <v>185</v>
      </c>
      <c r="I199" s="32">
        <v>450</v>
      </c>
      <c r="J199" s="36">
        <v>865.8</v>
      </c>
      <c r="K199" s="32" t="s">
        <v>3946</v>
      </c>
      <c r="L199" s="169" t="s">
        <v>20</v>
      </c>
      <c r="M199" s="32" t="s">
        <v>224</v>
      </c>
    </row>
    <row r="200" spans="1:13" x14ac:dyDescent="0.25">
      <c r="A200" s="168">
        <v>46183</v>
      </c>
      <c r="B200" s="32">
        <v>1</v>
      </c>
      <c r="C200" s="32" t="s">
        <v>188</v>
      </c>
      <c r="D200" s="169" t="s">
        <v>189</v>
      </c>
      <c r="E200" s="169" t="s">
        <v>166</v>
      </c>
      <c r="F200" s="32" t="s">
        <v>164</v>
      </c>
      <c r="G200" s="32">
        <v>58</v>
      </c>
      <c r="H200" s="32" t="s">
        <v>165</v>
      </c>
      <c r="I200" s="32">
        <v>4584</v>
      </c>
      <c r="J200" s="36">
        <v>983.73</v>
      </c>
      <c r="K200" s="32" t="s">
        <v>3947</v>
      </c>
      <c r="L200" s="169" t="s">
        <v>27</v>
      </c>
      <c r="M200" s="32" t="s">
        <v>224</v>
      </c>
    </row>
    <row r="201" spans="1:13" x14ac:dyDescent="0.25">
      <c r="A201" s="168">
        <v>46183</v>
      </c>
      <c r="B201" s="32">
        <v>1</v>
      </c>
      <c r="C201" s="32" t="s">
        <v>167</v>
      </c>
      <c r="D201" s="169" t="s">
        <v>168</v>
      </c>
      <c r="E201" s="169" t="s">
        <v>163</v>
      </c>
      <c r="F201" s="32" t="s">
        <v>111</v>
      </c>
      <c r="G201" s="32">
        <v>75</v>
      </c>
      <c r="H201" s="32" t="s">
        <v>185</v>
      </c>
      <c r="I201" s="32">
        <v>2742</v>
      </c>
      <c r="J201" s="36">
        <v>760.91</v>
      </c>
      <c r="K201" s="32" t="s">
        <v>3948</v>
      </c>
      <c r="L201" s="169" t="s">
        <v>3738</v>
      </c>
      <c r="M201" s="32" t="s">
        <v>111</v>
      </c>
    </row>
    <row r="202" spans="1:13" x14ac:dyDescent="0.25">
      <c r="A202" s="168">
        <v>46183</v>
      </c>
      <c r="B202" s="32">
        <v>1</v>
      </c>
      <c r="C202" s="32" t="s">
        <v>167</v>
      </c>
      <c r="D202" s="169" t="s">
        <v>168</v>
      </c>
      <c r="E202" s="169" t="s">
        <v>163</v>
      </c>
      <c r="F202" s="32" t="s">
        <v>111</v>
      </c>
      <c r="G202" s="32">
        <v>75</v>
      </c>
      <c r="H202" s="32" t="s">
        <v>169</v>
      </c>
      <c r="I202" s="32">
        <v>250</v>
      </c>
      <c r="J202" s="36">
        <v>693.75</v>
      </c>
      <c r="K202" s="32" t="s">
        <v>3949</v>
      </c>
      <c r="L202" s="169" t="s">
        <v>3742</v>
      </c>
      <c r="M202" s="32" t="s">
        <v>111</v>
      </c>
    </row>
    <row r="203" spans="1:13" x14ac:dyDescent="0.25">
      <c r="A203" s="168">
        <v>46183</v>
      </c>
      <c r="B203" s="32">
        <v>1</v>
      </c>
      <c r="C203" s="32" t="s">
        <v>181</v>
      </c>
      <c r="D203" s="169" t="s">
        <v>182</v>
      </c>
      <c r="E203" s="169" t="s">
        <v>166</v>
      </c>
      <c r="F203" s="32" t="s">
        <v>164</v>
      </c>
      <c r="G203" s="32">
        <v>58</v>
      </c>
      <c r="H203" s="32" t="s">
        <v>172</v>
      </c>
      <c r="I203" s="32">
        <v>2514</v>
      </c>
      <c r="J203" s="36">
        <v>539.5</v>
      </c>
      <c r="K203" s="32" t="s">
        <v>3950</v>
      </c>
      <c r="L203" s="169" t="s">
        <v>44</v>
      </c>
      <c r="M203" s="32" t="s">
        <v>224</v>
      </c>
    </row>
    <row r="204" spans="1:13" x14ac:dyDescent="0.25">
      <c r="A204" s="168">
        <v>46183</v>
      </c>
      <c r="B204" s="32">
        <v>1</v>
      </c>
      <c r="C204" s="32" t="s">
        <v>176</v>
      </c>
      <c r="D204" s="169" t="s">
        <v>177</v>
      </c>
      <c r="E204" s="169" t="s">
        <v>190</v>
      </c>
      <c r="F204" s="32" t="s">
        <v>191</v>
      </c>
      <c r="G204" s="32">
        <v>217</v>
      </c>
      <c r="H204" s="32" t="s">
        <v>165</v>
      </c>
      <c r="I204" s="32">
        <v>5404</v>
      </c>
      <c r="J204" s="36">
        <v>4338.87</v>
      </c>
      <c r="K204" s="32" t="s">
        <v>3951</v>
      </c>
      <c r="L204" s="169" t="s">
        <v>19</v>
      </c>
      <c r="M204" s="32" t="s">
        <v>3780</v>
      </c>
    </row>
    <row r="205" spans="1:13" x14ac:dyDescent="0.25">
      <c r="A205" s="168">
        <v>46183</v>
      </c>
      <c r="B205" s="32">
        <v>1</v>
      </c>
      <c r="C205" s="32" t="s">
        <v>202</v>
      </c>
      <c r="D205" s="169" t="s">
        <v>214</v>
      </c>
      <c r="E205" s="169" t="s">
        <v>166</v>
      </c>
      <c r="F205" s="32" t="s">
        <v>191</v>
      </c>
      <c r="G205" s="32">
        <v>243</v>
      </c>
      <c r="H205" s="32" t="s">
        <v>165</v>
      </c>
      <c r="I205" s="32">
        <v>6516</v>
      </c>
      <c r="J205" s="36">
        <v>5858.54</v>
      </c>
      <c r="K205" s="32" t="s">
        <v>3952</v>
      </c>
      <c r="L205" s="169" t="s">
        <v>36</v>
      </c>
      <c r="M205" s="32" t="s">
        <v>3780</v>
      </c>
    </row>
    <row r="206" spans="1:13" x14ac:dyDescent="0.25">
      <c r="A206" s="168">
        <v>46183</v>
      </c>
      <c r="B206" s="32">
        <v>1</v>
      </c>
      <c r="C206" s="32" t="s">
        <v>196</v>
      </c>
      <c r="D206" s="169" t="s">
        <v>197</v>
      </c>
      <c r="E206" s="169" t="s">
        <v>163</v>
      </c>
      <c r="F206" s="32" t="s">
        <v>164</v>
      </c>
      <c r="G206" s="32">
        <v>52</v>
      </c>
      <c r="H206" s="32" t="s">
        <v>165</v>
      </c>
      <c r="I206" s="32">
        <v>4944</v>
      </c>
      <c r="J206" s="36">
        <v>951.23</v>
      </c>
      <c r="K206" s="32" t="s">
        <v>3953</v>
      </c>
      <c r="L206" s="169" t="s">
        <v>31</v>
      </c>
      <c r="M206" s="32" t="s">
        <v>224</v>
      </c>
    </row>
    <row r="207" spans="1:13" x14ac:dyDescent="0.25">
      <c r="A207" s="168">
        <v>46183</v>
      </c>
      <c r="B207" s="32">
        <v>1</v>
      </c>
      <c r="C207" s="32" t="s">
        <v>196</v>
      </c>
      <c r="D207" s="169" t="s">
        <v>197</v>
      </c>
      <c r="E207" s="169" t="s">
        <v>163</v>
      </c>
      <c r="F207" s="32" t="s">
        <v>164</v>
      </c>
      <c r="G207" s="32">
        <v>52</v>
      </c>
      <c r="H207" s="32" t="s">
        <v>175</v>
      </c>
      <c r="I207" s="32">
        <v>5071</v>
      </c>
      <c r="J207" s="36">
        <v>975.66</v>
      </c>
      <c r="K207" s="32" t="s">
        <v>3954</v>
      </c>
      <c r="L207" s="169" t="s">
        <v>21</v>
      </c>
      <c r="M207" s="32" t="s">
        <v>224</v>
      </c>
    </row>
    <row r="208" spans="1:13" x14ac:dyDescent="0.25">
      <c r="A208" s="168">
        <v>46183</v>
      </c>
      <c r="B208" s="32">
        <v>1</v>
      </c>
      <c r="C208" s="32" t="s">
        <v>342</v>
      </c>
      <c r="D208" s="169" t="s">
        <v>171</v>
      </c>
      <c r="E208" s="169" t="s">
        <v>163</v>
      </c>
      <c r="F208" s="32" t="s">
        <v>164</v>
      </c>
      <c r="G208" s="32">
        <v>52</v>
      </c>
      <c r="H208" s="32" t="s">
        <v>185</v>
      </c>
      <c r="I208" s="32">
        <v>4471</v>
      </c>
      <c r="J208" s="36">
        <v>860.22</v>
      </c>
      <c r="K208" s="32" t="s">
        <v>3955</v>
      </c>
      <c r="L208" s="169" t="s">
        <v>20</v>
      </c>
      <c r="M208" s="32" t="s">
        <v>224</v>
      </c>
    </row>
    <row r="209" spans="1:13" x14ac:dyDescent="0.25">
      <c r="A209" s="168">
        <v>46183</v>
      </c>
      <c r="B209" s="32">
        <v>1</v>
      </c>
      <c r="C209" s="32" t="s">
        <v>199</v>
      </c>
      <c r="D209" s="169" t="s">
        <v>180</v>
      </c>
      <c r="E209" s="169" t="s">
        <v>163</v>
      </c>
      <c r="F209" s="32" t="s">
        <v>111</v>
      </c>
      <c r="G209" s="32">
        <v>75</v>
      </c>
      <c r="H209" s="32" t="s">
        <v>185</v>
      </c>
      <c r="I209" s="32">
        <v>2842</v>
      </c>
      <c r="J209" s="36">
        <v>788.66</v>
      </c>
      <c r="K209" s="32" t="s">
        <v>3956</v>
      </c>
      <c r="L209" s="169" t="s">
        <v>3738</v>
      </c>
      <c r="M209" s="32" t="s">
        <v>111</v>
      </c>
    </row>
    <row r="210" spans="1:13" x14ac:dyDescent="0.25">
      <c r="A210" s="168">
        <v>46183</v>
      </c>
      <c r="B210" s="32">
        <v>1</v>
      </c>
      <c r="C210" s="32" t="s">
        <v>283</v>
      </c>
      <c r="D210" s="169" t="s">
        <v>282</v>
      </c>
      <c r="E210" s="169" t="s">
        <v>166</v>
      </c>
      <c r="F210" s="32" t="s">
        <v>1178</v>
      </c>
      <c r="G210" s="32">
        <v>51</v>
      </c>
      <c r="H210" s="32" t="s">
        <v>172</v>
      </c>
      <c r="I210" s="32">
        <v>2712</v>
      </c>
      <c r="J210" s="36">
        <v>511.75</v>
      </c>
      <c r="K210" s="32" t="s">
        <v>3957</v>
      </c>
      <c r="L210" s="169" t="s">
        <v>3847</v>
      </c>
      <c r="M210" s="32" t="s">
        <v>1178</v>
      </c>
    </row>
    <row r="211" spans="1:13" x14ac:dyDescent="0.25">
      <c r="A211" s="168">
        <v>46183</v>
      </c>
      <c r="B211" s="32">
        <v>1</v>
      </c>
      <c r="C211" s="32" t="s">
        <v>283</v>
      </c>
      <c r="D211" s="169" t="s">
        <v>282</v>
      </c>
      <c r="E211" s="169" t="s">
        <v>166</v>
      </c>
      <c r="F211" s="32" t="s">
        <v>1178</v>
      </c>
      <c r="G211" s="32">
        <v>51</v>
      </c>
      <c r="H211" s="32" t="s">
        <v>172</v>
      </c>
      <c r="I211" s="32">
        <v>2834</v>
      </c>
      <c r="J211" s="36">
        <v>534.78</v>
      </c>
      <c r="K211" s="32" t="s">
        <v>3958</v>
      </c>
      <c r="L211" s="169" t="s">
        <v>3847</v>
      </c>
      <c r="M211" s="32" t="s">
        <v>1178</v>
      </c>
    </row>
    <row r="212" spans="1:13" x14ac:dyDescent="0.25">
      <c r="A212" s="168">
        <v>46183</v>
      </c>
      <c r="B212" s="32">
        <v>1</v>
      </c>
      <c r="C212" s="32" t="s">
        <v>286</v>
      </c>
      <c r="D212" s="169" t="s">
        <v>506</v>
      </c>
      <c r="E212" s="169" t="s">
        <v>163</v>
      </c>
      <c r="F212" s="32" t="s">
        <v>164</v>
      </c>
      <c r="G212" s="32">
        <v>52</v>
      </c>
      <c r="H212" s="32" t="s">
        <v>175</v>
      </c>
      <c r="I212" s="32">
        <v>4542</v>
      </c>
      <c r="J212" s="36">
        <v>873.88</v>
      </c>
      <c r="K212" s="32" t="s">
        <v>3959</v>
      </c>
      <c r="L212" s="169" t="s">
        <v>21</v>
      </c>
      <c r="M212" s="32" t="s">
        <v>224</v>
      </c>
    </row>
    <row r="213" spans="1:13" x14ac:dyDescent="0.25">
      <c r="A213" s="168">
        <v>46183</v>
      </c>
      <c r="B213" s="32">
        <v>1</v>
      </c>
      <c r="C213" s="32" t="s">
        <v>286</v>
      </c>
      <c r="D213" s="169" t="s">
        <v>506</v>
      </c>
      <c r="E213" s="169" t="s">
        <v>163</v>
      </c>
      <c r="F213" s="32" t="s">
        <v>164</v>
      </c>
      <c r="G213" s="32">
        <v>52</v>
      </c>
      <c r="H213" s="32" t="s">
        <v>175</v>
      </c>
      <c r="I213" s="32">
        <v>448</v>
      </c>
      <c r="J213" s="36">
        <v>861.95</v>
      </c>
      <c r="K213" s="32" t="s">
        <v>3960</v>
      </c>
      <c r="L213" s="169" t="s">
        <v>21</v>
      </c>
      <c r="M213" s="32" t="s">
        <v>224</v>
      </c>
    </row>
    <row r="214" spans="1:13" x14ac:dyDescent="0.25">
      <c r="A214" s="168">
        <v>46183</v>
      </c>
      <c r="B214" s="32">
        <v>1</v>
      </c>
      <c r="C214" s="32" t="s">
        <v>205</v>
      </c>
      <c r="D214" s="169" t="s">
        <v>206</v>
      </c>
      <c r="E214" s="169" t="s">
        <v>276</v>
      </c>
      <c r="F214" s="32" t="s">
        <v>307</v>
      </c>
      <c r="G214" s="32">
        <v>175</v>
      </c>
      <c r="H214" s="32" t="s">
        <v>165</v>
      </c>
      <c r="I214" s="32">
        <v>8036</v>
      </c>
      <c r="J214" s="36">
        <v>4500.16</v>
      </c>
      <c r="K214" s="32" t="s">
        <v>3961</v>
      </c>
      <c r="L214" s="169" t="s">
        <v>3771</v>
      </c>
      <c r="M214" s="32" t="s">
        <v>307</v>
      </c>
    </row>
    <row r="215" spans="1:13" x14ac:dyDescent="0.25">
      <c r="A215" s="168">
        <v>46183</v>
      </c>
      <c r="B215" s="32">
        <v>1</v>
      </c>
      <c r="C215" s="32" t="s">
        <v>183</v>
      </c>
      <c r="D215" s="169" t="s">
        <v>184</v>
      </c>
      <c r="E215" s="169" t="s">
        <v>163</v>
      </c>
      <c r="F215" s="32" t="s">
        <v>111</v>
      </c>
      <c r="G215" s="32">
        <v>75</v>
      </c>
      <c r="H215" s="32" t="s">
        <v>169</v>
      </c>
      <c r="I215" s="32">
        <v>2762</v>
      </c>
      <c r="J215" s="36">
        <v>766.46</v>
      </c>
      <c r="K215" s="32" t="s">
        <v>3962</v>
      </c>
      <c r="L215" s="169" t="s">
        <v>3742</v>
      </c>
      <c r="M215" s="32" t="s">
        <v>111</v>
      </c>
    </row>
    <row r="216" spans="1:13" x14ac:dyDescent="0.25">
      <c r="A216" s="168">
        <v>46183</v>
      </c>
      <c r="B216" s="32">
        <v>1</v>
      </c>
      <c r="C216" s="32" t="s">
        <v>183</v>
      </c>
      <c r="D216" s="169" t="s">
        <v>184</v>
      </c>
      <c r="E216" s="169" t="s">
        <v>163</v>
      </c>
      <c r="F216" s="32" t="s">
        <v>111</v>
      </c>
      <c r="G216" s="32">
        <v>75</v>
      </c>
      <c r="H216" s="32" t="s">
        <v>169</v>
      </c>
      <c r="I216" s="32">
        <v>2674</v>
      </c>
      <c r="J216" s="36">
        <v>742.04</v>
      </c>
      <c r="K216" s="32" t="s">
        <v>3963</v>
      </c>
      <c r="L216" s="169" t="s">
        <v>3742</v>
      </c>
      <c r="M216" s="32" t="s">
        <v>111</v>
      </c>
    </row>
    <row r="217" spans="1:13" x14ac:dyDescent="0.25">
      <c r="A217" s="168">
        <v>46183</v>
      </c>
      <c r="B217" s="32">
        <v>1</v>
      </c>
      <c r="C217" s="32" t="s">
        <v>179</v>
      </c>
      <c r="D217" s="169" t="s">
        <v>2863</v>
      </c>
      <c r="E217" s="169" t="s">
        <v>166</v>
      </c>
      <c r="F217" s="32" t="s">
        <v>111</v>
      </c>
      <c r="G217" s="32">
        <v>79</v>
      </c>
      <c r="H217" s="32" t="s">
        <v>169</v>
      </c>
      <c r="I217" s="32">
        <v>2757</v>
      </c>
      <c r="J217" s="36">
        <v>805.87</v>
      </c>
      <c r="K217" s="32" t="s">
        <v>3964</v>
      </c>
      <c r="L217" s="169" t="s">
        <v>116</v>
      </c>
      <c r="M217" s="32" t="s">
        <v>111</v>
      </c>
    </row>
    <row r="218" spans="1:13" x14ac:dyDescent="0.25">
      <c r="A218" s="168">
        <v>46183</v>
      </c>
      <c r="B218" s="32">
        <v>1</v>
      </c>
      <c r="C218" s="32" t="s">
        <v>179</v>
      </c>
      <c r="D218" s="169" t="s">
        <v>2863</v>
      </c>
      <c r="E218" s="169" t="s">
        <v>166</v>
      </c>
      <c r="F218" s="32" t="s">
        <v>111</v>
      </c>
      <c r="G218" s="32">
        <v>79</v>
      </c>
      <c r="H218" s="32" t="s">
        <v>169</v>
      </c>
      <c r="I218" s="32">
        <v>276</v>
      </c>
      <c r="J218" s="36">
        <v>806.75</v>
      </c>
      <c r="K218" s="32" t="s">
        <v>3965</v>
      </c>
      <c r="L218" s="169" t="s">
        <v>116</v>
      </c>
      <c r="M218" s="32" t="s">
        <v>111</v>
      </c>
    </row>
    <row r="219" spans="1:13" x14ac:dyDescent="0.25">
      <c r="A219" s="168">
        <v>46183</v>
      </c>
      <c r="B219" s="32">
        <v>1</v>
      </c>
      <c r="C219" s="32" t="s">
        <v>1129</v>
      </c>
      <c r="D219" s="169" t="s">
        <v>2396</v>
      </c>
      <c r="E219" s="169" t="s">
        <v>163</v>
      </c>
      <c r="F219" s="32" t="s">
        <v>111</v>
      </c>
      <c r="G219" s="32">
        <v>75</v>
      </c>
      <c r="H219" s="32" t="s">
        <v>185</v>
      </c>
      <c r="I219" s="32">
        <v>2785</v>
      </c>
      <c r="J219" s="36">
        <v>772.84</v>
      </c>
      <c r="K219" s="32" t="s">
        <v>3966</v>
      </c>
      <c r="L219" s="169" t="s">
        <v>3738</v>
      </c>
      <c r="M219" s="32" t="s">
        <v>111</v>
      </c>
    </row>
    <row r="220" spans="1:13" x14ac:dyDescent="0.25">
      <c r="A220" s="168">
        <v>46183</v>
      </c>
      <c r="B220" s="32">
        <v>1</v>
      </c>
      <c r="C220" s="32" t="s">
        <v>1129</v>
      </c>
      <c r="D220" s="169" t="s">
        <v>2396</v>
      </c>
      <c r="E220" s="169" t="s">
        <v>163</v>
      </c>
      <c r="F220" s="32" t="s">
        <v>164</v>
      </c>
      <c r="G220" s="32">
        <v>52</v>
      </c>
      <c r="H220" s="32" t="s">
        <v>175</v>
      </c>
      <c r="I220" s="32">
        <v>2723</v>
      </c>
      <c r="J220" s="36">
        <v>523.91</v>
      </c>
      <c r="K220" s="32" t="s">
        <v>3967</v>
      </c>
      <c r="L220" s="169" t="s">
        <v>21</v>
      </c>
      <c r="M220" s="32" t="s">
        <v>224</v>
      </c>
    </row>
    <row r="221" spans="1:13" x14ac:dyDescent="0.25">
      <c r="A221" s="168">
        <v>46183</v>
      </c>
      <c r="B221" s="32">
        <v>1</v>
      </c>
      <c r="C221" s="32" t="s">
        <v>275</v>
      </c>
      <c r="D221" s="169" t="s">
        <v>178</v>
      </c>
      <c r="E221" s="169" t="s">
        <v>166</v>
      </c>
      <c r="F221" s="32" t="s">
        <v>164</v>
      </c>
      <c r="G221" s="32">
        <v>58</v>
      </c>
      <c r="H221" s="32" t="s">
        <v>165</v>
      </c>
      <c r="I221" s="32">
        <v>4564</v>
      </c>
      <c r="J221" s="36">
        <v>979.43</v>
      </c>
      <c r="K221" s="32" t="s">
        <v>3968</v>
      </c>
      <c r="L221" s="169" t="s">
        <v>27</v>
      </c>
      <c r="M221" s="32" t="s">
        <v>224</v>
      </c>
    </row>
    <row r="222" spans="1:13" x14ac:dyDescent="0.25">
      <c r="A222" s="168">
        <v>46183</v>
      </c>
      <c r="B222" s="32">
        <v>1</v>
      </c>
      <c r="C222" s="32" t="s">
        <v>193</v>
      </c>
      <c r="D222" s="169" t="s">
        <v>285</v>
      </c>
      <c r="E222" s="169" t="s">
        <v>163</v>
      </c>
      <c r="F222" s="32" t="s">
        <v>111</v>
      </c>
      <c r="G222" s="32">
        <v>75</v>
      </c>
      <c r="H222" s="32" t="s">
        <v>185</v>
      </c>
      <c r="I222" s="32">
        <v>2806</v>
      </c>
      <c r="J222" s="36">
        <v>778.67</v>
      </c>
      <c r="K222" s="32" t="s">
        <v>3969</v>
      </c>
      <c r="L222" s="169" t="s">
        <v>3738</v>
      </c>
      <c r="M222" s="32" t="s">
        <v>111</v>
      </c>
    </row>
    <row r="223" spans="1:13" x14ac:dyDescent="0.25">
      <c r="A223" s="168">
        <v>46183</v>
      </c>
      <c r="B223" s="32">
        <v>1</v>
      </c>
      <c r="C223" s="32" t="s">
        <v>193</v>
      </c>
      <c r="D223" s="169" t="s">
        <v>285</v>
      </c>
      <c r="E223" s="169" t="s">
        <v>163</v>
      </c>
      <c r="F223" s="32" t="s">
        <v>111</v>
      </c>
      <c r="G223" s="32">
        <v>75</v>
      </c>
      <c r="H223" s="32" t="s">
        <v>185</v>
      </c>
      <c r="I223" s="32">
        <v>2864</v>
      </c>
      <c r="J223" s="36">
        <v>794.76</v>
      </c>
      <c r="K223" s="32" t="s">
        <v>3970</v>
      </c>
      <c r="L223" s="169" t="s">
        <v>3738</v>
      </c>
      <c r="M223" s="32" t="s">
        <v>111</v>
      </c>
    </row>
    <row r="224" spans="1:13" x14ac:dyDescent="0.25">
      <c r="A224" s="168">
        <v>46183</v>
      </c>
      <c r="B224" s="32">
        <v>1</v>
      </c>
      <c r="C224" s="32" t="s">
        <v>173</v>
      </c>
      <c r="D224" s="169" t="s">
        <v>174</v>
      </c>
      <c r="E224" s="169" t="s">
        <v>166</v>
      </c>
      <c r="F224" s="32" t="s">
        <v>111</v>
      </c>
      <c r="G224" s="32">
        <v>79</v>
      </c>
      <c r="H224" s="32" t="s">
        <v>185</v>
      </c>
      <c r="I224" s="32">
        <v>2551</v>
      </c>
      <c r="J224" s="36">
        <v>745.66</v>
      </c>
      <c r="K224" s="32" t="s">
        <v>3971</v>
      </c>
      <c r="L224" s="169" t="s">
        <v>123</v>
      </c>
      <c r="M224" s="32" t="s">
        <v>111</v>
      </c>
    </row>
    <row r="225" spans="1:13" x14ac:dyDescent="0.25">
      <c r="A225" s="168">
        <v>46183</v>
      </c>
      <c r="B225" s="32">
        <v>1</v>
      </c>
      <c r="C225" s="32" t="s">
        <v>186</v>
      </c>
      <c r="D225" s="169" t="s">
        <v>187</v>
      </c>
      <c r="E225" s="169" t="s">
        <v>276</v>
      </c>
      <c r="F225" s="32" t="s">
        <v>2033</v>
      </c>
      <c r="G225" s="32">
        <v>323</v>
      </c>
      <c r="H225" s="32" t="s">
        <v>172</v>
      </c>
      <c r="I225" s="32">
        <v>649</v>
      </c>
      <c r="J225" s="36">
        <v>6708.06</v>
      </c>
      <c r="K225" s="32" t="s">
        <v>3972</v>
      </c>
      <c r="L225" s="169" t="s">
        <v>3735</v>
      </c>
      <c r="M225" s="32" t="s">
        <v>15</v>
      </c>
    </row>
    <row r="226" spans="1:13" x14ac:dyDescent="0.25">
      <c r="A226" s="168">
        <v>46184</v>
      </c>
      <c r="B226" s="32">
        <v>1</v>
      </c>
      <c r="C226" s="32" t="s">
        <v>208</v>
      </c>
      <c r="D226" s="169" t="s">
        <v>209</v>
      </c>
      <c r="E226" s="169" t="s">
        <v>190</v>
      </c>
      <c r="F226" s="32" t="s">
        <v>191</v>
      </c>
      <c r="G226" s="32">
        <v>217</v>
      </c>
      <c r="H226" s="32" t="s">
        <v>165</v>
      </c>
      <c r="I226" s="32">
        <v>550</v>
      </c>
      <c r="J226" s="36">
        <v>4415.95</v>
      </c>
      <c r="K226" s="32" t="s">
        <v>3973</v>
      </c>
      <c r="L226" s="169" t="s">
        <v>19</v>
      </c>
      <c r="M226" s="32" t="s">
        <v>3780</v>
      </c>
    </row>
    <row r="227" spans="1:13" x14ac:dyDescent="0.25">
      <c r="A227" s="168">
        <v>46184</v>
      </c>
      <c r="B227" s="32">
        <v>1</v>
      </c>
      <c r="C227" s="32" t="s">
        <v>167</v>
      </c>
      <c r="D227" s="169" t="s">
        <v>168</v>
      </c>
      <c r="E227" s="169" t="s">
        <v>163</v>
      </c>
      <c r="F227" s="32" t="s">
        <v>111</v>
      </c>
      <c r="G227" s="32">
        <v>75</v>
      </c>
      <c r="H227" s="32" t="s">
        <v>185</v>
      </c>
      <c r="I227" s="32">
        <v>2728</v>
      </c>
      <c r="J227" s="36">
        <v>757.02</v>
      </c>
      <c r="K227" s="32" t="s">
        <v>3974</v>
      </c>
      <c r="L227" s="169" t="s">
        <v>3738</v>
      </c>
      <c r="M227" s="32" t="s">
        <v>111</v>
      </c>
    </row>
    <row r="228" spans="1:13" x14ac:dyDescent="0.25">
      <c r="A228" s="168">
        <v>46184</v>
      </c>
      <c r="B228" s="32">
        <v>1</v>
      </c>
      <c r="C228" s="32" t="s">
        <v>167</v>
      </c>
      <c r="D228" s="169" t="s">
        <v>168</v>
      </c>
      <c r="E228" s="169" t="s">
        <v>163</v>
      </c>
      <c r="F228" s="32" t="s">
        <v>164</v>
      </c>
      <c r="G228" s="32">
        <v>52</v>
      </c>
      <c r="H228" s="32" t="s">
        <v>175</v>
      </c>
      <c r="I228" s="32">
        <v>2787</v>
      </c>
      <c r="J228" s="36">
        <v>536.22</v>
      </c>
      <c r="K228" s="32" t="s">
        <v>3975</v>
      </c>
      <c r="L228" s="169" t="s">
        <v>21</v>
      </c>
      <c r="M228" s="32" t="s">
        <v>224</v>
      </c>
    </row>
    <row r="229" spans="1:13" x14ac:dyDescent="0.25">
      <c r="A229" s="168">
        <v>46184</v>
      </c>
      <c r="B229" s="32">
        <v>1</v>
      </c>
      <c r="C229" s="32" t="s">
        <v>342</v>
      </c>
      <c r="D229" s="169" t="s">
        <v>171</v>
      </c>
      <c r="E229" s="169" t="s">
        <v>163</v>
      </c>
      <c r="F229" s="32" t="s">
        <v>164</v>
      </c>
      <c r="G229" s="32">
        <v>52</v>
      </c>
      <c r="H229" s="32" t="s">
        <v>185</v>
      </c>
      <c r="I229" s="32">
        <v>4499</v>
      </c>
      <c r="J229" s="36">
        <v>865.61</v>
      </c>
      <c r="K229" s="32" t="s">
        <v>3976</v>
      </c>
      <c r="L229" s="169" t="s">
        <v>20</v>
      </c>
      <c r="M229" s="32" t="s">
        <v>224</v>
      </c>
    </row>
    <row r="230" spans="1:13" x14ac:dyDescent="0.25">
      <c r="A230" s="168">
        <v>46184</v>
      </c>
      <c r="B230" s="32">
        <v>1</v>
      </c>
      <c r="C230" s="32" t="s">
        <v>199</v>
      </c>
      <c r="D230" s="169" t="s">
        <v>180</v>
      </c>
      <c r="E230" s="169" t="s">
        <v>163</v>
      </c>
      <c r="F230" s="32" t="s">
        <v>111</v>
      </c>
      <c r="G230" s="32">
        <v>75</v>
      </c>
      <c r="H230" s="32" t="s">
        <v>185</v>
      </c>
      <c r="I230" s="32">
        <v>2855</v>
      </c>
      <c r="J230" s="36">
        <v>792.26</v>
      </c>
      <c r="K230" s="32" t="s">
        <v>3977</v>
      </c>
      <c r="L230" s="169" t="s">
        <v>3738</v>
      </c>
      <c r="M230" s="32" t="s">
        <v>111</v>
      </c>
    </row>
    <row r="231" spans="1:13" x14ac:dyDescent="0.25">
      <c r="A231" s="168">
        <v>46184</v>
      </c>
      <c r="B231" s="32">
        <v>1</v>
      </c>
      <c r="C231" s="32" t="s">
        <v>202</v>
      </c>
      <c r="D231" s="169" t="s">
        <v>214</v>
      </c>
      <c r="E231" s="169" t="s">
        <v>166</v>
      </c>
      <c r="F231" s="32" t="s">
        <v>191</v>
      </c>
      <c r="G231" s="32">
        <v>243</v>
      </c>
      <c r="H231" s="32" t="s">
        <v>165</v>
      </c>
      <c r="I231" s="32">
        <v>6456</v>
      </c>
      <c r="J231" s="36">
        <v>5804.59</v>
      </c>
      <c r="K231" s="32" t="s">
        <v>3978</v>
      </c>
      <c r="L231" s="169" t="s">
        <v>36</v>
      </c>
      <c r="M231" s="32" t="s">
        <v>3780</v>
      </c>
    </row>
    <row r="232" spans="1:13" x14ac:dyDescent="0.25">
      <c r="A232" s="168">
        <v>46184</v>
      </c>
      <c r="B232" s="32">
        <v>1</v>
      </c>
      <c r="C232" s="32" t="s">
        <v>181</v>
      </c>
      <c r="D232" s="169" t="s">
        <v>182</v>
      </c>
      <c r="E232" s="169" t="s">
        <v>166</v>
      </c>
      <c r="F232" s="32" t="s">
        <v>164</v>
      </c>
      <c r="G232" s="32">
        <v>58</v>
      </c>
      <c r="H232" s="32" t="s">
        <v>172</v>
      </c>
      <c r="I232" s="32">
        <v>2894</v>
      </c>
      <c r="J232" s="36">
        <v>621.04999999999995</v>
      </c>
      <c r="K232" s="32" t="s">
        <v>3979</v>
      </c>
      <c r="L232" s="169" t="s">
        <v>44</v>
      </c>
      <c r="M232" s="32" t="s">
        <v>224</v>
      </c>
    </row>
    <row r="233" spans="1:13" x14ac:dyDescent="0.25">
      <c r="A233" s="168">
        <v>46184</v>
      </c>
      <c r="B233" s="32">
        <v>1</v>
      </c>
      <c r="C233" s="32" t="s">
        <v>270</v>
      </c>
      <c r="D233" s="169" t="s">
        <v>288</v>
      </c>
      <c r="E233" s="169" t="s">
        <v>3980</v>
      </c>
      <c r="F233" s="32" t="s">
        <v>2868</v>
      </c>
      <c r="G233" s="32">
        <v>550</v>
      </c>
      <c r="H233" s="32" t="s">
        <v>3981</v>
      </c>
      <c r="I233" s="32">
        <v>149</v>
      </c>
      <c r="J233" s="36">
        <v>2622.4</v>
      </c>
      <c r="K233" s="32" t="s">
        <v>3982</v>
      </c>
      <c r="L233" s="169" t="s">
        <v>3983</v>
      </c>
      <c r="M233" s="32" t="s">
        <v>157</v>
      </c>
    </row>
    <row r="234" spans="1:13" x14ac:dyDescent="0.25">
      <c r="A234" s="168">
        <v>46184</v>
      </c>
      <c r="B234" s="32">
        <v>1</v>
      </c>
      <c r="C234" s="32" t="s">
        <v>199</v>
      </c>
      <c r="D234" s="169" t="s">
        <v>180</v>
      </c>
      <c r="E234" s="169" t="s">
        <v>163</v>
      </c>
      <c r="F234" s="32" t="s">
        <v>111</v>
      </c>
      <c r="G234" s="32">
        <v>75</v>
      </c>
      <c r="H234" s="32" t="s">
        <v>185</v>
      </c>
      <c r="I234" s="32">
        <v>2824</v>
      </c>
      <c r="J234" s="36">
        <v>783.66</v>
      </c>
      <c r="K234" s="32" t="s">
        <v>3984</v>
      </c>
      <c r="L234" s="169" t="s">
        <v>3738</v>
      </c>
      <c r="M234" s="32" t="s">
        <v>111</v>
      </c>
    </row>
    <row r="235" spans="1:13" x14ac:dyDescent="0.25">
      <c r="A235" s="168">
        <v>46184</v>
      </c>
      <c r="B235" s="32">
        <v>1</v>
      </c>
      <c r="C235" s="32" t="s">
        <v>203</v>
      </c>
      <c r="D235" s="169" t="s">
        <v>204</v>
      </c>
      <c r="E235" s="169" t="s">
        <v>190</v>
      </c>
      <c r="F235" s="32" t="s">
        <v>191</v>
      </c>
      <c r="G235" s="32">
        <v>217</v>
      </c>
      <c r="H235" s="32" t="s">
        <v>165</v>
      </c>
      <c r="I235" s="32">
        <v>4942</v>
      </c>
      <c r="J235" s="36">
        <v>3967.93</v>
      </c>
      <c r="K235" s="32" t="s">
        <v>3985</v>
      </c>
      <c r="L235" s="169" t="s">
        <v>19</v>
      </c>
      <c r="M235" s="32" t="s">
        <v>3780</v>
      </c>
    </row>
    <row r="236" spans="1:13" x14ac:dyDescent="0.25">
      <c r="A236" s="168">
        <v>46184</v>
      </c>
      <c r="B236" s="32">
        <v>1</v>
      </c>
      <c r="C236" s="32" t="s">
        <v>176</v>
      </c>
      <c r="D236" s="169" t="s">
        <v>177</v>
      </c>
      <c r="E236" s="169" t="s">
        <v>190</v>
      </c>
      <c r="F236" s="32" t="s">
        <v>191</v>
      </c>
      <c r="G236" s="32">
        <v>217</v>
      </c>
      <c r="H236" s="32" t="s">
        <v>165</v>
      </c>
      <c r="I236" s="32">
        <v>472</v>
      </c>
      <c r="J236" s="36">
        <v>3789.69</v>
      </c>
      <c r="K236" s="32" t="s">
        <v>3986</v>
      </c>
      <c r="L236" s="169" t="s">
        <v>19</v>
      </c>
      <c r="M236" s="32" t="s">
        <v>3780</v>
      </c>
    </row>
    <row r="237" spans="1:13" x14ac:dyDescent="0.25">
      <c r="A237" s="168">
        <v>46184</v>
      </c>
      <c r="B237" s="32">
        <v>1</v>
      </c>
      <c r="C237" s="32" t="s">
        <v>196</v>
      </c>
      <c r="D237" s="169" t="s">
        <v>197</v>
      </c>
      <c r="E237" s="169" t="s">
        <v>166</v>
      </c>
      <c r="F237" s="32" t="s">
        <v>191</v>
      </c>
      <c r="G237" s="32">
        <v>243</v>
      </c>
      <c r="H237" s="32" t="s">
        <v>165</v>
      </c>
      <c r="I237" s="32">
        <v>6632</v>
      </c>
      <c r="J237" s="36">
        <v>5962.83</v>
      </c>
      <c r="K237" s="32" t="s">
        <v>3987</v>
      </c>
      <c r="L237" s="169" t="s">
        <v>36</v>
      </c>
      <c r="M237" s="32" t="s">
        <v>3780</v>
      </c>
    </row>
    <row r="238" spans="1:13" x14ac:dyDescent="0.25">
      <c r="A238" s="168">
        <v>46184</v>
      </c>
      <c r="B238" s="32">
        <v>1</v>
      </c>
      <c r="C238" s="32" t="s">
        <v>205</v>
      </c>
      <c r="D238" s="169" t="s">
        <v>206</v>
      </c>
      <c r="E238" s="169" t="s">
        <v>276</v>
      </c>
      <c r="F238" s="32" t="s">
        <v>307</v>
      </c>
      <c r="G238" s="32">
        <v>175</v>
      </c>
      <c r="H238" s="32" t="s">
        <v>165</v>
      </c>
      <c r="I238" s="32">
        <v>6488</v>
      </c>
      <c r="J238" s="36">
        <v>3633.28</v>
      </c>
      <c r="K238" s="32" t="s">
        <v>3988</v>
      </c>
      <c r="L238" s="169" t="s">
        <v>3771</v>
      </c>
      <c r="M238" s="32" t="s">
        <v>307</v>
      </c>
    </row>
    <row r="239" spans="1:13" x14ac:dyDescent="0.25">
      <c r="A239" s="168">
        <v>46184</v>
      </c>
      <c r="B239" s="32">
        <v>1</v>
      </c>
      <c r="C239" s="32" t="s">
        <v>283</v>
      </c>
      <c r="D239" s="169" t="s">
        <v>282</v>
      </c>
      <c r="E239" s="169" t="s">
        <v>166</v>
      </c>
      <c r="F239" s="32" t="s">
        <v>1178</v>
      </c>
      <c r="G239" s="32">
        <v>51</v>
      </c>
      <c r="H239" s="32" t="s">
        <v>172</v>
      </c>
      <c r="I239" s="32">
        <v>2714</v>
      </c>
      <c r="J239" s="36">
        <v>512.13</v>
      </c>
      <c r="K239" s="32" t="s">
        <v>3989</v>
      </c>
      <c r="L239" s="169" t="s">
        <v>3847</v>
      </c>
      <c r="M239" s="32" t="s">
        <v>1178</v>
      </c>
    </row>
    <row r="240" spans="1:13" x14ac:dyDescent="0.25">
      <c r="A240" s="168">
        <v>46184</v>
      </c>
      <c r="B240" s="32">
        <v>1</v>
      </c>
      <c r="C240" s="32" t="s">
        <v>283</v>
      </c>
      <c r="D240" s="169" t="s">
        <v>282</v>
      </c>
      <c r="E240" s="169" t="s">
        <v>166</v>
      </c>
      <c r="F240" s="32" t="s">
        <v>1178</v>
      </c>
      <c r="G240" s="32">
        <v>51</v>
      </c>
      <c r="H240" s="32" t="s">
        <v>172</v>
      </c>
      <c r="I240" s="32">
        <v>282</v>
      </c>
      <c r="J240" s="36">
        <v>532.13</v>
      </c>
      <c r="K240" s="32" t="s">
        <v>3990</v>
      </c>
      <c r="L240" s="169" t="s">
        <v>3847</v>
      </c>
      <c r="M240" s="32" t="s">
        <v>1178</v>
      </c>
    </row>
    <row r="241" spans="1:13" x14ac:dyDescent="0.25">
      <c r="A241" s="168">
        <v>46184</v>
      </c>
      <c r="B241" s="32">
        <v>1</v>
      </c>
      <c r="C241" s="32" t="s">
        <v>167</v>
      </c>
      <c r="D241" s="169" t="s">
        <v>168</v>
      </c>
      <c r="E241" s="169" t="s">
        <v>163</v>
      </c>
      <c r="F241" s="32" t="s">
        <v>164</v>
      </c>
      <c r="G241" s="32">
        <v>52</v>
      </c>
      <c r="H241" s="32" t="s">
        <v>175</v>
      </c>
      <c r="I241" s="32">
        <v>2655</v>
      </c>
      <c r="J241" s="36">
        <v>510.82</v>
      </c>
      <c r="K241" s="32" t="s">
        <v>3991</v>
      </c>
      <c r="L241" s="169" t="s">
        <v>21</v>
      </c>
      <c r="M241" s="32" t="s">
        <v>224</v>
      </c>
    </row>
    <row r="242" spans="1:13" x14ac:dyDescent="0.25">
      <c r="A242" s="168">
        <v>46184</v>
      </c>
      <c r="B242" s="32">
        <v>1</v>
      </c>
      <c r="C242" s="32" t="s">
        <v>173</v>
      </c>
      <c r="D242" s="169" t="s">
        <v>174</v>
      </c>
      <c r="E242" s="169" t="s">
        <v>166</v>
      </c>
      <c r="F242" s="32" t="s">
        <v>111</v>
      </c>
      <c r="G242" s="32">
        <v>79</v>
      </c>
      <c r="H242" s="32" t="s">
        <v>169</v>
      </c>
      <c r="I242" s="32">
        <v>2448</v>
      </c>
      <c r="J242" s="36">
        <v>715.55</v>
      </c>
      <c r="K242" s="32" t="s">
        <v>3992</v>
      </c>
      <c r="L242" s="169" t="s">
        <v>116</v>
      </c>
      <c r="M242" s="32" t="s">
        <v>111</v>
      </c>
    </row>
    <row r="243" spans="1:13" x14ac:dyDescent="0.25">
      <c r="A243" s="168">
        <v>46184</v>
      </c>
      <c r="B243" s="32">
        <v>1</v>
      </c>
      <c r="C243" s="32" t="s">
        <v>173</v>
      </c>
      <c r="D243" s="169" t="s">
        <v>174</v>
      </c>
      <c r="E243" s="169" t="s">
        <v>166</v>
      </c>
      <c r="F243" s="32" t="s">
        <v>111</v>
      </c>
      <c r="G243" s="32">
        <v>79</v>
      </c>
      <c r="H243" s="32" t="s">
        <v>169</v>
      </c>
      <c r="I243" s="32">
        <v>2452</v>
      </c>
      <c r="J243" s="36">
        <v>716.72</v>
      </c>
      <c r="K243" s="32" t="s">
        <v>3993</v>
      </c>
      <c r="L243" s="169" t="s">
        <v>116</v>
      </c>
      <c r="M243" s="32" t="s">
        <v>111</v>
      </c>
    </row>
    <row r="244" spans="1:13" x14ac:dyDescent="0.25">
      <c r="A244" s="168">
        <v>46184</v>
      </c>
      <c r="B244" s="32">
        <v>1</v>
      </c>
      <c r="C244" s="32" t="s">
        <v>286</v>
      </c>
      <c r="D244" s="169" t="s">
        <v>506</v>
      </c>
      <c r="E244" s="169" t="s">
        <v>163</v>
      </c>
      <c r="F244" s="32" t="s">
        <v>164</v>
      </c>
      <c r="G244" s="32">
        <v>52</v>
      </c>
      <c r="H244" s="32" t="s">
        <v>175</v>
      </c>
      <c r="I244" s="32">
        <v>4499</v>
      </c>
      <c r="J244" s="36">
        <v>865.61</v>
      </c>
      <c r="K244" s="32" t="s">
        <v>3994</v>
      </c>
      <c r="L244" s="169" t="s">
        <v>21</v>
      </c>
      <c r="M244" s="32" t="s">
        <v>224</v>
      </c>
    </row>
    <row r="245" spans="1:13" x14ac:dyDescent="0.25">
      <c r="A245" s="168">
        <v>46184</v>
      </c>
      <c r="B245" s="32">
        <v>1</v>
      </c>
      <c r="C245" s="32" t="s">
        <v>286</v>
      </c>
      <c r="D245" s="169" t="s">
        <v>506</v>
      </c>
      <c r="E245" s="169" t="s">
        <v>166</v>
      </c>
      <c r="F245" s="32" t="s">
        <v>164</v>
      </c>
      <c r="G245" s="32">
        <v>58</v>
      </c>
      <c r="H245" s="32" t="s">
        <v>165</v>
      </c>
      <c r="I245" s="32">
        <v>4582</v>
      </c>
      <c r="J245" s="36">
        <v>983.3</v>
      </c>
      <c r="K245" s="32" t="s">
        <v>3995</v>
      </c>
      <c r="L245" s="169" t="s">
        <v>27</v>
      </c>
      <c r="M245" s="32" t="s">
        <v>224</v>
      </c>
    </row>
    <row r="246" spans="1:13" x14ac:dyDescent="0.25">
      <c r="A246" s="168">
        <v>46184</v>
      </c>
      <c r="B246" s="32">
        <v>1</v>
      </c>
      <c r="C246" s="32" t="s">
        <v>192</v>
      </c>
      <c r="D246" s="169" t="s">
        <v>287</v>
      </c>
      <c r="E246" s="169" t="s">
        <v>166</v>
      </c>
      <c r="F246" s="32" t="s">
        <v>191</v>
      </c>
      <c r="G246" s="32">
        <v>243</v>
      </c>
      <c r="H246" s="32" t="s">
        <v>165</v>
      </c>
      <c r="I246" s="32">
        <v>5964</v>
      </c>
      <c r="J246" s="36">
        <v>5362.23</v>
      </c>
      <c r="K246" s="32" t="s">
        <v>3996</v>
      </c>
      <c r="L246" s="169" t="s">
        <v>36</v>
      </c>
      <c r="M246" s="32" t="s">
        <v>3780</v>
      </c>
    </row>
    <row r="247" spans="1:13" x14ac:dyDescent="0.25">
      <c r="A247" s="168">
        <v>46184</v>
      </c>
      <c r="B247" s="32">
        <v>1</v>
      </c>
      <c r="C247" s="32" t="s">
        <v>275</v>
      </c>
      <c r="D247" s="169" t="s">
        <v>178</v>
      </c>
      <c r="E247" s="169" t="s">
        <v>166</v>
      </c>
      <c r="F247" s="32" t="s">
        <v>191</v>
      </c>
      <c r="G247" s="32">
        <v>243</v>
      </c>
      <c r="H247" s="32" t="s">
        <v>165</v>
      </c>
      <c r="I247" s="32">
        <v>4506</v>
      </c>
      <c r="J247" s="36">
        <v>4051.34</v>
      </c>
      <c r="K247" s="32" t="s">
        <v>3997</v>
      </c>
      <c r="L247" s="169" t="s">
        <v>36</v>
      </c>
      <c r="M247" s="32" t="s">
        <v>3780</v>
      </c>
    </row>
    <row r="248" spans="1:13" x14ac:dyDescent="0.25">
      <c r="A248" s="168">
        <v>46184</v>
      </c>
      <c r="B248" s="32">
        <v>1</v>
      </c>
      <c r="C248" s="32" t="s">
        <v>186</v>
      </c>
      <c r="D248" s="169" t="s">
        <v>187</v>
      </c>
      <c r="E248" s="169" t="s">
        <v>276</v>
      </c>
      <c r="F248" s="32" t="s">
        <v>2865</v>
      </c>
      <c r="G248" s="32">
        <v>37</v>
      </c>
      <c r="H248" s="32" t="s">
        <v>175</v>
      </c>
      <c r="I248" s="32">
        <v>633</v>
      </c>
      <c r="J248" s="36">
        <v>866.58</v>
      </c>
      <c r="K248" s="32" t="s">
        <v>3998</v>
      </c>
      <c r="L248" s="169" t="s">
        <v>119</v>
      </c>
      <c r="M248" s="32" t="s">
        <v>15</v>
      </c>
    </row>
    <row r="249" spans="1:13" x14ac:dyDescent="0.25">
      <c r="A249" s="168">
        <v>46184</v>
      </c>
      <c r="B249" s="32">
        <v>1</v>
      </c>
      <c r="C249" s="32" t="s">
        <v>1948</v>
      </c>
      <c r="D249" s="169" t="s">
        <v>1949</v>
      </c>
      <c r="E249" s="169" t="s">
        <v>2868</v>
      </c>
      <c r="F249" s="32" t="s">
        <v>2881</v>
      </c>
      <c r="G249" s="32">
        <v>62</v>
      </c>
      <c r="H249" s="32" t="s">
        <v>2869</v>
      </c>
      <c r="I249" s="32">
        <v>441</v>
      </c>
      <c r="J249" s="36">
        <v>1011.65</v>
      </c>
      <c r="K249" s="32" t="s">
        <v>3999</v>
      </c>
      <c r="L249" s="169" t="s">
        <v>3825</v>
      </c>
      <c r="M249" s="32" t="s">
        <v>157</v>
      </c>
    </row>
    <row r="250" spans="1:13" x14ac:dyDescent="0.25">
      <c r="A250" s="168">
        <v>46184</v>
      </c>
      <c r="B250" s="32">
        <v>1</v>
      </c>
      <c r="C250" s="32" t="s">
        <v>183</v>
      </c>
      <c r="D250" s="169" t="s">
        <v>184</v>
      </c>
      <c r="E250" s="169" t="s">
        <v>163</v>
      </c>
      <c r="F250" s="32" t="s">
        <v>111</v>
      </c>
      <c r="G250" s="32">
        <v>75</v>
      </c>
      <c r="H250" s="32" t="s">
        <v>169</v>
      </c>
      <c r="I250" s="32">
        <v>2859</v>
      </c>
      <c r="J250" s="36">
        <v>793.37</v>
      </c>
      <c r="K250" s="32" t="s">
        <v>4000</v>
      </c>
      <c r="L250" s="169" t="s">
        <v>3742</v>
      </c>
      <c r="M250" s="32" t="s">
        <v>111</v>
      </c>
    </row>
    <row r="251" spans="1:13" x14ac:dyDescent="0.25">
      <c r="A251" s="168">
        <v>46184</v>
      </c>
      <c r="B251" s="32">
        <v>1</v>
      </c>
      <c r="C251" s="32" t="s">
        <v>183</v>
      </c>
      <c r="D251" s="169" t="s">
        <v>184</v>
      </c>
      <c r="E251" s="169" t="s">
        <v>163</v>
      </c>
      <c r="F251" s="32" t="s">
        <v>111</v>
      </c>
      <c r="G251" s="32">
        <v>75</v>
      </c>
      <c r="H251" s="32" t="s">
        <v>169</v>
      </c>
      <c r="I251" s="32">
        <v>264</v>
      </c>
      <c r="J251" s="36">
        <v>732.6</v>
      </c>
      <c r="K251" s="32" t="s">
        <v>4001</v>
      </c>
      <c r="L251" s="169" t="s">
        <v>3742</v>
      </c>
      <c r="M251" s="32" t="s">
        <v>111</v>
      </c>
    </row>
    <row r="252" spans="1:13" x14ac:dyDescent="0.25">
      <c r="A252" s="168">
        <v>46184</v>
      </c>
      <c r="B252" s="32">
        <v>1</v>
      </c>
      <c r="C252" s="32" t="s">
        <v>179</v>
      </c>
      <c r="D252" s="169" t="s">
        <v>2863</v>
      </c>
      <c r="E252" s="169" t="s">
        <v>166</v>
      </c>
      <c r="F252" s="32" t="s">
        <v>111</v>
      </c>
      <c r="G252" s="32">
        <v>79</v>
      </c>
      <c r="H252" s="32" t="s">
        <v>169</v>
      </c>
      <c r="I252" s="32">
        <v>2627</v>
      </c>
      <c r="J252" s="36">
        <v>767.87</v>
      </c>
      <c r="K252" s="32" t="s">
        <v>4002</v>
      </c>
      <c r="L252" s="169" t="s">
        <v>116</v>
      </c>
      <c r="M252" s="32" t="s">
        <v>111</v>
      </c>
    </row>
    <row r="253" spans="1:13" x14ac:dyDescent="0.25">
      <c r="A253" s="168">
        <v>46184</v>
      </c>
      <c r="B253" s="32">
        <v>1</v>
      </c>
      <c r="C253" s="32" t="s">
        <v>179</v>
      </c>
      <c r="D253" s="169" t="s">
        <v>2863</v>
      </c>
      <c r="E253" s="169" t="s">
        <v>166</v>
      </c>
      <c r="F253" s="32" t="s">
        <v>111</v>
      </c>
      <c r="G253" s="32">
        <v>79</v>
      </c>
      <c r="H253" s="32" t="s">
        <v>169</v>
      </c>
      <c r="I253" s="32">
        <v>2898</v>
      </c>
      <c r="J253" s="36">
        <v>847.09</v>
      </c>
      <c r="K253" s="32" t="s">
        <v>4003</v>
      </c>
      <c r="L253" s="169" t="s">
        <v>116</v>
      </c>
      <c r="M253" s="32" t="s">
        <v>111</v>
      </c>
    </row>
    <row r="254" spans="1:13" x14ac:dyDescent="0.25">
      <c r="A254" s="168">
        <v>46184</v>
      </c>
      <c r="B254" s="32">
        <v>1</v>
      </c>
      <c r="C254" s="32" t="s">
        <v>1129</v>
      </c>
      <c r="D254" s="169" t="s">
        <v>2396</v>
      </c>
      <c r="E254" s="169" t="s">
        <v>163</v>
      </c>
      <c r="F254" s="32" t="s">
        <v>164</v>
      </c>
      <c r="G254" s="32">
        <v>52</v>
      </c>
      <c r="H254" s="32" t="s">
        <v>175</v>
      </c>
      <c r="I254" s="32">
        <v>2599</v>
      </c>
      <c r="J254" s="36">
        <v>500.05</v>
      </c>
      <c r="K254" s="32" t="s">
        <v>4004</v>
      </c>
      <c r="L254" s="169" t="s">
        <v>21</v>
      </c>
      <c r="M254" s="32" t="s">
        <v>224</v>
      </c>
    </row>
    <row r="255" spans="1:13" x14ac:dyDescent="0.25">
      <c r="A255" s="168">
        <v>46185</v>
      </c>
      <c r="B255" s="32">
        <v>1</v>
      </c>
      <c r="C255" s="32" t="s">
        <v>208</v>
      </c>
      <c r="D255" s="169" t="s">
        <v>209</v>
      </c>
      <c r="E255" s="169" t="s">
        <v>190</v>
      </c>
      <c r="F255" s="32" t="s">
        <v>191</v>
      </c>
      <c r="G255" s="32">
        <v>217</v>
      </c>
      <c r="H255" s="32" t="s">
        <v>165</v>
      </c>
      <c r="I255" s="32">
        <v>570</v>
      </c>
      <c r="J255" s="36">
        <v>4576.53</v>
      </c>
      <c r="K255" s="32" t="s">
        <v>4005</v>
      </c>
      <c r="L255" s="169" t="s">
        <v>19</v>
      </c>
      <c r="M255" s="32" t="s">
        <v>3780</v>
      </c>
    </row>
    <row r="256" spans="1:13" x14ac:dyDescent="0.25">
      <c r="A256" s="168">
        <v>46185</v>
      </c>
      <c r="B256" s="32">
        <v>1</v>
      </c>
      <c r="C256" s="32" t="s">
        <v>199</v>
      </c>
      <c r="D256" s="169" t="s">
        <v>180</v>
      </c>
      <c r="E256" s="169" t="s">
        <v>163</v>
      </c>
      <c r="F256" s="32" t="s">
        <v>111</v>
      </c>
      <c r="G256" s="32">
        <v>75</v>
      </c>
      <c r="H256" s="32" t="s">
        <v>185</v>
      </c>
      <c r="I256" s="32">
        <v>2793</v>
      </c>
      <c r="J256" s="36">
        <v>775.06</v>
      </c>
      <c r="K256" s="32" t="s">
        <v>4006</v>
      </c>
      <c r="L256" s="169" t="s">
        <v>3738</v>
      </c>
      <c r="M256" s="32" t="s">
        <v>111</v>
      </c>
    </row>
    <row r="257" spans="1:13" x14ac:dyDescent="0.25">
      <c r="A257" s="168">
        <v>46185</v>
      </c>
      <c r="B257" s="32">
        <v>1</v>
      </c>
      <c r="C257" s="32" t="s">
        <v>167</v>
      </c>
      <c r="D257" s="169" t="s">
        <v>168</v>
      </c>
      <c r="E257" s="169" t="s">
        <v>163</v>
      </c>
      <c r="F257" s="32" t="s">
        <v>111</v>
      </c>
      <c r="G257" s="32">
        <v>75</v>
      </c>
      <c r="H257" s="32" t="s">
        <v>185</v>
      </c>
      <c r="I257" s="32">
        <v>2692</v>
      </c>
      <c r="J257" s="36">
        <v>747.03</v>
      </c>
      <c r="K257" s="32" t="s">
        <v>4007</v>
      </c>
      <c r="L257" s="169" t="s">
        <v>3738</v>
      </c>
      <c r="M257" s="32" t="s">
        <v>111</v>
      </c>
    </row>
    <row r="258" spans="1:13" x14ac:dyDescent="0.25">
      <c r="A258" s="168">
        <v>46185</v>
      </c>
      <c r="B258" s="32">
        <v>1</v>
      </c>
      <c r="C258" s="32" t="s">
        <v>342</v>
      </c>
      <c r="D258" s="169" t="s">
        <v>171</v>
      </c>
      <c r="E258" s="169" t="s">
        <v>163</v>
      </c>
      <c r="F258" s="32" t="s">
        <v>164</v>
      </c>
      <c r="G258" s="32">
        <v>52</v>
      </c>
      <c r="H258" s="32" t="s">
        <v>185</v>
      </c>
      <c r="I258" s="32">
        <v>4542</v>
      </c>
      <c r="J258" s="36">
        <v>873.88</v>
      </c>
      <c r="K258" s="32" t="s">
        <v>4008</v>
      </c>
      <c r="L258" s="169" t="s">
        <v>20</v>
      </c>
      <c r="M258" s="32" t="s">
        <v>224</v>
      </c>
    </row>
    <row r="259" spans="1:13" x14ac:dyDescent="0.25">
      <c r="A259" s="168">
        <v>46185</v>
      </c>
      <c r="B259" s="32">
        <v>1</v>
      </c>
      <c r="C259" s="32" t="s">
        <v>181</v>
      </c>
      <c r="D259" s="169" t="s">
        <v>182</v>
      </c>
      <c r="E259" s="169" t="s">
        <v>166</v>
      </c>
      <c r="F259" s="32" t="s">
        <v>164</v>
      </c>
      <c r="G259" s="32">
        <v>58</v>
      </c>
      <c r="H259" s="32" t="s">
        <v>172</v>
      </c>
      <c r="I259" s="32">
        <v>273</v>
      </c>
      <c r="J259" s="36">
        <v>585.86</v>
      </c>
      <c r="K259" s="32" t="s">
        <v>4009</v>
      </c>
      <c r="L259" s="169" t="s">
        <v>44</v>
      </c>
      <c r="M259" s="32" t="s">
        <v>224</v>
      </c>
    </row>
    <row r="260" spans="1:13" x14ac:dyDescent="0.25">
      <c r="A260" s="168">
        <v>46185</v>
      </c>
      <c r="B260" s="32">
        <v>1</v>
      </c>
      <c r="C260" s="32" t="s">
        <v>202</v>
      </c>
      <c r="D260" s="169" t="s">
        <v>214</v>
      </c>
      <c r="E260" s="169" t="s">
        <v>190</v>
      </c>
      <c r="F260" s="32" t="s">
        <v>191</v>
      </c>
      <c r="G260" s="32">
        <v>217</v>
      </c>
      <c r="H260" s="32" t="s">
        <v>165</v>
      </c>
      <c r="I260" s="32">
        <v>6674</v>
      </c>
      <c r="J260" s="36">
        <v>5358.55</v>
      </c>
      <c r="K260" s="32" t="s">
        <v>4010</v>
      </c>
      <c r="L260" s="169" t="s">
        <v>19</v>
      </c>
      <c r="M260" s="32" t="s">
        <v>3780</v>
      </c>
    </row>
    <row r="261" spans="1:13" x14ac:dyDescent="0.25">
      <c r="A261" s="168">
        <v>46185</v>
      </c>
      <c r="B261" s="32">
        <v>1</v>
      </c>
      <c r="C261" s="32" t="s">
        <v>167</v>
      </c>
      <c r="D261" s="169" t="s">
        <v>168</v>
      </c>
      <c r="E261" s="169" t="s">
        <v>163</v>
      </c>
      <c r="F261" s="32" t="s">
        <v>111</v>
      </c>
      <c r="G261" s="32">
        <v>75</v>
      </c>
      <c r="H261" s="32" t="s">
        <v>185</v>
      </c>
      <c r="I261" s="32">
        <v>2767</v>
      </c>
      <c r="J261" s="36">
        <v>767.84</v>
      </c>
      <c r="K261" s="32" t="s">
        <v>4011</v>
      </c>
      <c r="L261" s="169" t="s">
        <v>3738</v>
      </c>
      <c r="M261" s="32" t="s">
        <v>111</v>
      </c>
    </row>
    <row r="262" spans="1:13" x14ac:dyDescent="0.25">
      <c r="A262" s="168">
        <v>46185</v>
      </c>
      <c r="B262" s="32">
        <v>1</v>
      </c>
      <c r="C262" s="32" t="s">
        <v>199</v>
      </c>
      <c r="D262" s="169" t="s">
        <v>180</v>
      </c>
      <c r="E262" s="169" t="s">
        <v>163</v>
      </c>
      <c r="F262" s="32" t="s">
        <v>111</v>
      </c>
      <c r="G262" s="32">
        <v>75</v>
      </c>
      <c r="H262" s="32" t="s">
        <v>185</v>
      </c>
      <c r="I262" s="32">
        <v>2918</v>
      </c>
      <c r="J262" s="36">
        <v>809.75</v>
      </c>
      <c r="K262" s="32" t="s">
        <v>4012</v>
      </c>
      <c r="L262" s="169" t="s">
        <v>3738</v>
      </c>
      <c r="M262" s="32" t="s">
        <v>111</v>
      </c>
    </row>
    <row r="263" spans="1:13" x14ac:dyDescent="0.25">
      <c r="A263" s="168">
        <v>46185</v>
      </c>
      <c r="B263" s="32">
        <v>1</v>
      </c>
      <c r="C263" s="32" t="s">
        <v>173</v>
      </c>
      <c r="D263" s="169" t="s">
        <v>174</v>
      </c>
      <c r="E263" s="169" t="s">
        <v>166</v>
      </c>
      <c r="F263" s="32" t="s">
        <v>111</v>
      </c>
      <c r="G263" s="32">
        <v>79</v>
      </c>
      <c r="H263" s="32" t="s">
        <v>172</v>
      </c>
      <c r="I263" s="32">
        <v>302</v>
      </c>
      <c r="J263" s="36">
        <v>882.75</v>
      </c>
      <c r="K263" s="32" t="s">
        <v>4013</v>
      </c>
      <c r="L263" s="169" t="s">
        <v>117</v>
      </c>
      <c r="M263" s="32" t="s">
        <v>111</v>
      </c>
    </row>
    <row r="264" spans="1:13" x14ac:dyDescent="0.25">
      <c r="A264" s="168">
        <v>46185</v>
      </c>
      <c r="B264" s="32">
        <v>1</v>
      </c>
      <c r="C264" s="32" t="s">
        <v>186</v>
      </c>
      <c r="D264" s="169" t="s">
        <v>187</v>
      </c>
      <c r="E264" s="169" t="s">
        <v>276</v>
      </c>
      <c r="F264" s="32" t="s">
        <v>2865</v>
      </c>
      <c r="G264" s="32">
        <v>37</v>
      </c>
      <c r="H264" s="32" t="s">
        <v>165</v>
      </c>
      <c r="I264" s="32">
        <v>711</v>
      </c>
      <c r="J264" s="36">
        <v>973.36</v>
      </c>
      <c r="K264" s="32" t="s">
        <v>4014</v>
      </c>
      <c r="L264" s="169" t="s">
        <v>118</v>
      </c>
      <c r="M264" s="32" t="s">
        <v>15</v>
      </c>
    </row>
    <row r="265" spans="1:13" x14ac:dyDescent="0.25">
      <c r="A265" s="168">
        <v>46185</v>
      </c>
      <c r="B265" s="32">
        <v>1</v>
      </c>
      <c r="C265" s="32" t="s">
        <v>342</v>
      </c>
      <c r="D265" s="169" t="s">
        <v>171</v>
      </c>
      <c r="E265" s="169" t="s">
        <v>163</v>
      </c>
      <c r="F265" s="32" t="s">
        <v>164</v>
      </c>
      <c r="G265" s="32">
        <v>52</v>
      </c>
      <c r="H265" s="32" t="s">
        <v>185</v>
      </c>
      <c r="I265" s="32">
        <v>4559</v>
      </c>
      <c r="J265" s="36">
        <v>877.15</v>
      </c>
      <c r="K265" s="32" t="s">
        <v>4015</v>
      </c>
      <c r="L265" s="169" t="s">
        <v>20</v>
      </c>
      <c r="M265" s="32" t="s">
        <v>224</v>
      </c>
    </row>
    <row r="266" spans="1:13" x14ac:dyDescent="0.25">
      <c r="A266" s="168">
        <v>46185</v>
      </c>
      <c r="B266" s="32">
        <v>1</v>
      </c>
      <c r="C266" s="32" t="s">
        <v>181</v>
      </c>
      <c r="D266" s="169" t="s">
        <v>182</v>
      </c>
      <c r="E266" s="169" t="s">
        <v>166</v>
      </c>
      <c r="F266" s="32" t="s">
        <v>164</v>
      </c>
      <c r="G266" s="32">
        <v>58</v>
      </c>
      <c r="H266" s="32" t="s">
        <v>172</v>
      </c>
      <c r="I266" s="32">
        <v>2802</v>
      </c>
      <c r="J266" s="36">
        <v>601.30999999999995</v>
      </c>
      <c r="K266" s="32" t="s">
        <v>4016</v>
      </c>
      <c r="L266" s="169" t="s">
        <v>44</v>
      </c>
      <c r="M266" s="32" t="s">
        <v>224</v>
      </c>
    </row>
    <row r="267" spans="1:13" x14ac:dyDescent="0.25">
      <c r="A267" s="168">
        <v>46185</v>
      </c>
      <c r="B267" s="32">
        <v>1</v>
      </c>
      <c r="C267" s="32" t="s">
        <v>167</v>
      </c>
      <c r="D267" s="169" t="s">
        <v>168</v>
      </c>
      <c r="E267" s="169" t="s">
        <v>163</v>
      </c>
      <c r="F267" s="32" t="s">
        <v>111</v>
      </c>
      <c r="G267" s="32">
        <v>75</v>
      </c>
      <c r="H267" s="32" t="s">
        <v>185</v>
      </c>
      <c r="I267" s="32">
        <v>2728</v>
      </c>
      <c r="J267" s="36">
        <v>757.02</v>
      </c>
      <c r="K267" s="32" t="s">
        <v>4017</v>
      </c>
      <c r="L267" s="169" t="s">
        <v>3738</v>
      </c>
      <c r="M267" s="32" t="s">
        <v>111</v>
      </c>
    </row>
    <row r="268" spans="1:13" x14ac:dyDescent="0.25">
      <c r="A268" s="168">
        <v>46185</v>
      </c>
      <c r="B268" s="32">
        <v>1</v>
      </c>
      <c r="C268" s="32" t="s">
        <v>196</v>
      </c>
      <c r="D268" s="169" t="s">
        <v>197</v>
      </c>
      <c r="E268" s="169" t="s">
        <v>190</v>
      </c>
      <c r="F268" s="32" t="s">
        <v>191</v>
      </c>
      <c r="G268" s="32">
        <v>217</v>
      </c>
      <c r="H268" s="32" t="s">
        <v>165</v>
      </c>
      <c r="I268" s="32">
        <v>6764</v>
      </c>
      <c r="J268" s="36">
        <v>5430.82</v>
      </c>
      <c r="K268" s="32" t="s">
        <v>4018</v>
      </c>
      <c r="L268" s="169" t="s">
        <v>19</v>
      </c>
      <c r="M268" s="32" t="s">
        <v>3780</v>
      </c>
    </row>
    <row r="269" spans="1:13" x14ac:dyDescent="0.25">
      <c r="A269" s="168">
        <v>46185</v>
      </c>
      <c r="B269" s="32">
        <v>1</v>
      </c>
      <c r="C269" s="32" t="s">
        <v>183</v>
      </c>
      <c r="D269" s="169" t="s">
        <v>184</v>
      </c>
      <c r="E269" s="169" t="s">
        <v>163</v>
      </c>
      <c r="F269" s="32" t="s">
        <v>111</v>
      </c>
      <c r="G269" s="32">
        <v>75</v>
      </c>
      <c r="H269" s="32" t="s">
        <v>169</v>
      </c>
      <c r="I269" s="32">
        <v>2817</v>
      </c>
      <c r="J269" s="36">
        <v>781.72</v>
      </c>
      <c r="K269" s="32" t="s">
        <v>4019</v>
      </c>
      <c r="L269" s="169" t="s">
        <v>3742</v>
      </c>
      <c r="M269" s="32" t="s">
        <v>111</v>
      </c>
    </row>
    <row r="270" spans="1:13" x14ac:dyDescent="0.25">
      <c r="A270" s="168">
        <v>46185</v>
      </c>
      <c r="B270" s="32">
        <v>1</v>
      </c>
      <c r="C270" s="32" t="s">
        <v>183</v>
      </c>
      <c r="D270" s="169" t="s">
        <v>184</v>
      </c>
      <c r="E270" s="169" t="s">
        <v>163</v>
      </c>
      <c r="F270" s="32" t="s">
        <v>111</v>
      </c>
      <c r="G270" s="32">
        <v>75</v>
      </c>
      <c r="H270" s="32" t="s">
        <v>169</v>
      </c>
      <c r="I270" s="32">
        <v>2753</v>
      </c>
      <c r="J270" s="36">
        <v>763.96</v>
      </c>
      <c r="K270" s="32" t="s">
        <v>4020</v>
      </c>
      <c r="L270" s="169" t="s">
        <v>3742</v>
      </c>
      <c r="M270" s="32" t="s">
        <v>111</v>
      </c>
    </row>
    <row r="271" spans="1:13" x14ac:dyDescent="0.25">
      <c r="A271" s="168">
        <v>46185</v>
      </c>
      <c r="B271" s="32">
        <v>1</v>
      </c>
      <c r="C271" s="32" t="s">
        <v>203</v>
      </c>
      <c r="D271" s="169" t="s">
        <v>204</v>
      </c>
      <c r="E271" s="169" t="s">
        <v>190</v>
      </c>
      <c r="F271" s="32" t="s">
        <v>191</v>
      </c>
      <c r="G271" s="32">
        <v>217</v>
      </c>
      <c r="H271" s="32" t="s">
        <v>165</v>
      </c>
      <c r="I271" s="32">
        <v>5468</v>
      </c>
      <c r="J271" s="36">
        <v>4390.26</v>
      </c>
      <c r="K271" s="32" t="s">
        <v>4021</v>
      </c>
      <c r="L271" s="169" t="s">
        <v>19</v>
      </c>
      <c r="M271" s="32" t="s">
        <v>3780</v>
      </c>
    </row>
    <row r="272" spans="1:13" x14ac:dyDescent="0.25">
      <c r="A272" s="168">
        <v>46185</v>
      </c>
      <c r="B272" s="32">
        <v>1</v>
      </c>
      <c r="C272" s="32" t="s">
        <v>210</v>
      </c>
      <c r="D272" s="169" t="s">
        <v>211</v>
      </c>
      <c r="E272" s="169" t="s">
        <v>190</v>
      </c>
      <c r="F272" s="32" t="s">
        <v>191</v>
      </c>
      <c r="G272" s="32">
        <v>217</v>
      </c>
      <c r="H272" s="32" t="s">
        <v>165</v>
      </c>
      <c r="I272" s="32">
        <v>5274</v>
      </c>
      <c r="J272" s="36">
        <v>4234.49</v>
      </c>
      <c r="K272" s="32" t="s">
        <v>4022</v>
      </c>
      <c r="L272" s="169" t="s">
        <v>19</v>
      </c>
      <c r="M272" s="32" t="s">
        <v>3780</v>
      </c>
    </row>
    <row r="273" spans="1:13" x14ac:dyDescent="0.25">
      <c r="A273" s="168">
        <v>46185</v>
      </c>
      <c r="B273" s="32">
        <v>1</v>
      </c>
      <c r="C273" s="32" t="s">
        <v>176</v>
      </c>
      <c r="D273" s="169" t="s">
        <v>177</v>
      </c>
      <c r="E273" s="169" t="s">
        <v>190</v>
      </c>
      <c r="F273" s="32" t="s">
        <v>191</v>
      </c>
      <c r="G273" s="32">
        <v>217</v>
      </c>
      <c r="H273" s="32" t="s">
        <v>165</v>
      </c>
      <c r="I273" s="32">
        <v>5196</v>
      </c>
      <c r="J273" s="36">
        <v>4171.87</v>
      </c>
      <c r="K273" s="32" t="s">
        <v>4023</v>
      </c>
      <c r="L273" s="169" t="s">
        <v>19</v>
      </c>
      <c r="M273" s="32" t="s">
        <v>3780</v>
      </c>
    </row>
    <row r="274" spans="1:13" x14ac:dyDescent="0.25">
      <c r="A274" s="168">
        <v>46185</v>
      </c>
      <c r="B274" s="32">
        <v>1</v>
      </c>
      <c r="C274" s="32" t="s">
        <v>286</v>
      </c>
      <c r="D274" s="169" t="s">
        <v>506</v>
      </c>
      <c r="E274" s="169" t="s">
        <v>166</v>
      </c>
      <c r="F274" s="32" t="s">
        <v>164</v>
      </c>
      <c r="G274" s="32">
        <v>58</v>
      </c>
      <c r="H274" s="32" t="s">
        <v>165</v>
      </c>
      <c r="I274" s="32">
        <v>456</v>
      </c>
      <c r="J274" s="36">
        <v>978.58</v>
      </c>
      <c r="K274" s="32" t="s">
        <v>4024</v>
      </c>
      <c r="L274" s="169" t="s">
        <v>27</v>
      </c>
      <c r="M274" s="32" t="s">
        <v>224</v>
      </c>
    </row>
    <row r="275" spans="1:13" x14ac:dyDescent="0.25">
      <c r="A275" s="168">
        <v>46185</v>
      </c>
      <c r="B275" s="32">
        <v>1</v>
      </c>
      <c r="C275" s="32" t="s">
        <v>286</v>
      </c>
      <c r="D275" s="169" t="s">
        <v>506</v>
      </c>
      <c r="E275" s="169" t="s">
        <v>166</v>
      </c>
      <c r="F275" s="32" t="s">
        <v>164</v>
      </c>
      <c r="G275" s="32">
        <v>58</v>
      </c>
      <c r="H275" s="32" t="s">
        <v>165</v>
      </c>
      <c r="I275" s="32">
        <v>4654</v>
      </c>
      <c r="J275" s="36">
        <v>998.75</v>
      </c>
      <c r="K275" s="32" t="s">
        <v>4025</v>
      </c>
      <c r="L275" s="169" t="s">
        <v>27</v>
      </c>
      <c r="M275" s="32" t="s">
        <v>224</v>
      </c>
    </row>
    <row r="276" spans="1:13" x14ac:dyDescent="0.25">
      <c r="A276" s="168">
        <v>46185</v>
      </c>
      <c r="B276" s="32">
        <v>1</v>
      </c>
      <c r="C276" s="32" t="s">
        <v>173</v>
      </c>
      <c r="D276" s="169" t="s">
        <v>174</v>
      </c>
      <c r="E276" s="169" t="s">
        <v>166</v>
      </c>
      <c r="F276" s="32" t="s">
        <v>111</v>
      </c>
      <c r="G276" s="32">
        <v>79</v>
      </c>
      <c r="H276" s="32" t="s">
        <v>169</v>
      </c>
      <c r="I276" s="32">
        <v>2778</v>
      </c>
      <c r="J276" s="36">
        <v>812.01</v>
      </c>
      <c r="K276" s="32" t="s">
        <v>4026</v>
      </c>
      <c r="L276" s="169" t="s">
        <v>116</v>
      </c>
      <c r="M276" s="32" t="s">
        <v>111</v>
      </c>
    </row>
    <row r="277" spans="1:13" x14ac:dyDescent="0.25">
      <c r="A277" s="168">
        <v>46185</v>
      </c>
      <c r="B277" s="32">
        <v>1</v>
      </c>
      <c r="C277" s="32" t="s">
        <v>275</v>
      </c>
      <c r="D277" s="169" t="s">
        <v>178</v>
      </c>
      <c r="E277" s="169" t="s">
        <v>166</v>
      </c>
      <c r="F277" s="32" t="s">
        <v>191</v>
      </c>
      <c r="G277" s="32">
        <v>243</v>
      </c>
      <c r="H277" s="32" t="s">
        <v>165</v>
      </c>
      <c r="I277" s="32">
        <v>4556</v>
      </c>
      <c r="J277" s="36">
        <v>4096.3</v>
      </c>
      <c r="K277" s="32" t="s">
        <v>4027</v>
      </c>
      <c r="L277" s="169" t="s">
        <v>36</v>
      </c>
      <c r="M277" s="32" t="s">
        <v>3780</v>
      </c>
    </row>
    <row r="278" spans="1:13" x14ac:dyDescent="0.25">
      <c r="A278" s="168">
        <v>46185</v>
      </c>
      <c r="B278" s="32">
        <v>1</v>
      </c>
      <c r="C278" s="32" t="s">
        <v>186</v>
      </c>
      <c r="D278" s="169" t="s">
        <v>187</v>
      </c>
      <c r="E278" s="169" t="s">
        <v>276</v>
      </c>
      <c r="F278" s="32" t="s">
        <v>307</v>
      </c>
      <c r="G278" s="32">
        <v>175</v>
      </c>
      <c r="H278" s="32" t="s">
        <v>195</v>
      </c>
      <c r="I278" s="32">
        <v>716</v>
      </c>
      <c r="J278" s="36">
        <v>4009.6</v>
      </c>
      <c r="K278" s="32" t="s">
        <v>4028</v>
      </c>
      <c r="L278" s="169" t="s">
        <v>4029</v>
      </c>
      <c r="M278" s="32" t="s">
        <v>307</v>
      </c>
    </row>
    <row r="279" spans="1:13" x14ac:dyDescent="0.25">
      <c r="A279" s="168">
        <v>46185</v>
      </c>
      <c r="B279" s="32">
        <v>1</v>
      </c>
      <c r="C279" s="32" t="s">
        <v>192</v>
      </c>
      <c r="D279" s="169" t="s">
        <v>287</v>
      </c>
      <c r="E279" s="169" t="s">
        <v>190</v>
      </c>
      <c r="F279" s="32" t="s">
        <v>191</v>
      </c>
      <c r="G279" s="32">
        <v>217</v>
      </c>
      <c r="H279" s="32" t="s">
        <v>165</v>
      </c>
      <c r="I279" s="32">
        <v>641</v>
      </c>
      <c r="J279" s="36">
        <v>5146.59</v>
      </c>
      <c r="K279" s="32" t="s">
        <v>4030</v>
      </c>
      <c r="L279" s="169" t="s">
        <v>19</v>
      </c>
      <c r="M279" s="32" t="s">
        <v>3780</v>
      </c>
    </row>
    <row r="280" spans="1:13" x14ac:dyDescent="0.25">
      <c r="A280" s="168">
        <v>46185</v>
      </c>
      <c r="B280" s="32">
        <v>1</v>
      </c>
      <c r="C280" s="32" t="s">
        <v>179</v>
      </c>
      <c r="D280" s="169" t="s">
        <v>2863</v>
      </c>
      <c r="E280" s="169" t="s">
        <v>166</v>
      </c>
      <c r="F280" s="32" t="s">
        <v>111</v>
      </c>
      <c r="G280" s="32">
        <v>79</v>
      </c>
      <c r="H280" s="32" t="s">
        <v>169</v>
      </c>
      <c r="I280" s="32">
        <v>2796</v>
      </c>
      <c r="J280" s="36">
        <v>817.27</v>
      </c>
      <c r="K280" s="32" t="s">
        <v>4031</v>
      </c>
      <c r="L280" s="169" t="s">
        <v>116</v>
      </c>
      <c r="M280" s="32" t="s">
        <v>111</v>
      </c>
    </row>
    <row r="281" spans="1:13" x14ac:dyDescent="0.25">
      <c r="A281" s="168">
        <v>46185</v>
      </c>
      <c r="B281" s="32">
        <v>1</v>
      </c>
      <c r="C281" s="32" t="s">
        <v>179</v>
      </c>
      <c r="D281" s="169" t="s">
        <v>2863</v>
      </c>
      <c r="E281" s="169" t="s">
        <v>166</v>
      </c>
      <c r="F281" s="32" t="s">
        <v>111</v>
      </c>
      <c r="G281" s="32">
        <v>79</v>
      </c>
      <c r="H281" s="32" t="s">
        <v>169</v>
      </c>
      <c r="I281" s="32">
        <v>2613</v>
      </c>
      <c r="J281" s="36">
        <v>763.78</v>
      </c>
      <c r="K281" s="32" t="s">
        <v>4032</v>
      </c>
      <c r="L281" s="169" t="s">
        <v>116</v>
      </c>
      <c r="M281" s="32" t="s">
        <v>111</v>
      </c>
    </row>
    <row r="282" spans="1:13" x14ac:dyDescent="0.25">
      <c r="A282" s="168">
        <v>46185</v>
      </c>
      <c r="B282" s="32">
        <v>1</v>
      </c>
      <c r="C282" s="32" t="s">
        <v>296</v>
      </c>
      <c r="D282" s="169" t="s">
        <v>1536</v>
      </c>
      <c r="E282" s="169" t="s">
        <v>276</v>
      </c>
      <c r="F282" s="32" t="s">
        <v>2865</v>
      </c>
      <c r="G282" s="32">
        <v>37</v>
      </c>
      <c r="H282" s="32" t="s">
        <v>165</v>
      </c>
      <c r="I282" s="32">
        <v>4206</v>
      </c>
      <c r="J282" s="36">
        <v>575.79999999999995</v>
      </c>
      <c r="K282" s="32" t="s">
        <v>4033</v>
      </c>
      <c r="L282" s="169" t="s">
        <v>118</v>
      </c>
      <c r="M282" s="32" t="s">
        <v>15</v>
      </c>
    </row>
    <row r="283" spans="1:13" x14ac:dyDescent="0.25">
      <c r="A283" s="168">
        <v>46186</v>
      </c>
      <c r="B283" s="32">
        <v>1</v>
      </c>
      <c r="C283" s="32" t="s">
        <v>342</v>
      </c>
      <c r="D283" s="169" t="s">
        <v>171</v>
      </c>
      <c r="E283" s="169" t="s">
        <v>163</v>
      </c>
      <c r="F283" s="32" t="s">
        <v>164</v>
      </c>
      <c r="G283" s="32">
        <v>52</v>
      </c>
      <c r="H283" s="32" t="s">
        <v>185</v>
      </c>
      <c r="I283" s="32">
        <v>4555</v>
      </c>
      <c r="J283" s="36">
        <v>876.38</v>
      </c>
      <c r="K283" s="32" t="s">
        <v>4034</v>
      </c>
      <c r="L283" s="169" t="s">
        <v>20</v>
      </c>
      <c r="M283" s="32" t="s">
        <v>224</v>
      </c>
    </row>
    <row r="284" spans="1:13" x14ac:dyDescent="0.25">
      <c r="A284" s="168">
        <v>46186</v>
      </c>
      <c r="B284" s="32">
        <v>1</v>
      </c>
      <c r="C284" s="32" t="s">
        <v>199</v>
      </c>
      <c r="D284" s="169" t="s">
        <v>180</v>
      </c>
      <c r="E284" s="169" t="s">
        <v>163</v>
      </c>
      <c r="F284" s="32" t="s">
        <v>111</v>
      </c>
      <c r="G284" s="32">
        <v>75</v>
      </c>
      <c r="H284" s="32" t="s">
        <v>185</v>
      </c>
      <c r="I284" s="32">
        <v>2747</v>
      </c>
      <c r="J284" s="36">
        <v>762.29</v>
      </c>
      <c r="K284" s="32" t="s">
        <v>4035</v>
      </c>
      <c r="L284" s="169" t="s">
        <v>3738</v>
      </c>
      <c r="M284" s="32" t="s">
        <v>111</v>
      </c>
    </row>
    <row r="285" spans="1:13" x14ac:dyDescent="0.25">
      <c r="A285" s="168">
        <v>46186</v>
      </c>
      <c r="B285" s="32">
        <v>1</v>
      </c>
      <c r="C285" s="32" t="s">
        <v>167</v>
      </c>
      <c r="D285" s="169" t="s">
        <v>168</v>
      </c>
      <c r="E285" s="169" t="s">
        <v>163</v>
      </c>
      <c r="F285" s="32" t="s">
        <v>111</v>
      </c>
      <c r="G285" s="32">
        <v>75</v>
      </c>
      <c r="H285" s="32" t="s">
        <v>185</v>
      </c>
      <c r="I285" s="32">
        <v>265</v>
      </c>
      <c r="J285" s="36">
        <v>735.38</v>
      </c>
      <c r="K285" s="32" t="s">
        <v>4036</v>
      </c>
      <c r="L285" s="169" t="s">
        <v>3738</v>
      </c>
      <c r="M285" s="32" t="s">
        <v>111</v>
      </c>
    </row>
    <row r="286" spans="1:13" x14ac:dyDescent="0.25">
      <c r="A286" s="168">
        <v>46186</v>
      </c>
      <c r="B286" s="32">
        <v>1</v>
      </c>
      <c r="C286" s="32" t="s">
        <v>167</v>
      </c>
      <c r="D286" s="169" t="s">
        <v>168</v>
      </c>
      <c r="E286" s="169" t="s">
        <v>163</v>
      </c>
      <c r="F286" s="32" t="s">
        <v>164</v>
      </c>
      <c r="G286" s="32">
        <v>52</v>
      </c>
      <c r="H286" s="32" t="s">
        <v>175</v>
      </c>
      <c r="I286" s="32">
        <v>2691</v>
      </c>
      <c r="J286" s="36">
        <v>517.75</v>
      </c>
      <c r="K286" s="32" t="s">
        <v>4037</v>
      </c>
      <c r="L286" s="169" t="s">
        <v>21</v>
      </c>
      <c r="M286" s="32" t="s">
        <v>224</v>
      </c>
    </row>
    <row r="287" spans="1:13" x14ac:dyDescent="0.25">
      <c r="A287" s="168">
        <v>46186</v>
      </c>
      <c r="B287" s="32">
        <v>1</v>
      </c>
      <c r="C287" s="32" t="s">
        <v>205</v>
      </c>
      <c r="D287" s="169" t="s">
        <v>206</v>
      </c>
      <c r="E287" s="169" t="s">
        <v>276</v>
      </c>
      <c r="F287" s="32" t="s">
        <v>307</v>
      </c>
      <c r="G287" s="32">
        <v>175</v>
      </c>
      <c r="H287" s="32" t="s">
        <v>195</v>
      </c>
      <c r="I287" s="32">
        <v>677</v>
      </c>
      <c r="J287" s="36">
        <v>3791.2</v>
      </c>
      <c r="K287" s="32" t="s">
        <v>4038</v>
      </c>
      <c r="L287" s="169" t="s">
        <v>4029</v>
      </c>
      <c r="M287" s="32" t="s">
        <v>307</v>
      </c>
    </row>
    <row r="288" spans="1:13" x14ac:dyDescent="0.25">
      <c r="A288" s="168">
        <v>46186</v>
      </c>
      <c r="B288" s="32">
        <v>1</v>
      </c>
      <c r="C288" s="32" t="s">
        <v>203</v>
      </c>
      <c r="D288" s="169" t="s">
        <v>204</v>
      </c>
      <c r="E288" s="169" t="s">
        <v>190</v>
      </c>
      <c r="F288" s="32" t="s">
        <v>198</v>
      </c>
      <c r="G288" s="32">
        <v>70</v>
      </c>
      <c r="H288" s="32" t="s">
        <v>165</v>
      </c>
      <c r="I288" s="32">
        <v>5382</v>
      </c>
      <c r="J288" s="36">
        <v>1393.94</v>
      </c>
      <c r="K288" s="32" t="s">
        <v>4039</v>
      </c>
      <c r="L288" s="169" t="s">
        <v>30</v>
      </c>
      <c r="M288" s="32" t="s">
        <v>224</v>
      </c>
    </row>
    <row r="289" spans="1:13" x14ac:dyDescent="0.25">
      <c r="A289" s="168">
        <v>46186</v>
      </c>
      <c r="B289" s="32">
        <v>1</v>
      </c>
      <c r="C289" s="32" t="s">
        <v>210</v>
      </c>
      <c r="D289" s="169" t="s">
        <v>211</v>
      </c>
      <c r="E289" s="169" t="s">
        <v>190</v>
      </c>
      <c r="F289" s="32" t="s">
        <v>198</v>
      </c>
      <c r="G289" s="32">
        <v>70</v>
      </c>
      <c r="H289" s="32" t="s">
        <v>165</v>
      </c>
      <c r="I289" s="32">
        <v>4764</v>
      </c>
      <c r="J289" s="36">
        <v>1233.8800000000001</v>
      </c>
      <c r="K289" s="32" t="s">
        <v>4040</v>
      </c>
      <c r="L289" s="169" t="s">
        <v>30</v>
      </c>
      <c r="M289" s="32" t="s">
        <v>224</v>
      </c>
    </row>
    <row r="290" spans="1:13" x14ac:dyDescent="0.25">
      <c r="A290" s="168">
        <v>46186</v>
      </c>
      <c r="B290" s="32">
        <v>1</v>
      </c>
      <c r="C290" s="32" t="s">
        <v>167</v>
      </c>
      <c r="D290" s="169" t="s">
        <v>168</v>
      </c>
      <c r="E290" s="169" t="s">
        <v>163</v>
      </c>
      <c r="F290" s="32" t="s">
        <v>164</v>
      </c>
      <c r="G290" s="32">
        <v>52</v>
      </c>
      <c r="H290" s="32" t="s">
        <v>175</v>
      </c>
      <c r="I290" s="32">
        <v>2959</v>
      </c>
      <c r="J290" s="36">
        <v>569.30999999999995</v>
      </c>
      <c r="K290" s="32" t="s">
        <v>4041</v>
      </c>
      <c r="L290" s="169" t="s">
        <v>21</v>
      </c>
      <c r="M290" s="32" t="s">
        <v>224</v>
      </c>
    </row>
    <row r="291" spans="1:13" x14ac:dyDescent="0.25">
      <c r="A291" s="168">
        <v>46186</v>
      </c>
      <c r="B291" s="32">
        <v>1</v>
      </c>
      <c r="C291" s="32" t="s">
        <v>186</v>
      </c>
      <c r="D291" s="169" t="s">
        <v>187</v>
      </c>
      <c r="E291" s="169" t="s">
        <v>276</v>
      </c>
      <c r="F291" s="32" t="s">
        <v>307</v>
      </c>
      <c r="G291" s="32">
        <v>175</v>
      </c>
      <c r="H291" s="32" t="s">
        <v>165</v>
      </c>
      <c r="I291" s="32">
        <v>646</v>
      </c>
      <c r="J291" s="36">
        <v>3617.6</v>
      </c>
      <c r="K291" s="32" t="s">
        <v>4042</v>
      </c>
      <c r="L291" s="169" t="s">
        <v>3771</v>
      </c>
      <c r="M291" s="32" t="s">
        <v>307</v>
      </c>
    </row>
    <row r="292" spans="1:13" x14ac:dyDescent="0.25">
      <c r="A292" s="168">
        <v>46186</v>
      </c>
      <c r="B292" s="32">
        <v>1</v>
      </c>
      <c r="C292" s="32" t="s">
        <v>183</v>
      </c>
      <c r="D292" s="169" t="s">
        <v>184</v>
      </c>
      <c r="E292" s="169" t="s">
        <v>163</v>
      </c>
      <c r="F292" s="32" t="s">
        <v>4043</v>
      </c>
      <c r="G292" s="32">
        <v>57</v>
      </c>
      <c r="H292" s="32" t="s">
        <v>175</v>
      </c>
      <c r="I292" s="32">
        <v>2797</v>
      </c>
      <c r="J292" s="36">
        <v>589.89</v>
      </c>
      <c r="K292" s="32" t="s">
        <v>3993</v>
      </c>
      <c r="L292" s="169" t="s">
        <v>4044</v>
      </c>
      <c r="M292" s="32" t="s">
        <v>280</v>
      </c>
    </row>
    <row r="293" spans="1:13" x14ac:dyDescent="0.25">
      <c r="A293" s="168">
        <v>46186</v>
      </c>
      <c r="B293" s="32">
        <v>1</v>
      </c>
      <c r="C293" s="32" t="s">
        <v>183</v>
      </c>
      <c r="D293" s="169" t="s">
        <v>184</v>
      </c>
      <c r="E293" s="169" t="s">
        <v>163</v>
      </c>
      <c r="F293" s="32" t="s">
        <v>111</v>
      </c>
      <c r="G293" s="32">
        <v>75</v>
      </c>
      <c r="H293" s="32" t="s">
        <v>169</v>
      </c>
      <c r="I293" s="32">
        <v>2859</v>
      </c>
      <c r="J293" s="36">
        <v>793.37</v>
      </c>
      <c r="K293" s="32" t="s">
        <v>4045</v>
      </c>
      <c r="L293" s="169" t="s">
        <v>3742</v>
      </c>
      <c r="M293" s="32" t="s">
        <v>111</v>
      </c>
    </row>
    <row r="294" spans="1:13" x14ac:dyDescent="0.25">
      <c r="A294" s="168">
        <v>46186</v>
      </c>
      <c r="B294" s="32">
        <v>1</v>
      </c>
      <c r="C294" s="32" t="s">
        <v>286</v>
      </c>
      <c r="D294" s="169" t="s">
        <v>506</v>
      </c>
      <c r="E294" s="169" t="s">
        <v>166</v>
      </c>
      <c r="F294" s="32" t="s">
        <v>164</v>
      </c>
      <c r="G294" s="32">
        <v>58</v>
      </c>
      <c r="H294" s="32" t="s">
        <v>165</v>
      </c>
      <c r="I294" s="32">
        <v>4576</v>
      </c>
      <c r="J294" s="36">
        <v>982.01</v>
      </c>
      <c r="K294" s="32" t="s">
        <v>4046</v>
      </c>
      <c r="L294" s="169" t="s">
        <v>27</v>
      </c>
      <c r="M294" s="32" t="s">
        <v>224</v>
      </c>
    </row>
    <row r="295" spans="1:13" x14ac:dyDescent="0.25">
      <c r="A295" s="168">
        <v>46186</v>
      </c>
      <c r="B295" s="32">
        <v>1</v>
      </c>
      <c r="C295" s="32" t="s">
        <v>219</v>
      </c>
      <c r="D295" s="169" t="s">
        <v>220</v>
      </c>
      <c r="E295" s="169" t="s">
        <v>163</v>
      </c>
      <c r="F295" s="32" t="s">
        <v>164</v>
      </c>
      <c r="G295" s="32">
        <v>52</v>
      </c>
      <c r="H295" s="32" t="s">
        <v>175</v>
      </c>
      <c r="I295" s="32">
        <v>577</v>
      </c>
      <c r="J295" s="36">
        <v>1110.1500000000001</v>
      </c>
      <c r="K295" s="32" t="s">
        <v>4047</v>
      </c>
      <c r="L295" s="169" t="s">
        <v>21</v>
      </c>
      <c r="M295" s="32" t="s">
        <v>224</v>
      </c>
    </row>
    <row r="296" spans="1:13" x14ac:dyDescent="0.25">
      <c r="A296" s="168">
        <v>46186</v>
      </c>
      <c r="B296" s="32">
        <v>1</v>
      </c>
      <c r="C296" s="32" t="s">
        <v>200</v>
      </c>
      <c r="D296" s="169" t="s">
        <v>201</v>
      </c>
      <c r="E296" s="169" t="s">
        <v>163</v>
      </c>
      <c r="F296" s="32" t="s">
        <v>164</v>
      </c>
      <c r="G296" s="32">
        <v>52</v>
      </c>
      <c r="H296" s="32" t="s">
        <v>175</v>
      </c>
      <c r="I296" s="32">
        <v>4833</v>
      </c>
      <c r="J296" s="36">
        <v>929.87</v>
      </c>
      <c r="K296" s="32" t="s">
        <v>4048</v>
      </c>
      <c r="L296" s="169" t="s">
        <v>21</v>
      </c>
      <c r="M296" s="32" t="s">
        <v>224</v>
      </c>
    </row>
    <row r="297" spans="1:13" x14ac:dyDescent="0.25">
      <c r="A297" s="168">
        <v>46186</v>
      </c>
      <c r="B297" s="32">
        <v>1</v>
      </c>
      <c r="C297" s="32" t="s">
        <v>173</v>
      </c>
      <c r="D297" s="169" t="s">
        <v>174</v>
      </c>
      <c r="E297" s="169" t="s">
        <v>166</v>
      </c>
      <c r="F297" s="32" t="s">
        <v>164</v>
      </c>
      <c r="G297" s="32">
        <v>58</v>
      </c>
      <c r="H297" s="32" t="s">
        <v>165</v>
      </c>
      <c r="I297" s="32">
        <v>450</v>
      </c>
      <c r="J297" s="36">
        <v>965.7</v>
      </c>
      <c r="K297" s="32" t="s">
        <v>4049</v>
      </c>
      <c r="L297" s="169" t="s">
        <v>27</v>
      </c>
      <c r="M297" s="32" t="s">
        <v>224</v>
      </c>
    </row>
    <row r="298" spans="1:13" x14ac:dyDescent="0.25">
      <c r="A298" s="168">
        <v>46186</v>
      </c>
      <c r="B298" s="32">
        <v>1</v>
      </c>
      <c r="C298" s="32" t="s">
        <v>173</v>
      </c>
      <c r="D298" s="169" t="s">
        <v>174</v>
      </c>
      <c r="E298" s="169" t="s">
        <v>163</v>
      </c>
      <c r="F298" s="32" t="s">
        <v>164</v>
      </c>
      <c r="G298" s="32">
        <v>52</v>
      </c>
      <c r="H298" s="32" t="s">
        <v>175</v>
      </c>
      <c r="I298" s="32">
        <v>250</v>
      </c>
      <c r="J298" s="36">
        <v>481</v>
      </c>
      <c r="K298" s="32" t="s">
        <v>4050</v>
      </c>
      <c r="L298" s="169" t="s">
        <v>21</v>
      </c>
      <c r="M298" s="32" t="s">
        <v>224</v>
      </c>
    </row>
    <row r="299" spans="1:13" x14ac:dyDescent="0.25">
      <c r="A299" s="168">
        <v>46186</v>
      </c>
      <c r="B299" s="32">
        <v>1</v>
      </c>
      <c r="C299" s="32" t="s">
        <v>173</v>
      </c>
      <c r="D299" s="169" t="s">
        <v>174</v>
      </c>
      <c r="E299" s="169" t="s">
        <v>166</v>
      </c>
      <c r="F299" s="32" t="s">
        <v>111</v>
      </c>
      <c r="G299" s="32">
        <v>79</v>
      </c>
      <c r="H299" s="32" t="s">
        <v>169</v>
      </c>
      <c r="I299" s="32">
        <v>2581</v>
      </c>
      <c r="J299" s="36">
        <v>754.43</v>
      </c>
      <c r="K299" s="32" t="s">
        <v>4051</v>
      </c>
      <c r="L299" s="169" t="s">
        <v>116</v>
      </c>
      <c r="M299" s="32" t="s">
        <v>111</v>
      </c>
    </row>
    <row r="300" spans="1:13" x14ac:dyDescent="0.25">
      <c r="A300" s="168">
        <v>46186</v>
      </c>
      <c r="B300" s="32">
        <v>1</v>
      </c>
      <c r="C300" s="32" t="s">
        <v>173</v>
      </c>
      <c r="D300" s="169" t="s">
        <v>174</v>
      </c>
      <c r="E300" s="169" t="s">
        <v>163</v>
      </c>
      <c r="F300" s="32" t="s">
        <v>164</v>
      </c>
      <c r="G300" s="32">
        <v>52</v>
      </c>
      <c r="H300" s="32" t="s">
        <v>165</v>
      </c>
      <c r="I300" s="32">
        <v>3883</v>
      </c>
      <c r="J300" s="36">
        <v>747.09</v>
      </c>
      <c r="K300" s="32" t="s">
        <v>4052</v>
      </c>
      <c r="L300" s="169" t="s">
        <v>31</v>
      </c>
      <c r="M300" s="32" t="s">
        <v>224</v>
      </c>
    </row>
    <row r="301" spans="1:13" x14ac:dyDescent="0.25">
      <c r="A301" s="168">
        <v>46187</v>
      </c>
      <c r="B301" s="32">
        <v>1</v>
      </c>
      <c r="C301" s="32" t="s">
        <v>270</v>
      </c>
      <c r="D301" s="169" t="s">
        <v>288</v>
      </c>
      <c r="E301" s="169" t="s">
        <v>3980</v>
      </c>
      <c r="F301" s="32" t="s">
        <v>2868</v>
      </c>
      <c r="G301" s="32">
        <v>550</v>
      </c>
      <c r="H301" s="32" t="s">
        <v>3981</v>
      </c>
      <c r="I301" s="32">
        <v>138</v>
      </c>
      <c r="J301" s="36">
        <v>2428.8000000000002</v>
      </c>
      <c r="K301" s="32" t="s">
        <v>4053</v>
      </c>
      <c r="L301" s="169" t="s">
        <v>3983</v>
      </c>
      <c r="M301" s="32" t="s">
        <v>157</v>
      </c>
    </row>
    <row r="302" spans="1:13" x14ac:dyDescent="0.25">
      <c r="A302" s="168">
        <v>46188</v>
      </c>
      <c r="B302" s="32">
        <v>1</v>
      </c>
      <c r="C302" s="32" t="s">
        <v>342</v>
      </c>
      <c r="D302" s="169" t="s">
        <v>171</v>
      </c>
      <c r="E302" s="169" t="s">
        <v>163</v>
      </c>
      <c r="F302" s="32" t="s">
        <v>164</v>
      </c>
      <c r="G302" s="32">
        <v>52</v>
      </c>
      <c r="H302" s="32" t="s">
        <v>185</v>
      </c>
      <c r="I302" s="32">
        <v>4485</v>
      </c>
      <c r="J302" s="36">
        <v>862.91</v>
      </c>
      <c r="K302" s="32" t="s">
        <v>4054</v>
      </c>
      <c r="L302" s="169" t="s">
        <v>20</v>
      </c>
      <c r="M302" s="32" t="s">
        <v>224</v>
      </c>
    </row>
    <row r="303" spans="1:13" x14ac:dyDescent="0.25">
      <c r="A303" s="168">
        <v>46188</v>
      </c>
      <c r="B303" s="32">
        <v>1</v>
      </c>
      <c r="C303" s="32" t="s">
        <v>167</v>
      </c>
      <c r="D303" s="169" t="s">
        <v>168</v>
      </c>
      <c r="E303" s="169" t="s">
        <v>163</v>
      </c>
      <c r="F303" s="32" t="s">
        <v>111</v>
      </c>
      <c r="G303" s="32">
        <v>75</v>
      </c>
      <c r="H303" s="32" t="s">
        <v>185</v>
      </c>
      <c r="I303" s="32">
        <v>2779</v>
      </c>
      <c r="J303" s="36">
        <v>771.17</v>
      </c>
      <c r="K303" s="32" t="s">
        <v>4055</v>
      </c>
      <c r="L303" s="169" t="s">
        <v>3738</v>
      </c>
      <c r="M303" s="32" t="s">
        <v>111</v>
      </c>
    </row>
    <row r="304" spans="1:13" x14ac:dyDescent="0.25">
      <c r="A304" s="168">
        <v>46188</v>
      </c>
      <c r="B304" s="32">
        <v>1</v>
      </c>
      <c r="C304" s="32" t="s">
        <v>167</v>
      </c>
      <c r="D304" s="169" t="s">
        <v>168</v>
      </c>
      <c r="E304" s="169" t="s">
        <v>163</v>
      </c>
      <c r="F304" s="32" t="s">
        <v>111</v>
      </c>
      <c r="G304" s="32">
        <v>75</v>
      </c>
      <c r="H304" s="32" t="s">
        <v>185</v>
      </c>
      <c r="I304" s="32">
        <v>2674</v>
      </c>
      <c r="J304" s="36">
        <v>742.04</v>
      </c>
      <c r="K304" s="32" t="s">
        <v>4056</v>
      </c>
      <c r="L304" s="169" t="s">
        <v>3738</v>
      </c>
      <c r="M304" s="32" t="s">
        <v>111</v>
      </c>
    </row>
    <row r="305" spans="1:13" x14ac:dyDescent="0.25">
      <c r="A305" s="168">
        <v>46188</v>
      </c>
      <c r="B305" s="32">
        <v>1</v>
      </c>
      <c r="C305" s="32" t="s">
        <v>202</v>
      </c>
      <c r="D305" s="169" t="s">
        <v>214</v>
      </c>
      <c r="E305" s="169" t="s">
        <v>190</v>
      </c>
      <c r="F305" s="32" t="s">
        <v>212</v>
      </c>
      <c r="G305" s="32">
        <v>376</v>
      </c>
      <c r="H305" s="32" t="s">
        <v>165</v>
      </c>
      <c r="I305" s="32">
        <v>7502</v>
      </c>
      <c r="J305" s="36">
        <v>9026.41</v>
      </c>
      <c r="K305" s="32" t="s">
        <v>4057</v>
      </c>
      <c r="L305" s="169" t="s">
        <v>22</v>
      </c>
      <c r="M305" s="32" t="s">
        <v>223</v>
      </c>
    </row>
    <row r="306" spans="1:13" x14ac:dyDescent="0.25">
      <c r="A306" s="168">
        <v>46188</v>
      </c>
      <c r="B306" s="32">
        <v>1</v>
      </c>
      <c r="C306" s="32" t="s">
        <v>199</v>
      </c>
      <c r="D306" s="169" t="s">
        <v>180</v>
      </c>
      <c r="E306" s="169" t="s">
        <v>163</v>
      </c>
      <c r="F306" s="32" t="s">
        <v>111</v>
      </c>
      <c r="G306" s="32">
        <v>75</v>
      </c>
      <c r="H306" s="32" t="s">
        <v>185</v>
      </c>
      <c r="I306" s="32">
        <v>2778</v>
      </c>
      <c r="J306" s="36">
        <v>770.9</v>
      </c>
      <c r="K306" s="32" t="s">
        <v>4058</v>
      </c>
      <c r="L306" s="169" t="s">
        <v>3738</v>
      </c>
      <c r="M306" s="32" t="s">
        <v>111</v>
      </c>
    </row>
    <row r="307" spans="1:13" x14ac:dyDescent="0.25">
      <c r="A307" s="168">
        <v>46188</v>
      </c>
      <c r="B307" s="32">
        <v>1</v>
      </c>
      <c r="C307" s="32" t="s">
        <v>196</v>
      </c>
      <c r="D307" s="169" t="s">
        <v>197</v>
      </c>
      <c r="E307" s="169" t="s">
        <v>190</v>
      </c>
      <c r="F307" s="32" t="s">
        <v>212</v>
      </c>
      <c r="G307" s="32">
        <v>376</v>
      </c>
      <c r="H307" s="32" t="s">
        <v>165</v>
      </c>
      <c r="I307" s="32">
        <v>6238</v>
      </c>
      <c r="J307" s="36">
        <v>7505.56</v>
      </c>
      <c r="K307" s="32" t="s">
        <v>4059</v>
      </c>
      <c r="L307" s="169" t="s">
        <v>22</v>
      </c>
      <c r="M307" s="32" t="s">
        <v>223</v>
      </c>
    </row>
    <row r="308" spans="1:13" x14ac:dyDescent="0.25">
      <c r="A308" s="168">
        <v>46188</v>
      </c>
      <c r="B308" s="32">
        <v>1</v>
      </c>
      <c r="C308" s="32" t="s">
        <v>199</v>
      </c>
      <c r="D308" s="169" t="s">
        <v>180</v>
      </c>
      <c r="E308" s="169" t="s">
        <v>163</v>
      </c>
      <c r="F308" s="32" t="s">
        <v>111</v>
      </c>
      <c r="G308" s="32">
        <v>75</v>
      </c>
      <c r="H308" s="32" t="s">
        <v>185</v>
      </c>
      <c r="I308" s="32">
        <v>3004</v>
      </c>
      <c r="J308" s="36">
        <v>833.61</v>
      </c>
      <c r="K308" s="32" t="s">
        <v>4060</v>
      </c>
      <c r="L308" s="169" t="s">
        <v>3738</v>
      </c>
      <c r="M308" s="32" t="s">
        <v>111</v>
      </c>
    </row>
    <row r="309" spans="1:13" x14ac:dyDescent="0.25">
      <c r="A309" s="168">
        <v>46188</v>
      </c>
      <c r="B309" s="32">
        <v>1</v>
      </c>
      <c r="C309" s="32" t="s">
        <v>167</v>
      </c>
      <c r="D309" s="169" t="s">
        <v>168</v>
      </c>
      <c r="E309" s="169" t="s">
        <v>163</v>
      </c>
      <c r="F309" s="32" t="s">
        <v>164</v>
      </c>
      <c r="G309" s="32">
        <v>52</v>
      </c>
      <c r="H309" s="32" t="s">
        <v>175</v>
      </c>
      <c r="I309" s="32">
        <v>274</v>
      </c>
      <c r="J309" s="36">
        <v>527.17999999999995</v>
      </c>
      <c r="K309" s="32" t="s">
        <v>4061</v>
      </c>
      <c r="L309" s="169" t="s">
        <v>21</v>
      </c>
      <c r="M309" s="32" t="s">
        <v>224</v>
      </c>
    </row>
    <row r="310" spans="1:13" x14ac:dyDescent="0.25">
      <c r="A310" s="168">
        <v>46188</v>
      </c>
      <c r="B310" s="32">
        <v>1</v>
      </c>
      <c r="C310" s="32" t="s">
        <v>183</v>
      </c>
      <c r="D310" s="169" t="s">
        <v>184</v>
      </c>
      <c r="E310" s="169" t="s">
        <v>163</v>
      </c>
      <c r="F310" s="32" t="s">
        <v>111</v>
      </c>
      <c r="G310" s="32">
        <v>75</v>
      </c>
      <c r="H310" s="32" t="s">
        <v>169</v>
      </c>
      <c r="I310" s="32">
        <v>2561</v>
      </c>
      <c r="J310" s="36">
        <v>710.68</v>
      </c>
      <c r="K310" s="32" t="s">
        <v>4062</v>
      </c>
      <c r="L310" s="169" t="s">
        <v>3742</v>
      </c>
      <c r="M310" s="32" t="s">
        <v>111</v>
      </c>
    </row>
    <row r="311" spans="1:13" x14ac:dyDescent="0.25">
      <c r="A311" s="168">
        <v>46188</v>
      </c>
      <c r="B311" s="32">
        <v>1</v>
      </c>
      <c r="C311" s="32" t="s">
        <v>183</v>
      </c>
      <c r="D311" s="169" t="s">
        <v>184</v>
      </c>
      <c r="E311" s="169" t="s">
        <v>163</v>
      </c>
      <c r="F311" s="32" t="s">
        <v>111</v>
      </c>
      <c r="G311" s="32">
        <v>75</v>
      </c>
      <c r="H311" s="32" t="s">
        <v>185</v>
      </c>
      <c r="I311" s="32">
        <v>269</v>
      </c>
      <c r="J311" s="36">
        <v>746.48</v>
      </c>
      <c r="K311" s="32" t="s">
        <v>4063</v>
      </c>
      <c r="L311" s="169" t="s">
        <v>3738</v>
      </c>
      <c r="M311" s="32" t="s">
        <v>111</v>
      </c>
    </row>
    <row r="312" spans="1:13" x14ac:dyDescent="0.25">
      <c r="A312" s="168">
        <v>46188</v>
      </c>
      <c r="B312" s="32">
        <v>1</v>
      </c>
      <c r="C312" s="32" t="s">
        <v>183</v>
      </c>
      <c r="D312" s="169" t="s">
        <v>184</v>
      </c>
      <c r="E312" s="169" t="s">
        <v>163</v>
      </c>
      <c r="F312" s="32" t="s">
        <v>111</v>
      </c>
      <c r="G312" s="32">
        <v>75</v>
      </c>
      <c r="H312" s="32" t="s">
        <v>169</v>
      </c>
      <c r="I312" s="32">
        <v>2797</v>
      </c>
      <c r="J312" s="36">
        <v>776.17</v>
      </c>
      <c r="K312" s="32" t="s">
        <v>4064</v>
      </c>
      <c r="L312" s="169" t="s">
        <v>3742</v>
      </c>
      <c r="M312" s="32" t="s">
        <v>111</v>
      </c>
    </row>
    <row r="313" spans="1:13" x14ac:dyDescent="0.25">
      <c r="A313" s="168">
        <v>46188</v>
      </c>
      <c r="B313" s="32">
        <v>1</v>
      </c>
      <c r="C313" s="32" t="s">
        <v>188</v>
      </c>
      <c r="D313" s="169" t="s">
        <v>189</v>
      </c>
      <c r="E313" s="169" t="s">
        <v>190</v>
      </c>
      <c r="F313" s="32" t="s">
        <v>4065</v>
      </c>
      <c r="G313" s="32">
        <v>304</v>
      </c>
      <c r="H313" s="32" t="s">
        <v>165</v>
      </c>
      <c r="I313" s="32">
        <v>633</v>
      </c>
      <c r="J313" s="36">
        <v>6157.82</v>
      </c>
      <c r="K313" s="32" t="s">
        <v>4066</v>
      </c>
      <c r="L313" s="169" t="s">
        <v>4067</v>
      </c>
      <c r="M313" s="32" t="s">
        <v>223</v>
      </c>
    </row>
    <row r="314" spans="1:13" x14ac:dyDescent="0.25">
      <c r="A314" s="168">
        <v>46188</v>
      </c>
      <c r="B314" s="32">
        <v>1</v>
      </c>
      <c r="C314" s="32" t="s">
        <v>199</v>
      </c>
      <c r="D314" s="169" t="s">
        <v>180</v>
      </c>
      <c r="E314" s="169" t="s">
        <v>163</v>
      </c>
      <c r="F314" s="32" t="s">
        <v>164</v>
      </c>
      <c r="G314" s="32">
        <v>52</v>
      </c>
      <c r="H314" s="32" t="s">
        <v>175</v>
      </c>
      <c r="I314" s="32">
        <v>2826</v>
      </c>
      <c r="J314" s="36">
        <v>543.72</v>
      </c>
      <c r="K314" s="32" t="s">
        <v>4068</v>
      </c>
      <c r="L314" s="169" t="s">
        <v>21</v>
      </c>
      <c r="M314" s="32" t="s">
        <v>224</v>
      </c>
    </row>
    <row r="315" spans="1:13" x14ac:dyDescent="0.25">
      <c r="A315" s="168">
        <v>46188</v>
      </c>
      <c r="B315" s="32">
        <v>1</v>
      </c>
      <c r="C315" s="32" t="s">
        <v>286</v>
      </c>
      <c r="D315" s="169" t="s">
        <v>506</v>
      </c>
      <c r="E315" s="169" t="s">
        <v>163</v>
      </c>
      <c r="F315" s="32" t="s">
        <v>164</v>
      </c>
      <c r="G315" s="32">
        <v>52</v>
      </c>
      <c r="H315" s="32" t="s">
        <v>165</v>
      </c>
      <c r="I315" s="32">
        <v>45653</v>
      </c>
      <c r="J315" s="36">
        <v>878.36</v>
      </c>
      <c r="K315" s="32" t="s">
        <v>4069</v>
      </c>
      <c r="L315" s="169" t="s">
        <v>31</v>
      </c>
      <c r="M315" s="32" t="s">
        <v>224</v>
      </c>
    </row>
    <row r="316" spans="1:13" x14ac:dyDescent="0.25">
      <c r="A316" s="168">
        <v>46188</v>
      </c>
      <c r="B316" s="32">
        <v>1</v>
      </c>
      <c r="C316" s="32" t="s">
        <v>286</v>
      </c>
      <c r="D316" s="169" t="s">
        <v>506</v>
      </c>
      <c r="E316" s="169" t="s">
        <v>163</v>
      </c>
      <c r="F316" s="32" t="s">
        <v>164</v>
      </c>
      <c r="G316" s="32">
        <v>52</v>
      </c>
      <c r="H316" s="32" t="s">
        <v>165</v>
      </c>
      <c r="I316" s="32">
        <v>4419</v>
      </c>
      <c r="J316" s="36">
        <v>850.22</v>
      </c>
      <c r="K316" s="32" t="s">
        <v>4070</v>
      </c>
      <c r="L316" s="169" t="s">
        <v>31</v>
      </c>
      <c r="M316" s="32" t="s">
        <v>224</v>
      </c>
    </row>
    <row r="317" spans="1:13" x14ac:dyDescent="0.25">
      <c r="A317" s="168">
        <v>46188</v>
      </c>
      <c r="B317" s="32">
        <v>1</v>
      </c>
      <c r="C317" s="32" t="s">
        <v>213</v>
      </c>
      <c r="D317" s="169" t="s">
        <v>1153</v>
      </c>
      <c r="E317" s="169" t="s">
        <v>190</v>
      </c>
      <c r="F317" s="32" t="s">
        <v>198</v>
      </c>
      <c r="G317" s="32">
        <v>70</v>
      </c>
      <c r="H317" s="32" t="s">
        <v>165</v>
      </c>
      <c r="I317" s="32">
        <v>655</v>
      </c>
      <c r="J317" s="36">
        <v>1696.45</v>
      </c>
      <c r="K317" s="32" t="s">
        <v>4071</v>
      </c>
      <c r="L317" s="169" t="s">
        <v>30</v>
      </c>
      <c r="M317" s="32" t="s">
        <v>224</v>
      </c>
    </row>
    <row r="318" spans="1:13" x14ac:dyDescent="0.25">
      <c r="A318" s="168">
        <v>46188</v>
      </c>
      <c r="B318" s="32">
        <v>1</v>
      </c>
      <c r="C318" s="32" t="s">
        <v>192</v>
      </c>
      <c r="D318" s="169" t="s">
        <v>287</v>
      </c>
      <c r="E318" s="169" t="s">
        <v>190</v>
      </c>
      <c r="F318" s="32" t="s">
        <v>212</v>
      </c>
      <c r="G318" s="32">
        <v>376</v>
      </c>
      <c r="H318" s="32" t="s">
        <v>165</v>
      </c>
      <c r="I318" s="32">
        <v>614</v>
      </c>
      <c r="J318" s="36">
        <v>7387.65</v>
      </c>
      <c r="K318" s="32" t="s">
        <v>4072</v>
      </c>
      <c r="L318" s="169" t="s">
        <v>22</v>
      </c>
      <c r="M318" s="32" t="s">
        <v>223</v>
      </c>
    </row>
    <row r="319" spans="1:13" x14ac:dyDescent="0.25">
      <c r="A319" s="168">
        <v>46188</v>
      </c>
      <c r="B319" s="32">
        <v>1</v>
      </c>
      <c r="C319" s="32" t="s">
        <v>179</v>
      </c>
      <c r="D319" s="169" t="s">
        <v>2863</v>
      </c>
      <c r="E319" s="169" t="s">
        <v>166</v>
      </c>
      <c r="F319" s="32" t="s">
        <v>111</v>
      </c>
      <c r="G319" s="32">
        <v>79</v>
      </c>
      <c r="H319" s="32" t="s">
        <v>169</v>
      </c>
      <c r="I319" s="32">
        <v>2801</v>
      </c>
      <c r="J319" s="36">
        <v>818.73</v>
      </c>
      <c r="K319" s="32" t="s">
        <v>4073</v>
      </c>
      <c r="L319" s="169" t="s">
        <v>116</v>
      </c>
      <c r="M319" s="32" t="s">
        <v>111</v>
      </c>
    </row>
    <row r="320" spans="1:13" x14ac:dyDescent="0.25">
      <c r="A320" s="168">
        <v>46188</v>
      </c>
      <c r="B320" s="32">
        <v>1</v>
      </c>
      <c r="C320" s="32" t="s">
        <v>179</v>
      </c>
      <c r="D320" s="169" t="s">
        <v>2863</v>
      </c>
      <c r="E320" s="169" t="s">
        <v>166</v>
      </c>
      <c r="F320" s="32" t="s">
        <v>111</v>
      </c>
      <c r="G320" s="32">
        <v>79</v>
      </c>
      <c r="H320" s="32" t="s">
        <v>169</v>
      </c>
      <c r="I320" s="32">
        <v>2626</v>
      </c>
      <c r="J320" s="36">
        <v>767.58</v>
      </c>
      <c r="K320" s="32" t="s">
        <v>4061</v>
      </c>
      <c r="L320" s="169" t="s">
        <v>116</v>
      </c>
      <c r="M320" s="32" t="s">
        <v>111</v>
      </c>
    </row>
    <row r="321" spans="1:13" x14ac:dyDescent="0.25">
      <c r="A321" s="168">
        <v>46188</v>
      </c>
      <c r="B321" s="32">
        <v>1</v>
      </c>
      <c r="C321" s="32" t="s">
        <v>181</v>
      </c>
      <c r="D321" s="169" t="s">
        <v>182</v>
      </c>
      <c r="E321" s="169" t="s">
        <v>166</v>
      </c>
      <c r="F321" s="32" t="s">
        <v>1178</v>
      </c>
      <c r="G321" s="32">
        <v>51</v>
      </c>
      <c r="H321" s="32" t="s">
        <v>172</v>
      </c>
      <c r="I321" s="32">
        <v>2658</v>
      </c>
      <c r="J321" s="36">
        <v>501.56</v>
      </c>
      <c r="K321" s="32" t="s">
        <v>4074</v>
      </c>
      <c r="L321" s="169" t="s">
        <v>3847</v>
      </c>
      <c r="M321" s="32" t="s">
        <v>1178</v>
      </c>
    </row>
    <row r="322" spans="1:13" x14ac:dyDescent="0.25">
      <c r="A322" s="168">
        <v>46188</v>
      </c>
      <c r="B322" s="32">
        <v>1</v>
      </c>
      <c r="C322" s="32" t="s">
        <v>181</v>
      </c>
      <c r="D322" s="169" t="s">
        <v>182</v>
      </c>
      <c r="E322" s="169" t="s">
        <v>166</v>
      </c>
      <c r="F322" s="32" t="s">
        <v>1178</v>
      </c>
      <c r="G322" s="32">
        <v>51</v>
      </c>
      <c r="H322" s="32" t="s">
        <v>172</v>
      </c>
      <c r="I322" s="32">
        <v>2662</v>
      </c>
      <c r="J322" s="36">
        <v>502.32</v>
      </c>
      <c r="K322" s="32" t="s">
        <v>4075</v>
      </c>
      <c r="L322" s="169" t="s">
        <v>3847</v>
      </c>
      <c r="M322" s="32" t="s">
        <v>1178</v>
      </c>
    </row>
    <row r="323" spans="1:13" x14ac:dyDescent="0.25">
      <c r="A323" s="168">
        <v>46188</v>
      </c>
      <c r="B323" s="32">
        <v>1</v>
      </c>
      <c r="C323" s="32" t="s">
        <v>186</v>
      </c>
      <c r="D323" s="169" t="s">
        <v>187</v>
      </c>
      <c r="E323" s="169" t="s">
        <v>276</v>
      </c>
      <c r="F323" s="32" t="s">
        <v>919</v>
      </c>
      <c r="G323" s="32">
        <v>358</v>
      </c>
      <c r="H323" s="32" t="s">
        <v>185</v>
      </c>
      <c r="I323" s="32">
        <v>6012</v>
      </c>
      <c r="J323" s="36">
        <v>6887.35</v>
      </c>
      <c r="K323" s="32" t="s">
        <v>4076</v>
      </c>
      <c r="L323" s="169" t="s">
        <v>4077</v>
      </c>
      <c r="M323" s="32" t="s">
        <v>15</v>
      </c>
    </row>
    <row r="324" spans="1:13" x14ac:dyDescent="0.25">
      <c r="A324" s="168">
        <v>46188</v>
      </c>
      <c r="B324" s="32">
        <v>1</v>
      </c>
      <c r="C324" s="32" t="s">
        <v>173</v>
      </c>
      <c r="D324" s="169" t="s">
        <v>174</v>
      </c>
      <c r="E324" s="169" t="s">
        <v>166</v>
      </c>
      <c r="F324" s="32" t="s">
        <v>218</v>
      </c>
      <c r="G324" s="32">
        <v>71</v>
      </c>
      <c r="H324" s="32" t="s">
        <v>169</v>
      </c>
      <c r="I324" s="32">
        <v>2451</v>
      </c>
      <c r="J324" s="36">
        <v>643.88</v>
      </c>
      <c r="K324" s="32" t="s">
        <v>4078</v>
      </c>
      <c r="L324" s="169" t="s">
        <v>35</v>
      </c>
      <c r="M324" s="32" t="s">
        <v>108</v>
      </c>
    </row>
    <row r="325" spans="1:13" x14ac:dyDescent="0.25">
      <c r="A325" s="168">
        <v>46188</v>
      </c>
      <c r="B325" s="32">
        <v>1</v>
      </c>
      <c r="C325" s="32" t="s">
        <v>173</v>
      </c>
      <c r="D325" s="169" t="s">
        <v>174</v>
      </c>
      <c r="E325" s="169" t="s">
        <v>166</v>
      </c>
      <c r="F325" s="32" t="s">
        <v>218</v>
      </c>
      <c r="G325" s="32">
        <v>71</v>
      </c>
      <c r="H325" s="32" t="s">
        <v>169</v>
      </c>
      <c r="I325" s="32">
        <v>2616</v>
      </c>
      <c r="J325" s="36">
        <v>687.22</v>
      </c>
      <c r="K325" s="32" t="s">
        <v>4079</v>
      </c>
      <c r="L325" s="169" t="s">
        <v>35</v>
      </c>
      <c r="M325" s="32" t="s">
        <v>108</v>
      </c>
    </row>
    <row r="326" spans="1:13" x14ac:dyDescent="0.25">
      <c r="A326" s="168">
        <v>46188</v>
      </c>
      <c r="B326" s="32">
        <v>1</v>
      </c>
      <c r="C326" s="32" t="s">
        <v>173</v>
      </c>
      <c r="D326" s="169" t="s">
        <v>174</v>
      </c>
      <c r="E326" s="169" t="s">
        <v>166</v>
      </c>
      <c r="F326" s="32" t="s">
        <v>111</v>
      </c>
      <c r="G326" s="32">
        <v>79</v>
      </c>
      <c r="H326" s="32" t="s">
        <v>169</v>
      </c>
      <c r="I326" s="32">
        <v>253</v>
      </c>
      <c r="J326" s="36">
        <v>739.52</v>
      </c>
      <c r="K326" s="32" t="s">
        <v>4080</v>
      </c>
      <c r="L326" s="169" t="s">
        <v>116</v>
      </c>
      <c r="M326" s="32" t="s">
        <v>111</v>
      </c>
    </row>
    <row r="327" spans="1:13" x14ac:dyDescent="0.25">
      <c r="A327" s="168">
        <v>46188</v>
      </c>
      <c r="B327" s="32">
        <v>1</v>
      </c>
      <c r="C327" s="32" t="s">
        <v>1948</v>
      </c>
      <c r="D327" s="169" t="s">
        <v>1949</v>
      </c>
      <c r="E327" s="169" t="s">
        <v>2868</v>
      </c>
      <c r="F327" s="32" t="s">
        <v>2881</v>
      </c>
      <c r="G327" s="32">
        <v>62</v>
      </c>
      <c r="H327" s="32" t="s">
        <v>2869</v>
      </c>
      <c r="I327" s="32">
        <v>274</v>
      </c>
      <c r="J327" s="36">
        <v>628.55999999999995</v>
      </c>
      <c r="K327" s="32" t="s">
        <v>4081</v>
      </c>
      <c r="L327" s="169" t="s">
        <v>3825</v>
      </c>
      <c r="M327" s="32" t="s">
        <v>157</v>
      </c>
    </row>
    <row r="328" spans="1:13" x14ac:dyDescent="0.25">
      <c r="A328" s="168">
        <v>46188</v>
      </c>
      <c r="B328" s="32">
        <v>1</v>
      </c>
      <c r="C328" s="32" t="s">
        <v>1129</v>
      </c>
      <c r="D328" s="169" t="s">
        <v>2396</v>
      </c>
      <c r="E328" s="169" t="s">
        <v>163</v>
      </c>
      <c r="F328" s="32" t="s">
        <v>164</v>
      </c>
      <c r="G328" s="32">
        <v>52</v>
      </c>
      <c r="H328" s="32" t="s">
        <v>165</v>
      </c>
      <c r="I328" s="32">
        <v>2706</v>
      </c>
      <c r="J328" s="36">
        <v>520.63</v>
      </c>
      <c r="K328" s="32" t="s">
        <v>3270</v>
      </c>
      <c r="L328" s="169" t="s">
        <v>31</v>
      </c>
      <c r="M328" s="32" t="s">
        <v>224</v>
      </c>
    </row>
    <row r="329" spans="1:13" x14ac:dyDescent="0.25">
      <c r="A329" s="168">
        <v>46188</v>
      </c>
      <c r="B329" s="32">
        <v>1</v>
      </c>
      <c r="C329" s="32" t="s">
        <v>1129</v>
      </c>
      <c r="D329" s="169" t="s">
        <v>2396</v>
      </c>
      <c r="E329" s="169" t="s">
        <v>163</v>
      </c>
      <c r="F329" s="32" t="s">
        <v>164</v>
      </c>
      <c r="G329" s="32">
        <v>52</v>
      </c>
      <c r="H329" s="32" t="s">
        <v>165</v>
      </c>
      <c r="I329" s="32">
        <v>2644</v>
      </c>
      <c r="J329" s="36">
        <v>508.71</v>
      </c>
      <c r="K329" s="32" t="s">
        <v>3271</v>
      </c>
      <c r="L329" s="169" t="s">
        <v>31</v>
      </c>
      <c r="M329" s="32" t="s">
        <v>224</v>
      </c>
    </row>
    <row r="330" spans="1:13" x14ac:dyDescent="0.25">
      <c r="A330" s="168">
        <v>46188</v>
      </c>
      <c r="B330" s="32">
        <v>1</v>
      </c>
      <c r="C330" s="32" t="s">
        <v>1129</v>
      </c>
      <c r="D330" s="169" t="s">
        <v>2396</v>
      </c>
      <c r="E330" s="169" t="s">
        <v>163</v>
      </c>
      <c r="F330" s="32" t="s">
        <v>111</v>
      </c>
      <c r="G330" s="32">
        <v>75</v>
      </c>
      <c r="H330" s="32" t="s">
        <v>169</v>
      </c>
      <c r="I330" s="32">
        <v>2794</v>
      </c>
      <c r="J330" s="36">
        <v>775.34</v>
      </c>
      <c r="K330" s="32" t="s">
        <v>4082</v>
      </c>
      <c r="L330" s="169" t="s">
        <v>3742</v>
      </c>
      <c r="M330" s="32" t="s">
        <v>111</v>
      </c>
    </row>
    <row r="331" spans="1:13" x14ac:dyDescent="0.25">
      <c r="A331" s="168">
        <v>46188</v>
      </c>
      <c r="B331" s="32">
        <v>1</v>
      </c>
      <c r="C331" s="32" t="s">
        <v>1129</v>
      </c>
      <c r="D331" s="169" t="s">
        <v>2396</v>
      </c>
      <c r="E331" s="169" t="s">
        <v>163</v>
      </c>
      <c r="F331" s="32" t="s">
        <v>111</v>
      </c>
      <c r="G331" s="32">
        <v>75</v>
      </c>
      <c r="H331" s="32" t="s">
        <v>185</v>
      </c>
      <c r="I331" s="32">
        <v>2582</v>
      </c>
      <c r="J331" s="36">
        <v>716.51</v>
      </c>
      <c r="K331" s="32" t="s">
        <v>4083</v>
      </c>
      <c r="L331" s="169" t="s">
        <v>3738</v>
      </c>
      <c r="M331" s="32" t="s">
        <v>111</v>
      </c>
    </row>
    <row r="332" spans="1:13" x14ac:dyDescent="0.25">
      <c r="A332" s="168">
        <v>46189</v>
      </c>
      <c r="B332" s="32">
        <v>1</v>
      </c>
      <c r="C332" s="32" t="s">
        <v>176</v>
      </c>
      <c r="D332" s="169" t="s">
        <v>177</v>
      </c>
      <c r="E332" s="169" t="s">
        <v>190</v>
      </c>
      <c r="F332" s="32" t="s">
        <v>212</v>
      </c>
      <c r="G332" s="32">
        <v>376</v>
      </c>
      <c r="H332" s="32" t="s">
        <v>165</v>
      </c>
      <c r="I332" s="32">
        <v>5234</v>
      </c>
      <c r="J332" s="36">
        <v>6297.55</v>
      </c>
      <c r="K332" s="32" t="s">
        <v>4084</v>
      </c>
      <c r="L332" s="169" t="s">
        <v>22</v>
      </c>
      <c r="M332" s="32" t="s">
        <v>223</v>
      </c>
    </row>
    <row r="333" spans="1:13" x14ac:dyDescent="0.25">
      <c r="A333" s="168">
        <v>46189</v>
      </c>
      <c r="B333" s="32">
        <v>1</v>
      </c>
      <c r="C333" s="32" t="s">
        <v>203</v>
      </c>
      <c r="D333" s="169" t="s">
        <v>204</v>
      </c>
      <c r="E333" s="169" t="s">
        <v>190</v>
      </c>
      <c r="F333" s="32" t="s">
        <v>212</v>
      </c>
      <c r="G333" s="32">
        <v>376</v>
      </c>
      <c r="H333" s="32" t="s">
        <v>165</v>
      </c>
      <c r="I333" s="32">
        <v>5126</v>
      </c>
      <c r="J333" s="36">
        <v>6167.6</v>
      </c>
      <c r="K333" s="32" t="s">
        <v>4085</v>
      </c>
      <c r="L333" s="169" t="s">
        <v>22</v>
      </c>
      <c r="M333" s="32" t="s">
        <v>223</v>
      </c>
    </row>
    <row r="334" spans="1:13" x14ac:dyDescent="0.25">
      <c r="A334" s="168">
        <v>46189</v>
      </c>
      <c r="B334" s="32">
        <v>1</v>
      </c>
      <c r="C334" s="32" t="s">
        <v>219</v>
      </c>
      <c r="D334" s="169" t="s">
        <v>220</v>
      </c>
      <c r="E334" s="169" t="s">
        <v>163</v>
      </c>
      <c r="F334" s="32" t="s">
        <v>164</v>
      </c>
      <c r="G334" s="32">
        <v>52</v>
      </c>
      <c r="H334" s="32" t="s">
        <v>175</v>
      </c>
      <c r="I334" s="32">
        <v>465</v>
      </c>
      <c r="J334" s="36">
        <v>894.66</v>
      </c>
      <c r="K334" s="32" t="s">
        <v>4086</v>
      </c>
      <c r="L334" s="169" t="s">
        <v>21</v>
      </c>
      <c r="M334" s="32" t="s">
        <v>224</v>
      </c>
    </row>
    <row r="335" spans="1:13" x14ac:dyDescent="0.25">
      <c r="A335" s="168">
        <v>46189</v>
      </c>
      <c r="B335" s="32">
        <v>1</v>
      </c>
      <c r="C335" s="32" t="s">
        <v>167</v>
      </c>
      <c r="D335" s="169" t="s">
        <v>168</v>
      </c>
      <c r="E335" s="169" t="s">
        <v>163</v>
      </c>
      <c r="F335" s="32" t="s">
        <v>111</v>
      </c>
      <c r="G335" s="32">
        <v>75</v>
      </c>
      <c r="H335" s="32" t="s">
        <v>185</v>
      </c>
      <c r="I335" s="32">
        <v>2827</v>
      </c>
      <c r="J335" s="36">
        <v>784.49</v>
      </c>
      <c r="K335" s="32" t="s">
        <v>4087</v>
      </c>
      <c r="L335" s="169" t="s">
        <v>3738</v>
      </c>
      <c r="M335" s="32" t="s">
        <v>111</v>
      </c>
    </row>
    <row r="336" spans="1:13" x14ac:dyDescent="0.25">
      <c r="A336" s="168">
        <v>46189</v>
      </c>
      <c r="B336" s="32">
        <v>1</v>
      </c>
      <c r="C336" s="32" t="s">
        <v>208</v>
      </c>
      <c r="D336" s="169" t="s">
        <v>209</v>
      </c>
      <c r="E336" s="169" t="s">
        <v>190</v>
      </c>
      <c r="F336" s="32" t="s">
        <v>212</v>
      </c>
      <c r="G336" s="32">
        <v>376</v>
      </c>
      <c r="H336" s="32" t="s">
        <v>165</v>
      </c>
      <c r="I336" s="32">
        <v>620</v>
      </c>
      <c r="J336" s="36">
        <v>7459.84</v>
      </c>
      <c r="K336" s="32" t="s">
        <v>4088</v>
      </c>
      <c r="L336" s="169" t="s">
        <v>22</v>
      </c>
      <c r="M336" s="32" t="s">
        <v>223</v>
      </c>
    </row>
    <row r="337" spans="1:13" x14ac:dyDescent="0.25">
      <c r="A337" s="168">
        <v>46189</v>
      </c>
      <c r="B337" s="32">
        <v>1</v>
      </c>
      <c r="C337" s="32" t="s">
        <v>200</v>
      </c>
      <c r="D337" s="169" t="s">
        <v>201</v>
      </c>
      <c r="E337" s="169" t="s">
        <v>190</v>
      </c>
      <c r="F337" s="32" t="s">
        <v>212</v>
      </c>
      <c r="G337" s="32">
        <v>376</v>
      </c>
      <c r="H337" s="32" t="s">
        <v>165</v>
      </c>
      <c r="I337" s="32">
        <v>4742</v>
      </c>
      <c r="J337" s="36">
        <v>5705.57</v>
      </c>
      <c r="K337" s="32" t="s">
        <v>4089</v>
      </c>
      <c r="L337" s="169" t="s">
        <v>22</v>
      </c>
      <c r="M337" s="32" t="s">
        <v>223</v>
      </c>
    </row>
    <row r="338" spans="1:13" x14ac:dyDescent="0.25">
      <c r="A338" s="168">
        <v>46189</v>
      </c>
      <c r="B338" s="32">
        <v>1</v>
      </c>
      <c r="C338" s="32" t="s">
        <v>270</v>
      </c>
      <c r="D338" s="169" t="s">
        <v>288</v>
      </c>
      <c r="E338" s="169" t="s">
        <v>3980</v>
      </c>
      <c r="F338" s="32" t="s">
        <v>2868</v>
      </c>
      <c r="G338" s="32">
        <v>550</v>
      </c>
      <c r="H338" s="32" t="s">
        <v>3981</v>
      </c>
      <c r="I338" s="32">
        <v>1388</v>
      </c>
      <c r="J338" s="36">
        <v>2442.88</v>
      </c>
      <c r="K338" s="32" t="s">
        <v>4090</v>
      </c>
      <c r="L338" s="169" t="s">
        <v>3983</v>
      </c>
      <c r="M338" s="32" t="s">
        <v>157</v>
      </c>
    </row>
    <row r="339" spans="1:13" x14ac:dyDescent="0.25">
      <c r="A339" s="168">
        <v>46189</v>
      </c>
      <c r="B339" s="32">
        <v>1</v>
      </c>
      <c r="C339" s="32" t="s">
        <v>181</v>
      </c>
      <c r="D339" s="169" t="s">
        <v>182</v>
      </c>
      <c r="E339" s="169" t="s">
        <v>166</v>
      </c>
      <c r="F339" s="32" t="s">
        <v>1178</v>
      </c>
      <c r="G339" s="32">
        <v>51</v>
      </c>
      <c r="H339" s="32" t="s">
        <v>172</v>
      </c>
      <c r="I339" s="32">
        <v>2468</v>
      </c>
      <c r="J339" s="36">
        <v>465.71</v>
      </c>
      <c r="K339" s="32" t="s">
        <v>4091</v>
      </c>
      <c r="L339" s="169" t="s">
        <v>3847</v>
      </c>
      <c r="M339" s="32" t="s">
        <v>1178</v>
      </c>
    </row>
    <row r="340" spans="1:13" x14ac:dyDescent="0.25">
      <c r="A340" s="168">
        <v>46189</v>
      </c>
      <c r="B340" s="32">
        <v>1</v>
      </c>
      <c r="C340" s="32" t="s">
        <v>199</v>
      </c>
      <c r="D340" s="169" t="s">
        <v>180</v>
      </c>
      <c r="E340" s="169" t="s">
        <v>166</v>
      </c>
      <c r="F340" s="32" t="s">
        <v>111</v>
      </c>
      <c r="G340" s="32">
        <v>79</v>
      </c>
      <c r="H340" s="32" t="s">
        <v>216</v>
      </c>
      <c r="I340" s="32">
        <v>2726</v>
      </c>
      <c r="J340" s="36">
        <v>796.81</v>
      </c>
      <c r="K340" s="32" t="s">
        <v>4092</v>
      </c>
      <c r="L340" s="169" t="s">
        <v>115</v>
      </c>
      <c r="M340" s="32" t="s">
        <v>111</v>
      </c>
    </row>
    <row r="341" spans="1:13" x14ac:dyDescent="0.25">
      <c r="A341" s="168">
        <v>46189</v>
      </c>
      <c r="B341" s="32">
        <v>1</v>
      </c>
      <c r="C341" s="32" t="s">
        <v>167</v>
      </c>
      <c r="D341" s="169" t="s">
        <v>168</v>
      </c>
      <c r="E341" s="169" t="s">
        <v>163</v>
      </c>
      <c r="F341" s="32" t="s">
        <v>111</v>
      </c>
      <c r="G341" s="32">
        <v>75</v>
      </c>
      <c r="H341" s="32" t="s">
        <v>185</v>
      </c>
      <c r="I341" s="32">
        <v>2681</v>
      </c>
      <c r="J341" s="36">
        <v>743.98</v>
      </c>
      <c r="K341" s="32" t="s">
        <v>4093</v>
      </c>
      <c r="L341" s="169" t="s">
        <v>3738</v>
      </c>
      <c r="M341" s="32" t="s">
        <v>111</v>
      </c>
    </row>
    <row r="342" spans="1:13" x14ac:dyDescent="0.25">
      <c r="A342" s="168">
        <v>46189</v>
      </c>
      <c r="B342" s="32">
        <v>1</v>
      </c>
      <c r="C342" s="32" t="s">
        <v>296</v>
      </c>
      <c r="D342" s="169" t="s">
        <v>1536</v>
      </c>
      <c r="E342" s="169" t="s">
        <v>276</v>
      </c>
      <c r="F342" s="32" t="s">
        <v>2865</v>
      </c>
      <c r="G342" s="32">
        <v>37</v>
      </c>
      <c r="H342" s="32" t="s">
        <v>165</v>
      </c>
      <c r="I342" s="32">
        <v>416</v>
      </c>
      <c r="J342" s="36">
        <v>569.5</v>
      </c>
      <c r="K342" s="32" t="s">
        <v>4094</v>
      </c>
      <c r="L342" s="169" t="s">
        <v>118</v>
      </c>
      <c r="M342" s="32" t="s">
        <v>15</v>
      </c>
    </row>
    <row r="343" spans="1:13" x14ac:dyDescent="0.25">
      <c r="A343" s="168">
        <v>46189</v>
      </c>
      <c r="B343" s="32">
        <v>1</v>
      </c>
      <c r="C343" s="32" t="s">
        <v>167</v>
      </c>
      <c r="D343" s="169" t="s">
        <v>168</v>
      </c>
      <c r="E343" s="169" t="s">
        <v>163</v>
      </c>
      <c r="F343" s="32" t="s">
        <v>164</v>
      </c>
      <c r="G343" s="32">
        <v>52</v>
      </c>
      <c r="H343" s="32" t="s">
        <v>175</v>
      </c>
      <c r="I343" s="32">
        <v>2537</v>
      </c>
      <c r="J343" s="36">
        <v>488.12</v>
      </c>
      <c r="K343" s="32" t="s">
        <v>4095</v>
      </c>
      <c r="L343" s="169" t="s">
        <v>21</v>
      </c>
      <c r="M343" s="32" t="s">
        <v>224</v>
      </c>
    </row>
    <row r="344" spans="1:13" x14ac:dyDescent="0.25">
      <c r="A344" s="168">
        <v>46189</v>
      </c>
      <c r="B344" s="32">
        <v>1</v>
      </c>
      <c r="C344" s="32" t="s">
        <v>199</v>
      </c>
      <c r="D344" s="169" t="s">
        <v>180</v>
      </c>
      <c r="E344" s="169" t="s">
        <v>166</v>
      </c>
      <c r="F344" s="32" t="s">
        <v>111</v>
      </c>
      <c r="G344" s="32">
        <v>79</v>
      </c>
      <c r="H344" s="32" t="s">
        <v>216</v>
      </c>
      <c r="I344" s="32">
        <v>3166</v>
      </c>
      <c r="J344" s="36">
        <v>925.42</v>
      </c>
      <c r="K344" s="32" t="s">
        <v>4096</v>
      </c>
      <c r="L344" s="169" t="s">
        <v>115</v>
      </c>
      <c r="M344" s="32" t="s">
        <v>111</v>
      </c>
    </row>
    <row r="345" spans="1:13" x14ac:dyDescent="0.25">
      <c r="A345" s="168">
        <v>46189</v>
      </c>
      <c r="B345" s="32">
        <v>1</v>
      </c>
      <c r="C345" s="32" t="s">
        <v>2866</v>
      </c>
      <c r="D345" s="169" t="s">
        <v>281</v>
      </c>
      <c r="E345" s="169" t="s">
        <v>166</v>
      </c>
      <c r="F345" s="32" t="s">
        <v>164</v>
      </c>
      <c r="G345" s="32">
        <v>58</v>
      </c>
      <c r="H345" s="32" t="s">
        <v>165</v>
      </c>
      <c r="I345" s="32">
        <v>282</v>
      </c>
      <c r="J345" s="36">
        <v>605.16999999999996</v>
      </c>
      <c r="K345" s="32" t="s">
        <v>4097</v>
      </c>
      <c r="L345" s="169" t="s">
        <v>27</v>
      </c>
      <c r="M345" s="32" t="s">
        <v>224</v>
      </c>
    </row>
    <row r="346" spans="1:13" x14ac:dyDescent="0.25">
      <c r="A346" s="168">
        <v>46189</v>
      </c>
      <c r="B346" s="32">
        <v>1</v>
      </c>
      <c r="C346" s="32" t="s">
        <v>296</v>
      </c>
      <c r="D346" s="169" t="s">
        <v>1536</v>
      </c>
      <c r="E346" s="169" t="s">
        <v>276</v>
      </c>
      <c r="F346" s="32" t="s">
        <v>2865</v>
      </c>
      <c r="G346" s="32">
        <v>37</v>
      </c>
      <c r="H346" s="32" t="s">
        <v>165</v>
      </c>
      <c r="I346" s="32">
        <v>4304</v>
      </c>
      <c r="J346" s="36">
        <v>589.22</v>
      </c>
      <c r="K346" s="32" t="s">
        <v>4098</v>
      </c>
      <c r="L346" s="169" t="s">
        <v>118</v>
      </c>
      <c r="M346" s="32" t="s">
        <v>15</v>
      </c>
    </row>
    <row r="347" spans="1:13" x14ac:dyDescent="0.25">
      <c r="A347" s="168">
        <v>46189</v>
      </c>
      <c r="B347" s="32">
        <v>1</v>
      </c>
      <c r="C347" s="32" t="s">
        <v>1129</v>
      </c>
      <c r="D347" s="169" t="s">
        <v>2396</v>
      </c>
      <c r="E347" s="169" t="s">
        <v>166</v>
      </c>
      <c r="F347" s="32" t="s">
        <v>111</v>
      </c>
      <c r="G347" s="32">
        <v>79</v>
      </c>
      <c r="H347" s="32" t="s">
        <v>172</v>
      </c>
      <c r="I347" s="32">
        <v>2564</v>
      </c>
      <c r="J347" s="36">
        <v>749.46</v>
      </c>
      <c r="K347" s="32" t="s">
        <v>4099</v>
      </c>
      <c r="L347" s="169" t="s">
        <v>117</v>
      </c>
      <c r="M347" s="32" t="s">
        <v>111</v>
      </c>
    </row>
    <row r="348" spans="1:13" x14ac:dyDescent="0.25">
      <c r="A348" s="168">
        <v>46189</v>
      </c>
      <c r="B348" s="32">
        <v>1</v>
      </c>
      <c r="C348" s="32" t="s">
        <v>296</v>
      </c>
      <c r="D348" s="169" t="s">
        <v>1536</v>
      </c>
      <c r="E348" s="169" t="s">
        <v>276</v>
      </c>
      <c r="F348" s="32" t="s">
        <v>2865</v>
      </c>
      <c r="G348" s="32">
        <v>37</v>
      </c>
      <c r="H348" s="32" t="s">
        <v>195</v>
      </c>
      <c r="I348" s="32">
        <v>3716</v>
      </c>
      <c r="J348" s="36">
        <v>508.72</v>
      </c>
      <c r="K348" s="32" t="s">
        <v>4100</v>
      </c>
      <c r="L348" s="169" t="s">
        <v>104</v>
      </c>
      <c r="M348" s="32" t="s">
        <v>15</v>
      </c>
    </row>
    <row r="349" spans="1:13" x14ac:dyDescent="0.25">
      <c r="A349" s="168">
        <v>46189</v>
      </c>
      <c r="B349" s="32">
        <v>1</v>
      </c>
      <c r="C349" s="32" t="s">
        <v>205</v>
      </c>
      <c r="D349" s="169" t="s">
        <v>206</v>
      </c>
      <c r="E349" s="169" t="s">
        <v>276</v>
      </c>
      <c r="F349" s="32" t="s">
        <v>2033</v>
      </c>
      <c r="G349" s="32">
        <v>323</v>
      </c>
      <c r="H349" s="32" t="s">
        <v>185</v>
      </c>
      <c r="I349" s="32">
        <v>5296</v>
      </c>
      <c r="J349" s="36">
        <v>5473.95</v>
      </c>
      <c r="K349" s="32" t="s">
        <v>4101</v>
      </c>
      <c r="L349" s="169" t="s">
        <v>3817</v>
      </c>
      <c r="M349" s="32" t="s">
        <v>15</v>
      </c>
    </row>
    <row r="350" spans="1:13" x14ac:dyDescent="0.25">
      <c r="A350" s="168">
        <v>46189</v>
      </c>
      <c r="B350" s="32">
        <v>1</v>
      </c>
      <c r="C350" s="32" t="s">
        <v>183</v>
      </c>
      <c r="D350" s="169" t="s">
        <v>184</v>
      </c>
      <c r="E350" s="169" t="s">
        <v>163</v>
      </c>
      <c r="F350" s="32" t="s">
        <v>111</v>
      </c>
      <c r="G350" s="32">
        <v>75</v>
      </c>
      <c r="H350" s="32" t="s">
        <v>185</v>
      </c>
      <c r="I350" s="32">
        <v>2672</v>
      </c>
      <c r="J350" s="36">
        <v>741.48</v>
      </c>
      <c r="K350" s="32" t="s">
        <v>4102</v>
      </c>
      <c r="L350" s="169" t="s">
        <v>3738</v>
      </c>
      <c r="M350" s="32" t="s">
        <v>111</v>
      </c>
    </row>
    <row r="351" spans="1:13" x14ac:dyDescent="0.25">
      <c r="A351" s="168">
        <v>46189</v>
      </c>
      <c r="B351" s="32">
        <v>1</v>
      </c>
      <c r="C351" s="32" t="s">
        <v>183</v>
      </c>
      <c r="D351" s="169" t="s">
        <v>184</v>
      </c>
      <c r="E351" s="169" t="s">
        <v>163</v>
      </c>
      <c r="F351" s="32" t="s">
        <v>111</v>
      </c>
      <c r="G351" s="32">
        <v>75</v>
      </c>
      <c r="H351" s="32" t="s">
        <v>185</v>
      </c>
      <c r="I351" s="32">
        <v>2817</v>
      </c>
      <c r="J351" s="36">
        <v>781.72</v>
      </c>
      <c r="K351" s="32" t="s">
        <v>4103</v>
      </c>
      <c r="L351" s="169" t="s">
        <v>3738</v>
      </c>
      <c r="M351" s="32" t="s">
        <v>111</v>
      </c>
    </row>
    <row r="352" spans="1:13" x14ac:dyDescent="0.25">
      <c r="A352" s="168">
        <v>46189</v>
      </c>
      <c r="B352" s="32">
        <v>1</v>
      </c>
      <c r="C352" s="32" t="s">
        <v>173</v>
      </c>
      <c r="D352" s="169" t="s">
        <v>174</v>
      </c>
      <c r="E352" s="169" t="s">
        <v>166</v>
      </c>
      <c r="F352" s="32" t="s">
        <v>218</v>
      </c>
      <c r="G352" s="32">
        <v>71</v>
      </c>
      <c r="H352" s="32" t="s">
        <v>169</v>
      </c>
      <c r="I352" s="32">
        <v>2212</v>
      </c>
      <c r="J352" s="36">
        <v>581.09</v>
      </c>
      <c r="K352" s="32" t="s">
        <v>4104</v>
      </c>
      <c r="L352" s="169" t="s">
        <v>35</v>
      </c>
      <c r="M352" s="32" t="s">
        <v>108</v>
      </c>
    </row>
    <row r="353" spans="1:13" x14ac:dyDescent="0.25">
      <c r="A353" s="168">
        <v>46189</v>
      </c>
      <c r="B353" s="32">
        <v>1</v>
      </c>
      <c r="C353" s="32" t="s">
        <v>173</v>
      </c>
      <c r="D353" s="169" t="s">
        <v>174</v>
      </c>
      <c r="E353" s="169" t="s">
        <v>166</v>
      </c>
      <c r="F353" s="32" t="s">
        <v>111</v>
      </c>
      <c r="G353" s="32">
        <v>79</v>
      </c>
      <c r="H353" s="32" t="s">
        <v>169</v>
      </c>
      <c r="I353" s="32">
        <v>266</v>
      </c>
      <c r="J353" s="36">
        <v>777.52</v>
      </c>
      <c r="K353" s="32" t="s">
        <v>4105</v>
      </c>
      <c r="L353" s="169" t="s">
        <v>116</v>
      </c>
      <c r="M353" s="32" t="s">
        <v>111</v>
      </c>
    </row>
    <row r="354" spans="1:13" x14ac:dyDescent="0.25">
      <c r="A354" s="168">
        <v>46189</v>
      </c>
      <c r="B354" s="32">
        <v>1</v>
      </c>
      <c r="C354" s="32" t="s">
        <v>173</v>
      </c>
      <c r="D354" s="169" t="s">
        <v>174</v>
      </c>
      <c r="E354" s="169" t="s">
        <v>166</v>
      </c>
      <c r="F354" s="32" t="s">
        <v>111</v>
      </c>
      <c r="G354" s="32">
        <v>79</v>
      </c>
      <c r="H354" s="32" t="s">
        <v>172</v>
      </c>
      <c r="I354" s="32">
        <v>2682</v>
      </c>
      <c r="J354" s="36">
        <v>783.95</v>
      </c>
      <c r="K354" s="32" t="s">
        <v>4106</v>
      </c>
      <c r="L354" s="169" t="s">
        <v>117</v>
      </c>
      <c r="M354" s="32" t="s">
        <v>111</v>
      </c>
    </row>
    <row r="355" spans="1:13" x14ac:dyDescent="0.25">
      <c r="A355" s="168">
        <v>46189</v>
      </c>
      <c r="B355" s="32">
        <v>1</v>
      </c>
      <c r="C355" s="32" t="s">
        <v>199</v>
      </c>
      <c r="D355" s="169" t="s">
        <v>180</v>
      </c>
      <c r="E355" s="169" t="s">
        <v>163</v>
      </c>
      <c r="F355" s="32" t="s">
        <v>164</v>
      </c>
      <c r="G355" s="32">
        <v>52</v>
      </c>
      <c r="H355" s="32" t="s">
        <v>165</v>
      </c>
      <c r="I355" s="32">
        <v>2759</v>
      </c>
      <c r="J355" s="36">
        <v>530.83000000000004</v>
      </c>
      <c r="K355" s="32" t="s">
        <v>4107</v>
      </c>
      <c r="L355" s="169" t="s">
        <v>31</v>
      </c>
      <c r="M355" s="32" t="s">
        <v>224</v>
      </c>
    </row>
    <row r="356" spans="1:13" x14ac:dyDescent="0.25">
      <c r="A356" s="168">
        <v>46189</v>
      </c>
      <c r="B356" s="32">
        <v>1</v>
      </c>
      <c r="C356" s="32" t="s">
        <v>210</v>
      </c>
      <c r="D356" s="169" t="s">
        <v>211</v>
      </c>
      <c r="E356" s="169" t="s">
        <v>190</v>
      </c>
      <c r="F356" s="32" t="s">
        <v>212</v>
      </c>
      <c r="G356" s="32">
        <v>376</v>
      </c>
      <c r="H356" s="32" t="s">
        <v>165</v>
      </c>
      <c r="I356" s="32">
        <v>5532</v>
      </c>
      <c r="J356" s="36">
        <v>6656.1</v>
      </c>
      <c r="K356" s="32" t="s">
        <v>4108</v>
      </c>
      <c r="L356" s="169" t="s">
        <v>22</v>
      </c>
      <c r="M356" s="32" t="s">
        <v>223</v>
      </c>
    </row>
    <row r="357" spans="1:13" x14ac:dyDescent="0.25">
      <c r="A357" s="168">
        <v>46189</v>
      </c>
      <c r="B357" s="32">
        <v>1</v>
      </c>
      <c r="C357" s="32" t="s">
        <v>181</v>
      </c>
      <c r="D357" s="169" t="s">
        <v>182</v>
      </c>
      <c r="E357" s="169" t="s">
        <v>166</v>
      </c>
      <c r="F357" s="32" t="s">
        <v>111</v>
      </c>
      <c r="G357" s="32">
        <v>79</v>
      </c>
      <c r="H357" s="32" t="s">
        <v>172</v>
      </c>
      <c r="I357" s="32">
        <v>2622</v>
      </c>
      <c r="J357" s="36">
        <v>766.41</v>
      </c>
      <c r="K357" s="32" t="s">
        <v>4109</v>
      </c>
      <c r="L357" s="169" t="s">
        <v>117</v>
      </c>
      <c r="M357" s="32" t="s">
        <v>111</v>
      </c>
    </row>
    <row r="358" spans="1:13" x14ac:dyDescent="0.25">
      <c r="A358" s="168">
        <v>46189</v>
      </c>
      <c r="B358" s="32">
        <v>1</v>
      </c>
      <c r="C358" s="32" t="s">
        <v>193</v>
      </c>
      <c r="D358" s="169" t="s">
        <v>285</v>
      </c>
      <c r="E358" s="169" t="s">
        <v>163</v>
      </c>
      <c r="F358" s="32" t="s">
        <v>111</v>
      </c>
      <c r="G358" s="32">
        <v>75</v>
      </c>
      <c r="H358" s="32" t="s">
        <v>185</v>
      </c>
      <c r="I358" s="32">
        <v>2768</v>
      </c>
      <c r="J358" s="36">
        <v>768.12</v>
      </c>
      <c r="K358" s="32" t="s">
        <v>4110</v>
      </c>
      <c r="L358" s="169" t="s">
        <v>3738</v>
      </c>
      <c r="M358" s="32" t="s">
        <v>111</v>
      </c>
    </row>
    <row r="359" spans="1:13" x14ac:dyDescent="0.25">
      <c r="A359" s="168">
        <v>46189</v>
      </c>
      <c r="B359" s="32">
        <v>1</v>
      </c>
      <c r="C359" s="32" t="s">
        <v>193</v>
      </c>
      <c r="D359" s="169" t="s">
        <v>285</v>
      </c>
      <c r="E359" s="169" t="s">
        <v>166</v>
      </c>
      <c r="F359" s="32" t="s">
        <v>111</v>
      </c>
      <c r="G359" s="32">
        <v>79</v>
      </c>
      <c r="H359" s="32" t="s">
        <v>172</v>
      </c>
      <c r="I359" s="32">
        <v>2768</v>
      </c>
      <c r="J359" s="36">
        <v>809.09</v>
      </c>
      <c r="K359" s="32" t="s">
        <v>4111</v>
      </c>
      <c r="L359" s="169" t="s">
        <v>117</v>
      </c>
      <c r="M359" s="32" t="s">
        <v>111</v>
      </c>
    </row>
    <row r="360" spans="1:13" x14ac:dyDescent="0.25">
      <c r="A360" s="168">
        <v>46189</v>
      </c>
      <c r="B360" s="32">
        <v>1</v>
      </c>
      <c r="C360" s="32" t="s">
        <v>192</v>
      </c>
      <c r="D360" s="169" t="s">
        <v>287</v>
      </c>
      <c r="E360" s="169" t="s">
        <v>190</v>
      </c>
      <c r="F360" s="32" t="s">
        <v>212</v>
      </c>
      <c r="G360" s="32">
        <v>376</v>
      </c>
      <c r="H360" s="32" t="s">
        <v>165</v>
      </c>
      <c r="I360" s="32">
        <v>571</v>
      </c>
      <c r="J360" s="36">
        <v>6870.27</v>
      </c>
      <c r="K360" s="32" t="s">
        <v>4112</v>
      </c>
      <c r="L360" s="169" t="s">
        <v>22</v>
      </c>
      <c r="M360" s="32" t="s">
        <v>223</v>
      </c>
    </row>
    <row r="361" spans="1:13" x14ac:dyDescent="0.25">
      <c r="A361" s="168">
        <v>46189</v>
      </c>
      <c r="B361" s="32">
        <v>1</v>
      </c>
      <c r="C361" s="32" t="s">
        <v>286</v>
      </c>
      <c r="D361" s="169" t="s">
        <v>506</v>
      </c>
      <c r="E361" s="169" t="s">
        <v>166</v>
      </c>
      <c r="F361" s="32" t="s">
        <v>164</v>
      </c>
      <c r="G361" s="32">
        <v>58</v>
      </c>
      <c r="H361" s="32" t="s">
        <v>175</v>
      </c>
      <c r="I361" s="32">
        <v>4694</v>
      </c>
      <c r="J361" s="36">
        <v>1007.33</v>
      </c>
      <c r="K361" s="32" t="s">
        <v>4113</v>
      </c>
      <c r="L361" s="169" t="s">
        <v>86</v>
      </c>
      <c r="M361" s="32" t="s">
        <v>224</v>
      </c>
    </row>
    <row r="362" spans="1:13" x14ac:dyDescent="0.25">
      <c r="A362" s="168">
        <v>46189</v>
      </c>
      <c r="B362" s="32">
        <v>1</v>
      </c>
      <c r="C362" s="32" t="s">
        <v>286</v>
      </c>
      <c r="D362" s="169" t="s">
        <v>506</v>
      </c>
      <c r="E362" s="169" t="s">
        <v>166</v>
      </c>
      <c r="F362" s="32" t="s">
        <v>164</v>
      </c>
      <c r="G362" s="32">
        <v>58</v>
      </c>
      <c r="H362" s="32" t="s">
        <v>165</v>
      </c>
      <c r="I362" s="32">
        <v>4622</v>
      </c>
      <c r="J362" s="36">
        <v>991.88</v>
      </c>
      <c r="K362" s="32" t="s">
        <v>4114</v>
      </c>
      <c r="L362" s="169" t="s">
        <v>27</v>
      </c>
      <c r="M362" s="32" t="s">
        <v>224</v>
      </c>
    </row>
    <row r="363" spans="1:13" x14ac:dyDescent="0.25">
      <c r="A363" s="168">
        <v>46189</v>
      </c>
      <c r="B363" s="32">
        <v>1</v>
      </c>
      <c r="C363" s="32" t="s">
        <v>179</v>
      </c>
      <c r="D363" s="169" t="s">
        <v>2863</v>
      </c>
      <c r="E363" s="169" t="s">
        <v>166</v>
      </c>
      <c r="F363" s="32" t="s">
        <v>111</v>
      </c>
      <c r="G363" s="32">
        <v>79</v>
      </c>
      <c r="H363" s="32" t="s">
        <v>216</v>
      </c>
      <c r="I363" s="32">
        <v>2738</v>
      </c>
      <c r="J363" s="36">
        <v>800.32</v>
      </c>
      <c r="K363" s="32" t="s">
        <v>4115</v>
      </c>
      <c r="L363" s="169" t="s">
        <v>115</v>
      </c>
      <c r="M363" s="32" t="s">
        <v>111</v>
      </c>
    </row>
    <row r="364" spans="1:13" x14ac:dyDescent="0.25">
      <c r="A364" s="168">
        <v>46189</v>
      </c>
      <c r="B364" s="32">
        <v>1</v>
      </c>
      <c r="C364" s="32" t="s">
        <v>179</v>
      </c>
      <c r="D364" s="169" t="s">
        <v>2863</v>
      </c>
      <c r="E364" s="169" t="s">
        <v>166</v>
      </c>
      <c r="F364" s="32" t="s">
        <v>164</v>
      </c>
      <c r="G364" s="32">
        <v>58</v>
      </c>
      <c r="H364" s="32" t="s">
        <v>165</v>
      </c>
      <c r="I364" s="32">
        <v>264</v>
      </c>
      <c r="J364" s="36">
        <v>566.54</v>
      </c>
      <c r="K364" s="32" t="s">
        <v>4116</v>
      </c>
      <c r="L364" s="169" t="s">
        <v>27</v>
      </c>
      <c r="M364" s="32" t="s">
        <v>224</v>
      </c>
    </row>
    <row r="365" spans="1:13" x14ac:dyDescent="0.25">
      <c r="A365" s="168">
        <v>46189</v>
      </c>
      <c r="B365" s="32">
        <v>1</v>
      </c>
      <c r="C365" s="32" t="s">
        <v>186</v>
      </c>
      <c r="D365" s="169" t="s">
        <v>187</v>
      </c>
      <c r="E365" s="169" t="s">
        <v>276</v>
      </c>
      <c r="F365" s="32" t="s">
        <v>919</v>
      </c>
      <c r="G365" s="32">
        <v>358</v>
      </c>
      <c r="H365" s="32" t="s">
        <v>221</v>
      </c>
      <c r="I365" s="32">
        <v>668</v>
      </c>
      <c r="J365" s="36">
        <v>7652.61</v>
      </c>
      <c r="K365" s="32" t="s">
        <v>4117</v>
      </c>
      <c r="L365" s="169" t="s">
        <v>4118</v>
      </c>
      <c r="M365" s="32" t="s">
        <v>15</v>
      </c>
    </row>
    <row r="366" spans="1:13" x14ac:dyDescent="0.25">
      <c r="A366" s="168">
        <v>46189</v>
      </c>
      <c r="B366" s="32">
        <v>1</v>
      </c>
      <c r="C366" s="32" t="s">
        <v>1129</v>
      </c>
      <c r="D366" s="169" t="s">
        <v>2396</v>
      </c>
      <c r="E366" s="169" t="s">
        <v>166</v>
      </c>
      <c r="F366" s="32" t="s">
        <v>111</v>
      </c>
      <c r="G366" s="32">
        <v>79</v>
      </c>
      <c r="H366" s="32" t="s">
        <v>172</v>
      </c>
      <c r="I366" s="32">
        <v>2564</v>
      </c>
      <c r="J366" s="36">
        <v>749.46</v>
      </c>
      <c r="K366" s="32" t="s">
        <v>4119</v>
      </c>
      <c r="L366" s="169" t="s">
        <v>117</v>
      </c>
      <c r="M366" s="32" t="s">
        <v>111</v>
      </c>
    </row>
    <row r="367" spans="1:13" x14ac:dyDescent="0.25">
      <c r="A367" s="168">
        <v>46190</v>
      </c>
      <c r="B367" s="32">
        <v>1</v>
      </c>
      <c r="C367" s="32" t="s">
        <v>283</v>
      </c>
      <c r="D367" s="169" t="s">
        <v>282</v>
      </c>
      <c r="E367" s="169" t="s">
        <v>166</v>
      </c>
      <c r="F367" s="32" t="s">
        <v>1178</v>
      </c>
      <c r="G367" s="32">
        <v>51</v>
      </c>
      <c r="H367" s="32" t="s">
        <v>169</v>
      </c>
      <c r="I367" s="32">
        <v>2658</v>
      </c>
      <c r="J367" s="36">
        <v>501.56</v>
      </c>
      <c r="K367" s="32" t="s">
        <v>4120</v>
      </c>
      <c r="L367" s="169" t="s">
        <v>3744</v>
      </c>
      <c r="M367" s="32" t="s">
        <v>1178</v>
      </c>
    </row>
    <row r="368" spans="1:13" x14ac:dyDescent="0.25">
      <c r="A368" s="168">
        <v>46190</v>
      </c>
      <c r="B368" s="32">
        <v>1</v>
      </c>
      <c r="C368" s="32" t="s">
        <v>188</v>
      </c>
      <c r="D368" s="169" t="s">
        <v>189</v>
      </c>
      <c r="E368" s="169" t="s">
        <v>190</v>
      </c>
      <c r="F368" s="32" t="s">
        <v>4065</v>
      </c>
      <c r="G368" s="32">
        <v>304</v>
      </c>
      <c r="H368" s="32" t="s">
        <v>165</v>
      </c>
      <c r="I368" s="32">
        <v>635</v>
      </c>
      <c r="J368" s="36">
        <v>6177.28</v>
      </c>
      <c r="K368" s="32" t="s">
        <v>4121</v>
      </c>
      <c r="L368" s="169" t="s">
        <v>4067</v>
      </c>
      <c r="M368" s="32" t="s">
        <v>223</v>
      </c>
    </row>
    <row r="369" spans="1:13" x14ac:dyDescent="0.25">
      <c r="A369" s="168">
        <v>46190</v>
      </c>
      <c r="B369" s="32">
        <v>1</v>
      </c>
      <c r="C369" s="32" t="s">
        <v>203</v>
      </c>
      <c r="D369" s="169" t="s">
        <v>204</v>
      </c>
      <c r="E369" s="169" t="s">
        <v>190</v>
      </c>
      <c r="F369" s="32" t="s">
        <v>198</v>
      </c>
      <c r="G369" s="32">
        <v>70</v>
      </c>
      <c r="H369" s="32" t="s">
        <v>165</v>
      </c>
      <c r="I369" s="32">
        <v>5358</v>
      </c>
      <c r="J369" s="36">
        <v>1387.72</v>
      </c>
      <c r="K369" s="32" t="s">
        <v>4122</v>
      </c>
      <c r="L369" s="169" t="s">
        <v>30</v>
      </c>
      <c r="M369" s="32" t="s">
        <v>224</v>
      </c>
    </row>
    <row r="370" spans="1:13" x14ac:dyDescent="0.25">
      <c r="A370" s="168">
        <v>46190</v>
      </c>
      <c r="B370" s="32">
        <v>1</v>
      </c>
      <c r="C370" s="32" t="s">
        <v>167</v>
      </c>
      <c r="D370" s="169" t="s">
        <v>168</v>
      </c>
      <c r="E370" s="169" t="s">
        <v>163</v>
      </c>
      <c r="F370" s="32" t="s">
        <v>164</v>
      </c>
      <c r="G370" s="32">
        <v>52</v>
      </c>
      <c r="H370" s="32" t="s">
        <v>175</v>
      </c>
      <c r="I370" s="32">
        <v>2693</v>
      </c>
      <c r="J370" s="36">
        <v>518.13</v>
      </c>
      <c r="K370" s="32" t="s">
        <v>4123</v>
      </c>
      <c r="L370" s="169" t="s">
        <v>21</v>
      </c>
      <c r="M370" s="32" t="s">
        <v>224</v>
      </c>
    </row>
    <row r="371" spans="1:13" x14ac:dyDescent="0.25">
      <c r="A371" s="168">
        <v>46190</v>
      </c>
      <c r="B371" s="32">
        <v>1</v>
      </c>
      <c r="C371" s="32" t="s">
        <v>167</v>
      </c>
      <c r="D371" s="169" t="s">
        <v>168</v>
      </c>
      <c r="E371" s="169" t="s">
        <v>166</v>
      </c>
      <c r="F371" s="32" t="s">
        <v>111</v>
      </c>
      <c r="G371" s="32">
        <v>79</v>
      </c>
      <c r="H371" s="32" t="s">
        <v>172</v>
      </c>
      <c r="I371" s="32">
        <v>275</v>
      </c>
      <c r="J371" s="36">
        <v>803.83</v>
      </c>
      <c r="K371" s="32" t="s">
        <v>4124</v>
      </c>
      <c r="L371" s="169" t="s">
        <v>117</v>
      </c>
      <c r="M371" s="32" t="s">
        <v>111</v>
      </c>
    </row>
    <row r="372" spans="1:13" x14ac:dyDescent="0.25">
      <c r="A372" s="168">
        <v>46190</v>
      </c>
      <c r="B372" s="32">
        <v>1</v>
      </c>
      <c r="C372" s="32" t="s">
        <v>199</v>
      </c>
      <c r="D372" s="169" t="s">
        <v>180</v>
      </c>
      <c r="E372" s="169" t="s">
        <v>166</v>
      </c>
      <c r="F372" s="32" t="s">
        <v>111</v>
      </c>
      <c r="G372" s="32">
        <v>79</v>
      </c>
      <c r="H372" s="32" t="s">
        <v>172</v>
      </c>
      <c r="I372" s="32">
        <v>3202</v>
      </c>
      <c r="J372" s="36">
        <v>935.94</v>
      </c>
      <c r="K372" s="32" t="s">
        <v>4125</v>
      </c>
      <c r="L372" s="169" t="s">
        <v>117</v>
      </c>
      <c r="M372" s="32" t="s">
        <v>111</v>
      </c>
    </row>
    <row r="373" spans="1:13" x14ac:dyDescent="0.25">
      <c r="A373" s="168">
        <v>46190</v>
      </c>
      <c r="B373" s="32">
        <v>1</v>
      </c>
      <c r="C373" s="32" t="s">
        <v>167</v>
      </c>
      <c r="D373" s="169" t="s">
        <v>168</v>
      </c>
      <c r="E373" s="169" t="s">
        <v>166</v>
      </c>
      <c r="F373" s="32" t="s">
        <v>164</v>
      </c>
      <c r="G373" s="32">
        <v>58</v>
      </c>
      <c r="H373" s="32" t="s">
        <v>195</v>
      </c>
      <c r="I373" s="32">
        <v>2696</v>
      </c>
      <c r="J373" s="36">
        <v>578.55999999999995</v>
      </c>
      <c r="K373" s="32" t="s">
        <v>4126</v>
      </c>
      <c r="L373" s="169" t="s">
        <v>91</v>
      </c>
      <c r="M373" s="32" t="s">
        <v>224</v>
      </c>
    </row>
    <row r="374" spans="1:13" x14ac:dyDescent="0.25">
      <c r="A374" s="168">
        <v>46190</v>
      </c>
      <c r="B374" s="32">
        <v>1</v>
      </c>
      <c r="C374" s="32" t="s">
        <v>283</v>
      </c>
      <c r="D374" s="169" t="s">
        <v>282</v>
      </c>
      <c r="E374" s="169" t="s">
        <v>166</v>
      </c>
      <c r="F374" s="32" t="s">
        <v>1178</v>
      </c>
      <c r="G374" s="32">
        <v>51</v>
      </c>
      <c r="H374" s="32" t="s">
        <v>169</v>
      </c>
      <c r="I374" s="32">
        <v>274</v>
      </c>
      <c r="J374" s="36">
        <v>517.04</v>
      </c>
      <c r="K374" s="32" t="s">
        <v>4127</v>
      </c>
      <c r="L374" s="169" t="s">
        <v>3744</v>
      </c>
      <c r="M374" s="32" t="s">
        <v>1178</v>
      </c>
    </row>
    <row r="375" spans="1:13" x14ac:dyDescent="0.25">
      <c r="A375" s="168">
        <v>46190</v>
      </c>
      <c r="B375" s="32">
        <v>1</v>
      </c>
      <c r="C375" s="32" t="s">
        <v>181</v>
      </c>
      <c r="D375" s="169" t="s">
        <v>182</v>
      </c>
      <c r="E375" s="169" t="s">
        <v>276</v>
      </c>
      <c r="F375" s="32" t="s">
        <v>4128</v>
      </c>
      <c r="G375" s="32">
        <v>321</v>
      </c>
      <c r="H375" s="32" t="s">
        <v>172</v>
      </c>
      <c r="I375" s="32">
        <v>2214</v>
      </c>
      <c r="J375" s="36">
        <v>2274.2199999999998</v>
      </c>
      <c r="K375" s="32" t="s">
        <v>4129</v>
      </c>
      <c r="L375" s="169" t="s">
        <v>4130</v>
      </c>
      <c r="M375" s="32" t="s">
        <v>15</v>
      </c>
    </row>
    <row r="376" spans="1:13" x14ac:dyDescent="0.25">
      <c r="A376" s="168">
        <v>46190</v>
      </c>
      <c r="B376" s="32">
        <v>1</v>
      </c>
      <c r="C376" s="32" t="s">
        <v>199</v>
      </c>
      <c r="D376" s="169" t="s">
        <v>180</v>
      </c>
      <c r="E376" s="169" t="s">
        <v>166</v>
      </c>
      <c r="F376" s="32" t="s">
        <v>164</v>
      </c>
      <c r="G376" s="32">
        <v>58</v>
      </c>
      <c r="H376" s="32" t="s">
        <v>165</v>
      </c>
      <c r="I376" s="32">
        <v>286</v>
      </c>
      <c r="J376" s="36">
        <v>613.76</v>
      </c>
      <c r="K376" s="32" t="s">
        <v>4131</v>
      </c>
      <c r="L376" s="169" t="s">
        <v>27</v>
      </c>
      <c r="M376" s="32" t="s">
        <v>224</v>
      </c>
    </row>
    <row r="377" spans="1:13" x14ac:dyDescent="0.25">
      <c r="A377" s="168">
        <v>46190</v>
      </c>
      <c r="B377" s="32">
        <v>1</v>
      </c>
      <c r="C377" s="32" t="s">
        <v>176</v>
      </c>
      <c r="D377" s="169" t="s">
        <v>177</v>
      </c>
      <c r="E377" s="169" t="s">
        <v>190</v>
      </c>
      <c r="F377" s="32" t="s">
        <v>212</v>
      </c>
      <c r="G377" s="32">
        <v>376</v>
      </c>
      <c r="H377" s="32" t="s">
        <v>165</v>
      </c>
      <c r="I377" s="32">
        <v>6034</v>
      </c>
      <c r="J377" s="36">
        <v>7260.11</v>
      </c>
      <c r="K377" s="32" t="s">
        <v>4132</v>
      </c>
      <c r="L377" s="169" t="s">
        <v>22</v>
      </c>
      <c r="M377" s="32" t="s">
        <v>223</v>
      </c>
    </row>
    <row r="378" spans="1:13" x14ac:dyDescent="0.25">
      <c r="A378" s="168">
        <v>46190</v>
      </c>
      <c r="B378" s="32">
        <v>1</v>
      </c>
      <c r="C378" s="32" t="s">
        <v>1129</v>
      </c>
      <c r="D378" s="169" t="s">
        <v>2396</v>
      </c>
      <c r="E378" s="169" t="s">
        <v>166</v>
      </c>
      <c r="F378" s="32" t="s">
        <v>111</v>
      </c>
      <c r="G378" s="32">
        <v>79</v>
      </c>
      <c r="H378" s="32" t="s">
        <v>172</v>
      </c>
      <c r="I378" s="32">
        <v>285</v>
      </c>
      <c r="J378" s="36">
        <v>833.06</v>
      </c>
      <c r="K378" s="32" t="s">
        <v>4133</v>
      </c>
      <c r="L378" s="169" t="s">
        <v>117</v>
      </c>
      <c r="M378" s="32" t="s">
        <v>111</v>
      </c>
    </row>
    <row r="379" spans="1:13" x14ac:dyDescent="0.25">
      <c r="A379" s="168">
        <v>46190</v>
      </c>
      <c r="B379" s="32">
        <v>1</v>
      </c>
      <c r="C379" s="32" t="s">
        <v>1129</v>
      </c>
      <c r="D379" s="169" t="s">
        <v>2396</v>
      </c>
      <c r="E379" s="169" t="s">
        <v>166</v>
      </c>
      <c r="F379" s="32" t="s">
        <v>164</v>
      </c>
      <c r="G379" s="32">
        <v>58</v>
      </c>
      <c r="H379" s="32" t="s">
        <v>165</v>
      </c>
      <c r="I379" s="32">
        <v>2514</v>
      </c>
      <c r="J379" s="36">
        <v>539.5</v>
      </c>
      <c r="K379" s="32" t="s">
        <v>4134</v>
      </c>
      <c r="L379" s="169" t="s">
        <v>27</v>
      </c>
      <c r="M379" s="32" t="s">
        <v>224</v>
      </c>
    </row>
    <row r="380" spans="1:13" x14ac:dyDescent="0.25">
      <c r="A380" s="168">
        <v>46190</v>
      </c>
      <c r="B380" s="32">
        <v>1</v>
      </c>
      <c r="C380" s="32" t="s">
        <v>202</v>
      </c>
      <c r="D380" s="169" t="s">
        <v>214</v>
      </c>
      <c r="E380" s="169" t="s">
        <v>190</v>
      </c>
      <c r="F380" s="32" t="s">
        <v>212</v>
      </c>
      <c r="G380" s="32">
        <v>376</v>
      </c>
      <c r="H380" s="32" t="s">
        <v>165</v>
      </c>
      <c r="I380" s="32">
        <v>6256</v>
      </c>
      <c r="J380" s="36">
        <v>7527.22</v>
      </c>
      <c r="K380" s="32" t="s">
        <v>4135</v>
      </c>
      <c r="L380" s="169" t="s">
        <v>22</v>
      </c>
      <c r="M380" s="32" t="s">
        <v>223</v>
      </c>
    </row>
    <row r="381" spans="1:13" x14ac:dyDescent="0.25">
      <c r="A381" s="168">
        <v>46190</v>
      </c>
      <c r="B381" s="32">
        <v>1</v>
      </c>
      <c r="C381" s="32" t="s">
        <v>286</v>
      </c>
      <c r="D381" s="169" t="s">
        <v>506</v>
      </c>
      <c r="E381" s="169" t="s">
        <v>166</v>
      </c>
      <c r="F381" s="32" t="s">
        <v>164</v>
      </c>
      <c r="G381" s="32">
        <v>58</v>
      </c>
      <c r="H381" s="32" t="s">
        <v>165</v>
      </c>
      <c r="I381" s="32">
        <v>4516</v>
      </c>
      <c r="J381" s="36">
        <v>969.13</v>
      </c>
      <c r="K381" s="32" t="s">
        <v>4136</v>
      </c>
      <c r="L381" s="169" t="s">
        <v>27</v>
      </c>
      <c r="M381" s="32" t="s">
        <v>224</v>
      </c>
    </row>
    <row r="382" spans="1:13" x14ac:dyDescent="0.25">
      <c r="A382" s="168">
        <v>46190</v>
      </c>
      <c r="B382" s="32">
        <v>1</v>
      </c>
      <c r="C382" s="32" t="s">
        <v>181</v>
      </c>
      <c r="D382" s="169" t="s">
        <v>182</v>
      </c>
      <c r="E382" s="169" t="s">
        <v>166</v>
      </c>
      <c r="F382" s="32" t="s">
        <v>111</v>
      </c>
      <c r="G382" s="32">
        <v>79</v>
      </c>
      <c r="H382" s="32" t="s">
        <v>169</v>
      </c>
      <c r="I382" s="32">
        <v>2498</v>
      </c>
      <c r="J382" s="36">
        <v>730.17</v>
      </c>
      <c r="K382" s="32" t="s">
        <v>4137</v>
      </c>
      <c r="L382" s="169" t="s">
        <v>116</v>
      </c>
      <c r="M382" s="32" t="s">
        <v>111</v>
      </c>
    </row>
    <row r="383" spans="1:13" x14ac:dyDescent="0.25">
      <c r="A383" s="168">
        <v>46190</v>
      </c>
      <c r="B383" s="32">
        <v>1</v>
      </c>
      <c r="C383" s="32" t="s">
        <v>199</v>
      </c>
      <c r="D383" s="169" t="s">
        <v>180</v>
      </c>
      <c r="E383" s="169" t="s">
        <v>166</v>
      </c>
      <c r="F383" s="32" t="s">
        <v>164</v>
      </c>
      <c r="G383" s="32">
        <v>58</v>
      </c>
      <c r="H383" s="32" t="s">
        <v>165</v>
      </c>
      <c r="I383" s="32">
        <v>2788</v>
      </c>
      <c r="J383" s="36">
        <v>598.29999999999995</v>
      </c>
      <c r="K383" s="32" t="s">
        <v>4138</v>
      </c>
      <c r="L383" s="169" t="s">
        <v>27</v>
      </c>
      <c r="M383" s="32" t="s">
        <v>224</v>
      </c>
    </row>
    <row r="384" spans="1:13" x14ac:dyDescent="0.25">
      <c r="A384" s="168">
        <v>46190</v>
      </c>
      <c r="B384" s="32">
        <v>1</v>
      </c>
      <c r="C384" s="32" t="s">
        <v>205</v>
      </c>
      <c r="D384" s="169" t="s">
        <v>206</v>
      </c>
      <c r="E384" s="169" t="s">
        <v>276</v>
      </c>
      <c r="F384" s="32" t="s">
        <v>919</v>
      </c>
      <c r="G384" s="32">
        <v>358</v>
      </c>
      <c r="H384" s="32" t="s">
        <v>185</v>
      </c>
      <c r="I384" s="32">
        <v>6324</v>
      </c>
      <c r="J384" s="36">
        <v>7244.77</v>
      </c>
      <c r="K384" s="32" t="s">
        <v>4139</v>
      </c>
      <c r="L384" s="169" t="s">
        <v>4077</v>
      </c>
      <c r="M384" s="32" t="s">
        <v>15</v>
      </c>
    </row>
    <row r="385" spans="1:13" x14ac:dyDescent="0.25">
      <c r="A385" s="168">
        <v>46190</v>
      </c>
      <c r="B385" s="32">
        <v>1</v>
      </c>
      <c r="C385" s="32" t="s">
        <v>183</v>
      </c>
      <c r="D385" s="169" t="s">
        <v>184</v>
      </c>
      <c r="E385" s="169" t="s">
        <v>166</v>
      </c>
      <c r="F385" s="32" t="s">
        <v>111</v>
      </c>
      <c r="G385" s="32">
        <v>79</v>
      </c>
      <c r="H385" s="32" t="s">
        <v>172</v>
      </c>
      <c r="I385" s="32">
        <v>2966</v>
      </c>
      <c r="J385" s="36">
        <v>866.96</v>
      </c>
      <c r="K385" s="32" t="s">
        <v>4140</v>
      </c>
      <c r="L385" s="169" t="s">
        <v>117</v>
      </c>
      <c r="M385" s="32" t="s">
        <v>111</v>
      </c>
    </row>
    <row r="386" spans="1:13" x14ac:dyDescent="0.25">
      <c r="A386" s="168">
        <v>46190</v>
      </c>
      <c r="B386" s="32">
        <v>1</v>
      </c>
      <c r="C386" s="32" t="s">
        <v>183</v>
      </c>
      <c r="D386" s="169" t="s">
        <v>184</v>
      </c>
      <c r="E386" s="169" t="s">
        <v>166</v>
      </c>
      <c r="F386" s="32" t="s">
        <v>1178</v>
      </c>
      <c r="G386" s="32">
        <v>51</v>
      </c>
      <c r="H386" s="32" t="s">
        <v>172</v>
      </c>
      <c r="I386" s="32">
        <v>2762</v>
      </c>
      <c r="J386" s="36">
        <v>521.19000000000005</v>
      </c>
      <c r="K386" s="32" t="s">
        <v>4141</v>
      </c>
      <c r="L386" s="169" t="s">
        <v>3847</v>
      </c>
      <c r="M386" s="32" t="s">
        <v>1178</v>
      </c>
    </row>
    <row r="387" spans="1:13" x14ac:dyDescent="0.25">
      <c r="A387" s="168">
        <v>46190</v>
      </c>
      <c r="B387" s="32">
        <v>1</v>
      </c>
      <c r="C387" s="32" t="s">
        <v>183</v>
      </c>
      <c r="D387" s="169" t="s">
        <v>184</v>
      </c>
      <c r="E387" s="169" t="s">
        <v>163</v>
      </c>
      <c r="F387" s="32" t="s">
        <v>164</v>
      </c>
      <c r="G387" s="32">
        <v>52</v>
      </c>
      <c r="H387" s="32" t="s">
        <v>175</v>
      </c>
      <c r="I387" s="32">
        <v>2797</v>
      </c>
      <c r="J387" s="36">
        <v>538.14</v>
      </c>
      <c r="K387" s="32" t="s">
        <v>4064</v>
      </c>
      <c r="L387" s="169" t="s">
        <v>21</v>
      </c>
      <c r="M387" s="32" t="s">
        <v>224</v>
      </c>
    </row>
    <row r="388" spans="1:13" x14ac:dyDescent="0.25">
      <c r="A388" s="168">
        <v>46190</v>
      </c>
      <c r="B388" s="32">
        <v>1</v>
      </c>
      <c r="C388" s="32" t="s">
        <v>200</v>
      </c>
      <c r="D388" s="169" t="s">
        <v>201</v>
      </c>
      <c r="E388" s="169" t="s">
        <v>190</v>
      </c>
      <c r="F388" s="32" t="s">
        <v>212</v>
      </c>
      <c r="G388" s="32">
        <v>376</v>
      </c>
      <c r="H388" s="32" t="s">
        <v>165</v>
      </c>
      <c r="I388" s="32">
        <v>5198</v>
      </c>
      <c r="J388" s="36">
        <v>6254.23</v>
      </c>
      <c r="K388" s="32" t="s">
        <v>4142</v>
      </c>
      <c r="L388" s="169" t="s">
        <v>22</v>
      </c>
      <c r="M388" s="32" t="s">
        <v>223</v>
      </c>
    </row>
    <row r="389" spans="1:13" x14ac:dyDescent="0.25">
      <c r="A389" s="168">
        <v>46190</v>
      </c>
      <c r="B389" s="32">
        <v>1</v>
      </c>
      <c r="C389" s="32" t="s">
        <v>286</v>
      </c>
      <c r="D389" s="169" t="s">
        <v>506</v>
      </c>
      <c r="E389" s="169" t="s">
        <v>190</v>
      </c>
      <c r="F389" s="32" t="s">
        <v>198</v>
      </c>
      <c r="G389" s="32">
        <v>70</v>
      </c>
      <c r="H389" s="32" t="s">
        <v>165</v>
      </c>
      <c r="I389" s="32">
        <v>476</v>
      </c>
      <c r="J389" s="36">
        <v>1232.8399999999999</v>
      </c>
      <c r="K389" s="32" t="s">
        <v>4143</v>
      </c>
      <c r="L389" s="169" t="s">
        <v>30</v>
      </c>
      <c r="M389" s="32" t="s">
        <v>224</v>
      </c>
    </row>
    <row r="390" spans="1:13" x14ac:dyDescent="0.25">
      <c r="A390" s="168">
        <v>46190</v>
      </c>
      <c r="B390" s="32">
        <v>1</v>
      </c>
      <c r="C390" s="32" t="s">
        <v>208</v>
      </c>
      <c r="D390" s="169" t="s">
        <v>209</v>
      </c>
      <c r="E390" s="169" t="s">
        <v>190</v>
      </c>
      <c r="F390" s="32" t="s">
        <v>212</v>
      </c>
      <c r="G390" s="32">
        <v>376</v>
      </c>
      <c r="H390" s="32" t="s">
        <v>165</v>
      </c>
      <c r="I390" s="32">
        <v>670</v>
      </c>
      <c r="J390" s="36">
        <v>8061.44</v>
      </c>
      <c r="K390" s="32" t="s">
        <v>4144</v>
      </c>
      <c r="L390" s="169" t="s">
        <v>22</v>
      </c>
      <c r="M390" s="32" t="s">
        <v>223</v>
      </c>
    </row>
    <row r="391" spans="1:13" x14ac:dyDescent="0.25">
      <c r="A391" s="168">
        <v>46190</v>
      </c>
      <c r="B391" s="32">
        <v>1</v>
      </c>
      <c r="C391" s="32" t="s">
        <v>219</v>
      </c>
      <c r="D391" s="169" t="s">
        <v>220</v>
      </c>
      <c r="E391" s="169" t="s">
        <v>163</v>
      </c>
      <c r="F391" s="32" t="s">
        <v>164</v>
      </c>
      <c r="G391" s="32">
        <v>52</v>
      </c>
      <c r="H391" s="32" t="s">
        <v>175</v>
      </c>
      <c r="I391" s="32">
        <v>523</v>
      </c>
      <c r="J391" s="36">
        <v>1006.25</v>
      </c>
      <c r="K391" s="32" t="s">
        <v>4145</v>
      </c>
      <c r="L391" s="169" t="s">
        <v>21</v>
      </c>
      <c r="M391" s="32" t="s">
        <v>224</v>
      </c>
    </row>
    <row r="392" spans="1:13" x14ac:dyDescent="0.25">
      <c r="A392" s="168">
        <v>46190</v>
      </c>
      <c r="B392" s="32">
        <v>1</v>
      </c>
      <c r="C392" s="32" t="s">
        <v>219</v>
      </c>
      <c r="D392" s="169" t="s">
        <v>220</v>
      </c>
      <c r="E392" s="169" t="s">
        <v>163</v>
      </c>
      <c r="F392" s="32" t="s">
        <v>164</v>
      </c>
      <c r="G392" s="32">
        <v>52</v>
      </c>
      <c r="H392" s="32" t="s">
        <v>165</v>
      </c>
      <c r="I392" s="32">
        <v>452</v>
      </c>
      <c r="J392" s="36">
        <v>869.65</v>
      </c>
      <c r="K392" s="32" t="s">
        <v>4146</v>
      </c>
      <c r="L392" s="169" t="s">
        <v>31</v>
      </c>
      <c r="M392" s="32" t="s">
        <v>224</v>
      </c>
    </row>
    <row r="393" spans="1:13" x14ac:dyDescent="0.25">
      <c r="A393" s="168">
        <v>46190</v>
      </c>
      <c r="B393" s="32">
        <v>1</v>
      </c>
      <c r="C393" s="32" t="s">
        <v>193</v>
      </c>
      <c r="D393" s="169" t="s">
        <v>285</v>
      </c>
      <c r="E393" s="169" t="s">
        <v>163</v>
      </c>
      <c r="F393" s="32" t="s">
        <v>164</v>
      </c>
      <c r="G393" s="32">
        <v>52</v>
      </c>
      <c r="H393" s="32" t="s">
        <v>165</v>
      </c>
      <c r="I393" s="32">
        <v>2622</v>
      </c>
      <c r="J393" s="36">
        <v>504.47</v>
      </c>
      <c r="K393" s="32" t="s">
        <v>4111</v>
      </c>
      <c r="L393" s="169" t="s">
        <v>31</v>
      </c>
      <c r="M393" s="32" t="s">
        <v>224</v>
      </c>
    </row>
    <row r="394" spans="1:13" x14ac:dyDescent="0.25">
      <c r="A394" s="168">
        <v>46190</v>
      </c>
      <c r="B394" s="32">
        <v>1</v>
      </c>
      <c r="C394" s="32" t="s">
        <v>193</v>
      </c>
      <c r="D394" s="169" t="s">
        <v>285</v>
      </c>
      <c r="E394" s="169" t="s">
        <v>166</v>
      </c>
      <c r="F394" s="32" t="s">
        <v>164</v>
      </c>
      <c r="G394" s="32">
        <v>58</v>
      </c>
      <c r="H394" s="32" t="s">
        <v>165</v>
      </c>
      <c r="I394" s="32">
        <v>2442</v>
      </c>
      <c r="J394" s="36">
        <v>524.04999999999995</v>
      </c>
      <c r="K394" s="32" t="s">
        <v>4147</v>
      </c>
      <c r="L394" s="169" t="s">
        <v>27</v>
      </c>
      <c r="M394" s="32" t="s">
        <v>224</v>
      </c>
    </row>
    <row r="395" spans="1:13" x14ac:dyDescent="0.25">
      <c r="A395" s="168">
        <v>46190</v>
      </c>
      <c r="B395" s="32">
        <v>1</v>
      </c>
      <c r="C395" s="32" t="s">
        <v>196</v>
      </c>
      <c r="D395" s="169" t="s">
        <v>197</v>
      </c>
      <c r="E395" s="169" t="s">
        <v>190</v>
      </c>
      <c r="F395" s="32" t="s">
        <v>212</v>
      </c>
      <c r="G395" s="32">
        <v>376</v>
      </c>
      <c r="H395" s="32" t="s">
        <v>165</v>
      </c>
      <c r="I395" s="32">
        <v>6655</v>
      </c>
      <c r="J395" s="36">
        <v>8007.3</v>
      </c>
      <c r="K395" s="32" t="s">
        <v>4148</v>
      </c>
      <c r="L395" s="169" t="s">
        <v>22</v>
      </c>
      <c r="M395" s="32" t="s">
        <v>223</v>
      </c>
    </row>
    <row r="396" spans="1:13" x14ac:dyDescent="0.25">
      <c r="A396" s="168">
        <v>46190</v>
      </c>
      <c r="B396" s="32">
        <v>1</v>
      </c>
      <c r="C396" s="32" t="s">
        <v>173</v>
      </c>
      <c r="D396" s="169" t="s">
        <v>174</v>
      </c>
      <c r="E396" s="169" t="s">
        <v>166</v>
      </c>
      <c r="F396" s="32" t="s">
        <v>164</v>
      </c>
      <c r="G396" s="32">
        <v>58</v>
      </c>
      <c r="H396" s="32" t="s">
        <v>165</v>
      </c>
      <c r="I396" s="32">
        <v>2616</v>
      </c>
      <c r="J396" s="36">
        <v>561.39</v>
      </c>
      <c r="K396" s="32" t="s">
        <v>4149</v>
      </c>
      <c r="L396" s="169" t="s">
        <v>27</v>
      </c>
      <c r="M396" s="32" t="s">
        <v>224</v>
      </c>
    </row>
    <row r="397" spans="1:13" x14ac:dyDescent="0.25">
      <c r="A397" s="168">
        <v>46190</v>
      </c>
      <c r="B397" s="32">
        <v>1</v>
      </c>
      <c r="C397" s="32" t="s">
        <v>173</v>
      </c>
      <c r="D397" s="169" t="s">
        <v>174</v>
      </c>
      <c r="E397" s="169" t="s">
        <v>166</v>
      </c>
      <c r="F397" s="32" t="s">
        <v>164</v>
      </c>
      <c r="G397" s="32">
        <v>58</v>
      </c>
      <c r="H397" s="32" t="s">
        <v>165</v>
      </c>
      <c r="I397" s="32">
        <v>2474</v>
      </c>
      <c r="J397" s="36">
        <v>530.91999999999996</v>
      </c>
      <c r="K397" s="32" t="s">
        <v>4150</v>
      </c>
      <c r="L397" s="169" t="s">
        <v>27</v>
      </c>
      <c r="M397" s="32" t="s">
        <v>224</v>
      </c>
    </row>
    <row r="398" spans="1:13" x14ac:dyDescent="0.25">
      <c r="A398" s="168">
        <v>46190</v>
      </c>
      <c r="B398" s="32">
        <v>1</v>
      </c>
      <c r="C398" s="32" t="s">
        <v>173</v>
      </c>
      <c r="D398" s="169" t="s">
        <v>174</v>
      </c>
      <c r="E398" s="169" t="s">
        <v>166</v>
      </c>
      <c r="F398" s="32" t="s">
        <v>164</v>
      </c>
      <c r="G398" s="32">
        <v>58</v>
      </c>
      <c r="H398" s="32" t="s">
        <v>165</v>
      </c>
      <c r="I398" s="32">
        <v>2579</v>
      </c>
      <c r="J398" s="36">
        <v>553.45000000000005</v>
      </c>
      <c r="K398" s="32" t="s">
        <v>4151</v>
      </c>
      <c r="L398" s="169" t="s">
        <v>27</v>
      </c>
      <c r="M398" s="32" t="s">
        <v>224</v>
      </c>
    </row>
    <row r="399" spans="1:13" x14ac:dyDescent="0.25">
      <c r="A399" s="168">
        <v>46190</v>
      </c>
      <c r="B399" s="32">
        <v>1</v>
      </c>
      <c r="C399" s="32" t="s">
        <v>173</v>
      </c>
      <c r="D399" s="169" t="s">
        <v>174</v>
      </c>
      <c r="E399" s="169" t="s">
        <v>166</v>
      </c>
      <c r="F399" s="32" t="s">
        <v>164</v>
      </c>
      <c r="G399" s="32">
        <v>58</v>
      </c>
      <c r="H399" s="32" t="s">
        <v>175</v>
      </c>
      <c r="I399" s="32">
        <v>2872</v>
      </c>
      <c r="J399" s="36">
        <v>616.33000000000004</v>
      </c>
      <c r="K399" s="32" t="s">
        <v>4152</v>
      </c>
      <c r="L399" s="169" t="s">
        <v>86</v>
      </c>
      <c r="M399" s="32" t="s">
        <v>224</v>
      </c>
    </row>
    <row r="400" spans="1:13" x14ac:dyDescent="0.25">
      <c r="A400" s="168">
        <v>46190</v>
      </c>
      <c r="B400" s="32">
        <v>1</v>
      </c>
      <c r="C400" s="32" t="s">
        <v>179</v>
      </c>
      <c r="D400" s="169" t="s">
        <v>2863</v>
      </c>
      <c r="E400" s="169" t="s">
        <v>166</v>
      </c>
      <c r="F400" s="32" t="s">
        <v>164</v>
      </c>
      <c r="G400" s="32">
        <v>58</v>
      </c>
      <c r="H400" s="32" t="s">
        <v>175</v>
      </c>
      <c r="I400" s="32">
        <v>280</v>
      </c>
      <c r="J400" s="36">
        <v>600.88</v>
      </c>
      <c r="K400" s="32" t="s">
        <v>4153</v>
      </c>
      <c r="L400" s="169" t="s">
        <v>86</v>
      </c>
      <c r="M400" s="32" t="s">
        <v>224</v>
      </c>
    </row>
    <row r="401" spans="1:13" x14ac:dyDescent="0.25">
      <c r="A401" s="168">
        <v>46190</v>
      </c>
      <c r="B401" s="32">
        <v>1</v>
      </c>
      <c r="C401" s="32" t="s">
        <v>179</v>
      </c>
      <c r="D401" s="169" t="s">
        <v>2863</v>
      </c>
      <c r="E401" s="169" t="s">
        <v>166</v>
      </c>
      <c r="F401" s="32" t="s">
        <v>164</v>
      </c>
      <c r="G401" s="32">
        <v>58</v>
      </c>
      <c r="H401" s="32" t="s">
        <v>175</v>
      </c>
      <c r="I401" s="32">
        <v>2812</v>
      </c>
      <c r="J401" s="36">
        <v>603.46</v>
      </c>
      <c r="K401" s="32" t="s">
        <v>4154</v>
      </c>
      <c r="L401" s="169" t="s">
        <v>86</v>
      </c>
      <c r="M401" s="32" t="s">
        <v>224</v>
      </c>
    </row>
    <row r="402" spans="1:13" x14ac:dyDescent="0.25">
      <c r="A402" s="168">
        <v>46190</v>
      </c>
      <c r="B402" s="32">
        <v>1</v>
      </c>
      <c r="C402" s="32" t="s">
        <v>179</v>
      </c>
      <c r="D402" s="169" t="s">
        <v>2863</v>
      </c>
      <c r="E402" s="169" t="s">
        <v>166</v>
      </c>
      <c r="F402" s="32" t="s">
        <v>164</v>
      </c>
      <c r="G402" s="32">
        <v>58</v>
      </c>
      <c r="H402" s="32" t="s">
        <v>175</v>
      </c>
      <c r="I402" s="32">
        <v>2952</v>
      </c>
      <c r="J402" s="36">
        <v>633.5</v>
      </c>
      <c r="K402" s="32" t="s">
        <v>4155</v>
      </c>
      <c r="L402" s="169" t="s">
        <v>86</v>
      </c>
      <c r="M402" s="32" t="s">
        <v>224</v>
      </c>
    </row>
    <row r="403" spans="1:13" x14ac:dyDescent="0.25">
      <c r="A403" s="168">
        <v>46190</v>
      </c>
      <c r="B403" s="32">
        <v>1</v>
      </c>
      <c r="C403" s="32" t="s">
        <v>210</v>
      </c>
      <c r="D403" s="169" t="s">
        <v>211</v>
      </c>
      <c r="E403" s="169" t="s">
        <v>190</v>
      </c>
      <c r="F403" s="32" t="s">
        <v>212</v>
      </c>
      <c r="G403" s="32">
        <v>376</v>
      </c>
      <c r="H403" s="32" t="s">
        <v>165</v>
      </c>
      <c r="I403" s="32">
        <v>6096</v>
      </c>
      <c r="J403" s="36">
        <v>7334.71</v>
      </c>
      <c r="K403" s="32" t="s">
        <v>4156</v>
      </c>
      <c r="L403" s="169" t="s">
        <v>22</v>
      </c>
      <c r="M403" s="32" t="s">
        <v>223</v>
      </c>
    </row>
    <row r="404" spans="1:13" x14ac:dyDescent="0.25">
      <c r="A404" s="168">
        <v>46190</v>
      </c>
      <c r="B404" s="32">
        <v>1</v>
      </c>
      <c r="C404" s="32" t="s">
        <v>1948</v>
      </c>
      <c r="D404" s="169" t="s">
        <v>1949</v>
      </c>
      <c r="E404" s="169" t="s">
        <v>190</v>
      </c>
      <c r="F404" s="32" t="s">
        <v>212</v>
      </c>
      <c r="G404" s="32">
        <v>376</v>
      </c>
      <c r="H404" s="32" t="s">
        <v>165</v>
      </c>
      <c r="I404" s="32">
        <v>519</v>
      </c>
      <c r="J404" s="36">
        <v>6244.61</v>
      </c>
      <c r="K404" s="32" t="s">
        <v>4157</v>
      </c>
      <c r="L404" s="169" t="s">
        <v>22</v>
      </c>
      <c r="M404" s="32" t="s">
        <v>223</v>
      </c>
    </row>
    <row r="405" spans="1:13" x14ac:dyDescent="0.25">
      <c r="A405" s="168">
        <v>46191</v>
      </c>
      <c r="B405" s="32">
        <v>1</v>
      </c>
      <c r="C405" s="32" t="s">
        <v>203</v>
      </c>
      <c r="D405" s="169" t="s">
        <v>204</v>
      </c>
      <c r="E405" s="169" t="s">
        <v>190</v>
      </c>
      <c r="F405" s="32" t="s">
        <v>212</v>
      </c>
      <c r="G405" s="32">
        <v>376</v>
      </c>
      <c r="H405" s="32" t="s">
        <v>165</v>
      </c>
      <c r="I405" s="32">
        <v>546</v>
      </c>
      <c r="J405" s="36">
        <v>6569.47</v>
      </c>
      <c r="K405" s="32" t="s">
        <v>4158</v>
      </c>
      <c r="L405" s="169" t="s">
        <v>22</v>
      </c>
      <c r="M405" s="32" t="s">
        <v>223</v>
      </c>
    </row>
    <row r="406" spans="1:13" x14ac:dyDescent="0.25">
      <c r="A406" s="168">
        <v>46191</v>
      </c>
      <c r="B406" s="32">
        <v>1</v>
      </c>
      <c r="C406" s="32" t="s">
        <v>192</v>
      </c>
      <c r="D406" s="169" t="s">
        <v>287</v>
      </c>
      <c r="E406" s="169" t="s">
        <v>163</v>
      </c>
      <c r="F406" s="32" t="s">
        <v>164</v>
      </c>
      <c r="G406" s="32">
        <v>52</v>
      </c>
      <c r="H406" s="32" t="s">
        <v>165</v>
      </c>
      <c r="I406" s="32">
        <v>6501</v>
      </c>
      <c r="J406" s="36">
        <v>1250.79</v>
      </c>
      <c r="K406" s="32" t="s">
        <v>4159</v>
      </c>
      <c r="L406" s="169" t="s">
        <v>31</v>
      </c>
      <c r="M406" s="32" t="s">
        <v>224</v>
      </c>
    </row>
    <row r="407" spans="1:13" x14ac:dyDescent="0.25">
      <c r="A407" s="168">
        <v>46191</v>
      </c>
      <c r="B407" s="32">
        <v>1</v>
      </c>
      <c r="C407" s="32" t="s">
        <v>167</v>
      </c>
      <c r="D407" s="169" t="s">
        <v>168</v>
      </c>
      <c r="E407" s="169" t="s">
        <v>163</v>
      </c>
      <c r="F407" s="32" t="s">
        <v>164</v>
      </c>
      <c r="G407" s="32">
        <v>52</v>
      </c>
      <c r="H407" s="32" t="s">
        <v>175</v>
      </c>
      <c r="I407" s="32">
        <v>2658</v>
      </c>
      <c r="J407" s="36">
        <v>511.4</v>
      </c>
      <c r="K407" s="32" t="s">
        <v>4160</v>
      </c>
      <c r="L407" s="169" t="s">
        <v>21</v>
      </c>
      <c r="M407" s="32" t="s">
        <v>224</v>
      </c>
    </row>
    <row r="408" spans="1:13" x14ac:dyDescent="0.25">
      <c r="A408" s="168">
        <v>46191</v>
      </c>
      <c r="B408" s="32">
        <v>1</v>
      </c>
      <c r="C408" s="32" t="s">
        <v>167</v>
      </c>
      <c r="D408" s="169" t="s">
        <v>168</v>
      </c>
      <c r="E408" s="169" t="s">
        <v>166</v>
      </c>
      <c r="F408" s="32" t="s">
        <v>111</v>
      </c>
      <c r="G408" s="32">
        <v>79</v>
      </c>
      <c r="H408" s="32" t="s">
        <v>169</v>
      </c>
      <c r="I408" s="32">
        <v>2642</v>
      </c>
      <c r="J408" s="36">
        <v>772.26</v>
      </c>
      <c r="K408" s="32" t="s">
        <v>4161</v>
      </c>
      <c r="L408" s="169" t="s">
        <v>116</v>
      </c>
      <c r="M408" s="32" t="s">
        <v>111</v>
      </c>
    </row>
    <row r="409" spans="1:13" x14ac:dyDescent="0.25">
      <c r="A409" s="168">
        <v>46191</v>
      </c>
      <c r="B409" s="32">
        <v>1</v>
      </c>
      <c r="C409" s="32" t="s">
        <v>283</v>
      </c>
      <c r="D409" s="169" t="s">
        <v>282</v>
      </c>
      <c r="E409" s="169" t="s">
        <v>166</v>
      </c>
      <c r="F409" s="32" t="s">
        <v>1178</v>
      </c>
      <c r="G409" s="32">
        <v>51</v>
      </c>
      <c r="H409" s="32" t="s">
        <v>169</v>
      </c>
      <c r="I409" s="32">
        <v>2734</v>
      </c>
      <c r="J409" s="36">
        <v>515.91</v>
      </c>
      <c r="K409" s="32" t="s">
        <v>4162</v>
      </c>
      <c r="L409" s="169" t="s">
        <v>3744</v>
      </c>
      <c r="M409" s="32" t="s">
        <v>1178</v>
      </c>
    </row>
    <row r="410" spans="1:13" x14ac:dyDescent="0.25">
      <c r="A410" s="168">
        <v>46191</v>
      </c>
      <c r="B410" s="32">
        <v>1</v>
      </c>
      <c r="C410" s="32" t="s">
        <v>270</v>
      </c>
      <c r="D410" s="169" t="s">
        <v>288</v>
      </c>
      <c r="E410" s="169" t="s">
        <v>3980</v>
      </c>
      <c r="F410" s="32" t="s">
        <v>2868</v>
      </c>
      <c r="G410" s="32">
        <v>550</v>
      </c>
      <c r="H410" s="32" t="s">
        <v>3981</v>
      </c>
      <c r="I410" s="32">
        <v>1458</v>
      </c>
      <c r="J410" s="36">
        <v>2566.08</v>
      </c>
      <c r="K410" s="32" t="s">
        <v>4163</v>
      </c>
      <c r="L410" s="169" t="s">
        <v>3983</v>
      </c>
      <c r="M410" s="32" t="s">
        <v>157</v>
      </c>
    </row>
    <row r="411" spans="1:13" x14ac:dyDescent="0.25">
      <c r="A411" s="168">
        <v>46191</v>
      </c>
      <c r="B411" s="32">
        <v>1</v>
      </c>
      <c r="C411" s="32" t="s">
        <v>167</v>
      </c>
      <c r="D411" s="169" t="s">
        <v>168</v>
      </c>
      <c r="E411" s="169" t="s">
        <v>166</v>
      </c>
      <c r="F411" s="32" t="s">
        <v>111</v>
      </c>
      <c r="G411" s="32">
        <v>79</v>
      </c>
      <c r="H411" s="32" t="s">
        <v>169</v>
      </c>
      <c r="I411" s="32">
        <v>2644</v>
      </c>
      <c r="J411" s="36">
        <v>772.84</v>
      </c>
      <c r="K411" s="32" t="s">
        <v>4164</v>
      </c>
      <c r="L411" s="169" t="s">
        <v>116</v>
      </c>
      <c r="M411" s="32" t="s">
        <v>111</v>
      </c>
    </row>
    <row r="412" spans="1:13" x14ac:dyDescent="0.25">
      <c r="A412" s="168">
        <v>46191</v>
      </c>
      <c r="B412" s="32">
        <v>1</v>
      </c>
      <c r="C412" s="32" t="s">
        <v>188</v>
      </c>
      <c r="D412" s="169" t="s">
        <v>189</v>
      </c>
      <c r="E412" s="169" t="s">
        <v>190</v>
      </c>
      <c r="F412" s="32" t="s">
        <v>4065</v>
      </c>
      <c r="G412" s="32">
        <v>304</v>
      </c>
      <c r="H412" s="32" t="s">
        <v>165</v>
      </c>
      <c r="I412" s="32">
        <v>6302</v>
      </c>
      <c r="J412" s="36">
        <v>6130.59</v>
      </c>
      <c r="K412" s="32" t="s">
        <v>4165</v>
      </c>
      <c r="L412" s="169" t="s">
        <v>4067</v>
      </c>
      <c r="M412" s="32" t="s">
        <v>223</v>
      </c>
    </row>
    <row r="413" spans="1:13" x14ac:dyDescent="0.25">
      <c r="A413" s="168">
        <v>46191</v>
      </c>
      <c r="B413" s="32">
        <v>1</v>
      </c>
      <c r="C413" s="32" t="s">
        <v>2866</v>
      </c>
      <c r="D413" s="169" t="s">
        <v>281</v>
      </c>
      <c r="E413" s="169" t="s">
        <v>166</v>
      </c>
      <c r="F413" s="32" t="s">
        <v>164</v>
      </c>
      <c r="G413" s="32">
        <v>58</v>
      </c>
      <c r="H413" s="32" t="s">
        <v>165</v>
      </c>
      <c r="I413" s="32">
        <v>2686</v>
      </c>
      <c r="J413" s="36">
        <v>576.41999999999996</v>
      </c>
      <c r="K413" s="32" t="s">
        <v>4166</v>
      </c>
      <c r="L413" s="169" t="s">
        <v>27</v>
      </c>
      <c r="M413" s="32" t="s">
        <v>224</v>
      </c>
    </row>
    <row r="414" spans="1:13" x14ac:dyDescent="0.25">
      <c r="A414" s="168">
        <v>46191</v>
      </c>
      <c r="B414" s="32">
        <v>1</v>
      </c>
      <c r="C414" s="32" t="s">
        <v>342</v>
      </c>
      <c r="D414" s="169" t="s">
        <v>171</v>
      </c>
      <c r="E414" s="169" t="s">
        <v>163</v>
      </c>
      <c r="F414" s="32" t="s">
        <v>164</v>
      </c>
      <c r="G414" s="32">
        <v>52</v>
      </c>
      <c r="H414" s="32" t="s">
        <v>185</v>
      </c>
      <c r="I414" s="32">
        <v>4592</v>
      </c>
      <c r="J414" s="36">
        <v>883.5</v>
      </c>
      <c r="K414" s="32" t="s">
        <v>4167</v>
      </c>
      <c r="L414" s="169" t="s">
        <v>20</v>
      </c>
      <c r="M414" s="32" t="s">
        <v>224</v>
      </c>
    </row>
    <row r="415" spans="1:13" x14ac:dyDescent="0.25">
      <c r="A415" s="168">
        <v>46191</v>
      </c>
      <c r="B415" s="32">
        <v>1</v>
      </c>
      <c r="C415" s="32" t="s">
        <v>219</v>
      </c>
      <c r="D415" s="169" t="s">
        <v>220</v>
      </c>
      <c r="E415" s="169" t="s">
        <v>163</v>
      </c>
      <c r="F415" s="32" t="s">
        <v>164</v>
      </c>
      <c r="G415" s="32">
        <v>52</v>
      </c>
      <c r="H415" s="32" t="s">
        <v>175</v>
      </c>
      <c r="I415" s="32">
        <v>785</v>
      </c>
      <c r="J415" s="36">
        <v>1510.34</v>
      </c>
      <c r="K415" s="32" t="s">
        <v>452</v>
      </c>
      <c r="L415" s="169" t="s">
        <v>21</v>
      </c>
      <c r="M415" s="32" t="s">
        <v>224</v>
      </c>
    </row>
    <row r="416" spans="1:13" x14ac:dyDescent="0.25">
      <c r="A416" s="168">
        <v>46191</v>
      </c>
      <c r="B416" s="32">
        <v>1</v>
      </c>
      <c r="C416" s="32" t="s">
        <v>173</v>
      </c>
      <c r="D416" s="169" t="s">
        <v>174</v>
      </c>
      <c r="E416" s="169" t="s">
        <v>166</v>
      </c>
      <c r="F416" s="32" t="s">
        <v>111</v>
      </c>
      <c r="G416" s="32">
        <v>79</v>
      </c>
      <c r="H416" s="32" t="s">
        <v>169</v>
      </c>
      <c r="I416" s="32">
        <v>254</v>
      </c>
      <c r="J416" s="36">
        <v>742.44</v>
      </c>
      <c r="K416" s="32" t="s">
        <v>4168</v>
      </c>
      <c r="L416" s="169" t="s">
        <v>116</v>
      </c>
      <c r="M416" s="32" t="s">
        <v>111</v>
      </c>
    </row>
    <row r="417" spans="1:13" x14ac:dyDescent="0.25">
      <c r="A417" s="168">
        <v>46191</v>
      </c>
      <c r="B417" s="32">
        <v>1</v>
      </c>
      <c r="C417" s="32" t="s">
        <v>173</v>
      </c>
      <c r="D417" s="169" t="s">
        <v>174</v>
      </c>
      <c r="E417" s="169" t="s">
        <v>166</v>
      </c>
      <c r="F417" s="32" t="s">
        <v>111</v>
      </c>
      <c r="G417" s="32">
        <v>79</v>
      </c>
      <c r="H417" s="32" t="s">
        <v>169</v>
      </c>
      <c r="I417" s="32">
        <v>2542</v>
      </c>
      <c r="J417" s="36">
        <v>743.03</v>
      </c>
      <c r="K417" s="32" t="s">
        <v>4169</v>
      </c>
      <c r="L417" s="169" t="s">
        <v>116</v>
      </c>
      <c r="M417" s="32" t="s">
        <v>111</v>
      </c>
    </row>
    <row r="418" spans="1:13" x14ac:dyDescent="0.25">
      <c r="A418" s="168">
        <v>46191</v>
      </c>
      <c r="B418" s="32">
        <v>1</v>
      </c>
      <c r="C418" s="32" t="s">
        <v>192</v>
      </c>
      <c r="D418" s="169" t="s">
        <v>287</v>
      </c>
      <c r="E418" s="169" t="s">
        <v>163</v>
      </c>
      <c r="F418" s="32" t="s">
        <v>164</v>
      </c>
      <c r="G418" s="32">
        <v>52</v>
      </c>
      <c r="H418" s="32" t="s">
        <v>165</v>
      </c>
      <c r="I418" s="32">
        <v>4664</v>
      </c>
      <c r="J418" s="36">
        <v>897.35</v>
      </c>
      <c r="K418" s="32" t="s">
        <v>4170</v>
      </c>
      <c r="L418" s="169" t="s">
        <v>31</v>
      </c>
      <c r="M418" s="32" t="s">
        <v>224</v>
      </c>
    </row>
    <row r="419" spans="1:13" x14ac:dyDescent="0.25">
      <c r="A419" s="168">
        <v>46191</v>
      </c>
      <c r="B419" s="32">
        <v>1</v>
      </c>
      <c r="C419" s="32" t="s">
        <v>181</v>
      </c>
      <c r="D419" s="169" t="s">
        <v>182</v>
      </c>
      <c r="E419" s="169" t="s">
        <v>166</v>
      </c>
      <c r="F419" s="32" t="s">
        <v>111</v>
      </c>
      <c r="G419" s="32">
        <v>79</v>
      </c>
      <c r="H419" s="32" t="s">
        <v>169</v>
      </c>
      <c r="I419" s="32">
        <v>2536</v>
      </c>
      <c r="J419" s="36">
        <v>741.27</v>
      </c>
      <c r="K419" s="32" t="s">
        <v>4171</v>
      </c>
      <c r="L419" s="169" t="s">
        <v>116</v>
      </c>
      <c r="M419" s="32" t="s">
        <v>111</v>
      </c>
    </row>
    <row r="420" spans="1:13" x14ac:dyDescent="0.25">
      <c r="A420" s="168">
        <v>46191</v>
      </c>
      <c r="B420" s="32">
        <v>1</v>
      </c>
      <c r="C420" s="32" t="s">
        <v>283</v>
      </c>
      <c r="D420" s="169" t="s">
        <v>282</v>
      </c>
      <c r="E420" s="169" t="s">
        <v>166</v>
      </c>
      <c r="F420" s="32" t="s">
        <v>1178</v>
      </c>
      <c r="G420" s="32">
        <v>51</v>
      </c>
      <c r="H420" s="32" t="s">
        <v>169</v>
      </c>
      <c r="I420" s="32">
        <v>2753</v>
      </c>
      <c r="J420" s="36">
        <v>519.49</v>
      </c>
      <c r="K420" s="32" t="s">
        <v>4172</v>
      </c>
      <c r="L420" s="169" t="s">
        <v>3744</v>
      </c>
      <c r="M420" s="32" t="s">
        <v>1178</v>
      </c>
    </row>
    <row r="421" spans="1:13" x14ac:dyDescent="0.25">
      <c r="A421" s="168">
        <v>46191</v>
      </c>
      <c r="B421" s="32">
        <v>1</v>
      </c>
      <c r="C421" s="32" t="s">
        <v>202</v>
      </c>
      <c r="D421" s="169" t="s">
        <v>214</v>
      </c>
      <c r="E421" s="169" t="s">
        <v>190</v>
      </c>
      <c r="F421" s="32" t="s">
        <v>212</v>
      </c>
      <c r="G421" s="32">
        <v>376</v>
      </c>
      <c r="H421" s="32" t="s">
        <v>165</v>
      </c>
      <c r="I421" s="32">
        <v>665</v>
      </c>
      <c r="J421" s="36">
        <v>8001.28</v>
      </c>
      <c r="K421" s="32" t="s">
        <v>4173</v>
      </c>
      <c r="L421" s="169" t="s">
        <v>22</v>
      </c>
      <c r="M421" s="32" t="s">
        <v>223</v>
      </c>
    </row>
    <row r="422" spans="1:13" x14ac:dyDescent="0.25">
      <c r="A422" s="168">
        <v>46191</v>
      </c>
      <c r="B422" s="32">
        <v>1</v>
      </c>
      <c r="C422" s="32" t="s">
        <v>183</v>
      </c>
      <c r="D422" s="169" t="s">
        <v>184</v>
      </c>
      <c r="E422" s="169" t="s">
        <v>166</v>
      </c>
      <c r="F422" s="32" t="s">
        <v>111</v>
      </c>
      <c r="G422" s="32">
        <v>79</v>
      </c>
      <c r="H422" s="32" t="s">
        <v>169</v>
      </c>
      <c r="I422" s="32">
        <v>273</v>
      </c>
      <c r="J422" s="36">
        <v>797.98</v>
      </c>
      <c r="K422" s="32" t="s">
        <v>4174</v>
      </c>
      <c r="L422" s="169" t="s">
        <v>116</v>
      </c>
      <c r="M422" s="32" t="s">
        <v>111</v>
      </c>
    </row>
    <row r="423" spans="1:13" x14ac:dyDescent="0.25">
      <c r="A423" s="168">
        <v>46191</v>
      </c>
      <c r="B423" s="32">
        <v>1</v>
      </c>
      <c r="C423" s="32" t="s">
        <v>183</v>
      </c>
      <c r="D423" s="169" t="s">
        <v>184</v>
      </c>
      <c r="E423" s="169" t="s">
        <v>163</v>
      </c>
      <c r="F423" s="32" t="s">
        <v>164</v>
      </c>
      <c r="G423" s="32">
        <v>52</v>
      </c>
      <c r="H423" s="32" t="s">
        <v>175</v>
      </c>
      <c r="I423" s="32">
        <v>2797</v>
      </c>
      <c r="J423" s="36">
        <v>538.14</v>
      </c>
      <c r="K423" s="32" t="s">
        <v>4064</v>
      </c>
      <c r="L423" s="169" t="s">
        <v>21</v>
      </c>
      <c r="M423" s="32" t="s">
        <v>224</v>
      </c>
    </row>
    <row r="424" spans="1:13" x14ac:dyDescent="0.25">
      <c r="A424" s="168">
        <v>46191</v>
      </c>
      <c r="B424" s="32">
        <v>1</v>
      </c>
      <c r="C424" s="32" t="s">
        <v>286</v>
      </c>
      <c r="D424" s="169" t="s">
        <v>506</v>
      </c>
      <c r="E424" s="169" t="s">
        <v>166</v>
      </c>
      <c r="F424" s="32" t="s">
        <v>164</v>
      </c>
      <c r="G424" s="32">
        <v>58</v>
      </c>
      <c r="H424" s="32" t="s">
        <v>165</v>
      </c>
      <c r="I424" s="32">
        <v>447</v>
      </c>
      <c r="J424" s="36">
        <v>959.26</v>
      </c>
      <c r="K424" s="32" t="s">
        <v>4175</v>
      </c>
      <c r="L424" s="169" t="s">
        <v>27</v>
      </c>
      <c r="M424" s="32" t="s">
        <v>224</v>
      </c>
    </row>
    <row r="425" spans="1:13" x14ac:dyDescent="0.25">
      <c r="A425" s="168">
        <v>46191</v>
      </c>
      <c r="B425" s="32">
        <v>1</v>
      </c>
      <c r="C425" s="32" t="s">
        <v>173</v>
      </c>
      <c r="D425" s="169" t="s">
        <v>174</v>
      </c>
      <c r="E425" s="169" t="s">
        <v>166</v>
      </c>
      <c r="F425" s="32" t="s">
        <v>111</v>
      </c>
      <c r="G425" s="32">
        <v>79</v>
      </c>
      <c r="H425" s="32" t="s">
        <v>169</v>
      </c>
      <c r="I425" s="32">
        <v>2504</v>
      </c>
      <c r="J425" s="36">
        <v>731.92</v>
      </c>
      <c r="K425" s="32" t="s">
        <v>4176</v>
      </c>
      <c r="L425" s="169" t="s">
        <v>116</v>
      </c>
      <c r="M425" s="32" t="s">
        <v>111</v>
      </c>
    </row>
    <row r="426" spans="1:13" x14ac:dyDescent="0.25">
      <c r="A426" s="168">
        <v>46191</v>
      </c>
      <c r="B426" s="32">
        <v>1</v>
      </c>
      <c r="C426" s="32" t="s">
        <v>173</v>
      </c>
      <c r="D426" s="169" t="s">
        <v>174</v>
      </c>
      <c r="E426" s="169" t="s">
        <v>166</v>
      </c>
      <c r="F426" s="32" t="s">
        <v>111</v>
      </c>
      <c r="G426" s="32">
        <v>79</v>
      </c>
      <c r="H426" s="32" t="s">
        <v>169</v>
      </c>
      <c r="I426" s="32">
        <v>2576</v>
      </c>
      <c r="J426" s="36">
        <v>752.96</v>
      </c>
      <c r="K426" s="32" t="s">
        <v>4177</v>
      </c>
      <c r="L426" s="169" t="s">
        <v>116</v>
      </c>
      <c r="M426" s="32" t="s">
        <v>111</v>
      </c>
    </row>
    <row r="427" spans="1:13" x14ac:dyDescent="0.25">
      <c r="A427" s="168">
        <v>46191</v>
      </c>
      <c r="B427" s="32">
        <v>1</v>
      </c>
      <c r="C427" s="32" t="s">
        <v>193</v>
      </c>
      <c r="D427" s="169" t="s">
        <v>285</v>
      </c>
      <c r="E427" s="169" t="s">
        <v>166</v>
      </c>
      <c r="F427" s="32" t="s">
        <v>111</v>
      </c>
      <c r="G427" s="32">
        <v>79</v>
      </c>
      <c r="H427" s="32" t="s">
        <v>169</v>
      </c>
      <c r="I427" s="32">
        <v>287</v>
      </c>
      <c r="J427" s="36">
        <v>838.9</v>
      </c>
      <c r="K427" s="32" t="s">
        <v>4178</v>
      </c>
      <c r="L427" s="169" t="s">
        <v>116</v>
      </c>
      <c r="M427" s="32" t="s">
        <v>111</v>
      </c>
    </row>
    <row r="428" spans="1:13" x14ac:dyDescent="0.25">
      <c r="A428" s="168">
        <v>46191</v>
      </c>
      <c r="B428" s="32">
        <v>1</v>
      </c>
      <c r="C428" s="32" t="s">
        <v>193</v>
      </c>
      <c r="D428" s="169" t="s">
        <v>285</v>
      </c>
      <c r="E428" s="169" t="s">
        <v>166</v>
      </c>
      <c r="F428" s="32" t="s">
        <v>111</v>
      </c>
      <c r="G428" s="32">
        <v>79</v>
      </c>
      <c r="H428" s="32" t="s">
        <v>169</v>
      </c>
      <c r="I428" s="32">
        <v>2884</v>
      </c>
      <c r="J428" s="36">
        <v>842.99</v>
      </c>
      <c r="K428" s="32" t="s">
        <v>4179</v>
      </c>
      <c r="L428" s="169" t="s">
        <v>116</v>
      </c>
      <c r="M428" s="32" t="s">
        <v>111</v>
      </c>
    </row>
    <row r="429" spans="1:13" x14ac:dyDescent="0.25">
      <c r="A429" s="168">
        <v>46191</v>
      </c>
      <c r="B429" s="32">
        <v>1</v>
      </c>
      <c r="C429" s="32" t="s">
        <v>205</v>
      </c>
      <c r="D429" s="169" t="s">
        <v>206</v>
      </c>
      <c r="E429" s="169" t="s">
        <v>2757</v>
      </c>
      <c r="F429" s="32" t="s">
        <v>2758</v>
      </c>
      <c r="G429" s="32">
        <v>200</v>
      </c>
      <c r="H429" s="32" t="s">
        <v>185</v>
      </c>
      <c r="I429" s="32">
        <v>480</v>
      </c>
      <c r="J429" s="36">
        <v>3072</v>
      </c>
      <c r="K429" s="32" t="s">
        <v>4180</v>
      </c>
      <c r="L429" s="169" t="s">
        <v>4181</v>
      </c>
      <c r="M429" s="32" t="s">
        <v>15</v>
      </c>
    </row>
    <row r="430" spans="1:13" x14ac:dyDescent="0.25">
      <c r="A430" s="168">
        <v>46191</v>
      </c>
      <c r="B430" s="32">
        <v>1</v>
      </c>
      <c r="C430" s="32" t="s">
        <v>219</v>
      </c>
      <c r="D430" s="169" t="s">
        <v>220</v>
      </c>
      <c r="E430" s="169" t="s">
        <v>163</v>
      </c>
      <c r="F430" s="32" t="s">
        <v>164</v>
      </c>
      <c r="G430" s="32">
        <v>52</v>
      </c>
      <c r="H430" s="32" t="s">
        <v>175</v>
      </c>
      <c r="I430" s="32">
        <v>545</v>
      </c>
      <c r="J430" s="36">
        <v>1048.58</v>
      </c>
      <c r="K430" s="32" t="s">
        <v>4182</v>
      </c>
      <c r="L430" s="169" t="s">
        <v>21</v>
      </c>
      <c r="M430" s="32" t="s">
        <v>224</v>
      </c>
    </row>
    <row r="431" spans="1:13" x14ac:dyDescent="0.25">
      <c r="A431" s="168">
        <v>46191</v>
      </c>
      <c r="B431" s="32">
        <v>1</v>
      </c>
      <c r="C431" s="32" t="s">
        <v>1129</v>
      </c>
      <c r="D431" s="169" t="s">
        <v>2396</v>
      </c>
      <c r="E431" s="169" t="s">
        <v>166</v>
      </c>
      <c r="F431" s="32" t="s">
        <v>164</v>
      </c>
      <c r="G431" s="32">
        <v>58</v>
      </c>
      <c r="H431" s="32" t="s">
        <v>165</v>
      </c>
      <c r="I431" s="32">
        <v>2704</v>
      </c>
      <c r="J431" s="36">
        <v>580.28</v>
      </c>
      <c r="K431" s="32" t="s">
        <v>4183</v>
      </c>
      <c r="L431" s="169" t="s">
        <v>27</v>
      </c>
      <c r="M431" s="32" t="s">
        <v>224</v>
      </c>
    </row>
    <row r="432" spans="1:13" x14ac:dyDescent="0.25">
      <c r="A432" s="168">
        <v>46191</v>
      </c>
      <c r="B432" s="32">
        <v>1</v>
      </c>
      <c r="C432" s="32" t="s">
        <v>1129</v>
      </c>
      <c r="D432" s="169" t="s">
        <v>2396</v>
      </c>
      <c r="E432" s="169" t="s">
        <v>166</v>
      </c>
      <c r="F432" s="32" t="s">
        <v>164</v>
      </c>
      <c r="G432" s="32">
        <v>58</v>
      </c>
      <c r="H432" s="32" t="s">
        <v>165</v>
      </c>
      <c r="I432" s="32">
        <v>2668</v>
      </c>
      <c r="J432" s="36">
        <v>572.54999999999995</v>
      </c>
      <c r="K432" s="32" t="s">
        <v>4184</v>
      </c>
      <c r="L432" s="169" t="s">
        <v>27</v>
      </c>
      <c r="M432" s="32" t="s">
        <v>224</v>
      </c>
    </row>
    <row r="433" spans="1:13" x14ac:dyDescent="0.25">
      <c r="A433" s="168">
        <v>46191</v>
      </c>
      <c r="B433" s="32">
        <v>1</v>
      </c>
      <c r="C433" s="32" t="s">
        <v>186</v>
      </c>
      <c r="D433" s="169" t="s">
        <v>187</v>
      </c>
      <c r="E433" s="169" t="s">
        <v>291</v>
      </c>
      <c r="F433" s="32" t="s">
        <v>2087</v>
      </c>
      <c r="G433" s="32">
        <v>200</v>
      </c>
      <c r="H433" s="32" t="s">
        <v>207</v>
      </c>
      <c r="I433" s="32">
        <v>5718</v>
      </c>
      <c r="J433" s="36">
        <v>4231.32</v>
      </c>
      <c r="K433" s="32" t="s">
        <v>4185</v>
      </c>
      <c r="L433" s="169" t="s">
        <v>4186</v>
      </c>
      <c r="M433" s="32" t="s">
        <v>15</v>
      </c>
    </row>
    <row r="434" spans="1:13" x14ac:dyDescent="0.25">
      <c r="A434" s="168">
        <v>46191</v>
      </c>
      <c r="B434" s="32">
        <v>1</v>
      </c>
      <c r="C434" s="32" t="s">
        <v>179</v>
      </c>
      <c r="D434" s="169" t="s">
        <v>2863</v>
      </c>
      <c r="E434" s="169" t="s">
        <v>166</v>
      </c>
      <c r="F434" s="32" t="s">
        <v>111</v>
      </c>
      <c r="G434" s="32">
        <v>79</v>
      </c>
      <c r="H434" s="32" t="s">
        <v>169</v>
      </c>
      <c r="I434" s="32">
        <v>2742</v>
      </c>
      <c r="J434" s="36">
        <v>801.49</v>
      </c>
      <c r="K434" s="32" t="s">
        <v>4187</v>
      </c>
      <c r="L434" s="169" t="s">
        <v>116</v>
      </c>
      <c r="M434" s="32" t="s">
        <v>111</v>
      </c>
    </row>
    <row r="435" spans="1:13" x14ac:dyDescent="0.25">
      <c r="A435" s="168">
        <v>46192</v>
      </c>
      <c r="B435" s="32">
        <v>1</v>
      </c>
      <c r="C435" s="32" t="s">
        <v>196</v>
      </c>
      <c r="D435" s="169" t="s">
        <v>197</v>
      </c>
      <c r="E435" s="169" t="s">
        <v>190</v>
      </c>
      <c r="F435" s="32" t="s">
        <v>212</v>
      </c>
      <c r="G435" s="32">
        <v>376</v>
      </c>
      <c r="H435" s="32" t="s">
        <v>165</v>
      </c>
      <c r="I435" s="32">
        <v>6376</v>
      </c>
      <c r="J435" s="36">
        <v>7671.6</v>
      </c>
      <c r="K435" s="32" t="s">
        <v>4188</v>
      </c>
      <c r="L435" s="169" t="s">
        <v>22</v>
      </c>
      <c r="M435" s="32" t="s">
        <v>223</v>
      </c>
    </row>
    <row r="436" spans="1:13" x14ac:dyDescent="0.25">
      <c r="A436" s="168">
        <v>46192</v>
      </c>
      <c r="B436" s="32">
        <v>1</v>
      </c>
      <c r="C436" s="32" t="s">
        <v>176</v>
      </c>
      <c r="D436" s="169" t="s">
        <v>177</v>
      </c>
      <c r="E436" s="169" t="s">
        <v>190</v>
      </c>
      <c r="F436" s="32" t="s">
        <v>212</v>
      </c>
      <c r="G436" s="32">
        <v>376</v>
      </c>
      <c r="H436" s="32" t="s">
        <v>165</v>
      </c>
      <c r="I436" s="32">
        <v>490</v>
      </c>
      <c r="J436" s="36">
        <v>5895.68</v>
      </c>
      <c r="K436" s="32" t="s">
        <v>4189</v>
      </c>
      <c r="L436" s="169" t="s">
        <v>22</v>
      </c>
      <c r="M436" s="32" t="s">
        <v>223</v>
      </c>
    </row>
    <row r="437" spans="1:13" x14ac:dyDescent="0.25">
      <c r="A437" s="168">
        <v>46192</v>
      </c>
      <c r="B437" s="32">
        <v>1</v>
      </c>
      <c r="C437" s="32" t="s">
        <v>2866</v>
      </c>
      <c r="D437" s="169" t="s">
        <v>281</v>
      </c>
      <c r="E437" s="169" t="s">
        <v>166</v>
      </c>
      <c r="F437" s="32" t="s">
        <v>164</v>
      </c>
      <c r="G437" s="32">
        <v>58</v>
      </c>
      <c r="H437" s="32" t="s">
        <v>165</v>
      </c>
      <c r="I437" s="32">
        <v>2732</v>
      </c>
      <c r="J437" s="36">
        <v>586.29</v>
      </c>
      <c r="K437" s="32" t="s">
        <v>4190</v>
      </c>
      <c r="L437" s="169" t="s">
        <v>27</v>
      </c>
      <c r="M437" s="32" t="s">
        <v>224</v>
      </c>
    </row>
    <row r="438" spans="1:13" x14ac:dyDescent="0.25">
      <c r="A438" s="168">
        <v>46192</v>
      </c>
      <c r="B438" s="32">
        <v>1</v>
      </c>
      <c r="C438" s="32" t="s">
        <v>167</v>
      </c>
      <c r="D438" s="169" t="s">
        <v>168</v>
      </c>
      <c r="E438" s="169" t="s">
        <v>166</v>
      </c>
      <c r="F438" s="32" t="s">
        <v>164</v>
      </c>
      <c r="G438" s="32">
        <v>58</v>
      </c>
      <c r="H438" s="32" t="s">
        <v>195</v>
      </c>
      <c r="I438" s="32">
        <v>287</v>
      </c>
      <c r="J438" s="36">
        <v>615.9</v>
      </c>
      <c r="K438" s="32" t="s">
        <v>4191</v>
      </c>
      <c r="L438" s="169" t="s">
        <v>91</v>
      </c>
      <c r="M438" s="32" t="s">
        <v>224</v>
      </c>
    </row>
    <row r="439" spans="1:13" x14ac:dyDescent="0.25">
      <c r="A439" s="168">
        <v>46192</v>
      </c>
      <c r="B439" s="32">
        <v>1</v>
      </c>
      <c r="C439" s="32" t="s">
        <v>219</v>
      </c>
      <c r="D439" s="169" t="s">
        <v>220</v>
      </c>
      <c r="E439" s="169" t="s">
        <v>163</v>
      </c>
      <c r="F439" s="32" t="s">
        <v>164</v>
      </c>
      <c r="G439" s="32">
        <v>52</v>
      </c>
      <c r="H439" s="32" t="s">
        <v>175</v>
      </c>
      <c r="I439" s="32">
        <v>434</v>
      </c>
      <c r="J439" s="36">
        <v>835.02</v>
      </c>
      <c r="K439" s="32" t="s">
        <v>4192</v>
      </c>
      <c r="L439" s="169" t="s">
        <v>21</v>
      </c>
      <c r="M439" s="32" t="s">
        <v>224</v>
      </c>
    </row>
    <row r="440" spans="1:13" x14ac:dyDescent="0.25">
      <c r="A440" s="168">
        <v>46192</v>
      </c>
      <c r="B440" s="32">
        <v>1</v>
      </c>
      <c r="C440" s="32" t="s">
        <v>210</v>
      </c>
      <c r="D440" s="169" t="s">
        <v>211</v>
      </c>
      <c r="E440" s="169" t="s">
        <v>190</v>
      </c>
      <c r="F440" s="32" t="s">
        <v>212</v>
      </c>
      <c r="G440" s="32">
        <v>376</v>
      </c>
      <c r="H440" s="32" t="s">
        <v>165</v>
      </c>
      <c r="I440" s="32">
        <v>499</v>
      </c>
      <c r="J440" s="36">
        <v>6003.97</v>
      </c>
      <c r="K440" s="32" t="s">
        <v>4193</v>
      </c>
      <c r="L440" s="169" t="s">
        <v>22</v>
      </c>
      <c r="M440" s="32" t="s">
        <v>223</v>
      </c>
    </row>
    <row r="441" spans="1:13" x14ac:dyDescent="0.25">
      <c r="A441" s="168">
        <v>46192</v>
      </c>
      <c r="B441" s="32">
        <v>1</v>
      </c>
      <c r="C441" s="32" t="s">
        <v>342</v>
      </c>
      <c r="D441" s="169" t="s">
        <v>171</v>
      </c>
      <c r="E441" s="169" t="s">
        <v>163</v>
      </c>
      <c r="F441" s="32" t="s">
        <v>164</v>
      </c>
      <c r="G441" s="32">
        <v>52</v>
      </c>
      <c r="H441" s="32" t="s">
        <v>185</v>
      </c>
      <c r="I441" s="32">
        <v>4536</v>
      </c>
      <c r="J441" s="36">
        <v>872.73</v>
      </c>
      <c r="K441" s="32" t="s">
        <v>4194</v>
      </c>
      <c r="L441" s="169" t="s">
        <v>20</v>
      </c>
      <c r="M441" s="32" t="s">
        <v>224</v>
      </c>
    </row>
    <row r="442" spans="1:13" x14ac:dyDescent="0.25">
      <c r="A442" s="168">
        <v>46192</v>
      </c>
      <c r="B442" s="32">
        <v>1</v>
      </c>
      <c r="C442" s="32" t="s">
        <v>167</v>
      </c>
      <c r="D442" s="169" t="s">
        <v>168</v>
      </c>
      <c r="E442" s="169" t="s">
        <v>166</v>
      </c>
      <c r="F442" s="32" t="s">
        <v>111</v>
      </c>
      <c r="G442" s="32">
        <v>79</v>
      </c>
      <c r="H442" s="32" t="s">
        <v>169</v>
      </c>
      <c r="I442" s="32">
        <v>2588</v>
      </c>
      <c r="J442" s="36">
        <v>756.47</v>
      </c>
      <c r="K442" s="32" t="s">
        <v>4195</v>
      </c>
      <c r="L442" s="169" t="s">
        <v>116</v>
      </c>
      <c r="M442" s="32" t="s">
        <v>111</v>
      </c>
    </row>
    <row r="443" spans="1:13" x14ac:dyDescent="0.25">
      <c r="A443" s="168">
        <v>46192</v>
      </c>
      <c r="B443" s="32">
        <v>1</v>
      </c>
      <c r="C443" s="32" t="s">
        <v>188</v>
      </c>
      <c r="D443" s="169" t="s">
        <v>189</v>
      </c>
      <c r="E443" s="169" t="s">
        <v>163</v>
      </c>
      <c r="F443" s="32" t="s">
        <v>164</v>
      </c>
      <c r="G443" s="32">
        <v>52</v>
      </c>
      <c r="H443" s="32" t="s">
        <v>175</v>
      </c>
      <c r="I443" s="32">
        <v>5169</v>
      </c>
      <c r="J443" s="36">
        <v>994.52</v>
      </c>
      <c r="K443" s="32" t="s">
        <v>4196</v>
      </c>
      <c r="L443" s="169" t="s">
        <v>21</v>
      </c>
      <c r="M443" s="32" t="s">
        <v>224</v>
      </c>
    </row>
    <row r="444" spans="1:13" x14ac:dyDescent="0.25">
      <c r="A444" s="168">
        <v>46192</v>
      </c>
      <c r="B444" s="32">
        <v>1</v>
      </c>
      <c r="C444" s="32" t="s">
        <v>208</v>
      </c>
      <c r="D444" s="169" t="s">
        <v>209</v>
      </c>
      <c r="E444" s="169" t="s">
        <v>190</v>
      </c>
      <c r="F444" s="32" t="s">
        <v>212</v>
      </c>
      <c r="G444" s="32">
        <v>376</v>
      </c>
      <c r="H444" s="32" t="s">
        <v>165</v>
      </c>
      <c r="I444" s="32">
        <v>550</v>
      </c>
      <c r="J444" s="36">
        <v>6617.6</v>
      </c>
      <c r="K444" s="32" t="s">
        <v>4197</v>
      </c>
      <c r="L444" s="169" t="s">
        <v>22</v>
      </c>
      <c r="M444" s="32" t="s">
        <v>223</v>
      </c>
    </row>
    <row r="445" spans="1:13" x14ac:dyDescent="0.25">
      <c r="A445" s="168">
        <v>46192</v>
      </c>
      <c r="B445" s="32">
        <v>1</v>
      </c>
      <c r="C445" s="32" t="s">
        <v>200</v>
      </c>
      <c r="D445" s="169" t="s">
        <v>201</v>
      </c>
      <c r="E445" s="169" t="s">
        <v>190</v>
      </c>
      <c r="F445" s="32" t="s">
        <v>212</v>
      </c>
      <c r="G445" s="32">
        <v>376</v>
      </c>
      <c r="H445" s="32" t="s">
        <v>165</v>
      </c>
      <c r="I445" s="32">
        <v>4606</v>
      </c>
      <c r="J445" s="36">
        <v>5541.94</v>
      </c>
      <c r="K445" s="32" t="s">
        <v>4198</v>
      </c>
      <c r="L445" s="169" t="s">
        <v>22</v>
      </c>
      <c r="M445" s="32" t="s">
        <v>223</v>
      </c>
    </row>
    <row r="446" spans="1:13" x14ac:dyDescent="0.25">
      <c r="A446" s="168">
        <v>46192</v>
      </c>
      <c r="B446" s="32">
        <v>1</v>
      </c>
      <c r="C446" s="32" t="s">
        <v>213</v>
      </c>
      <c r="D446" s="169" t="s">
        <v>1153</v>
      </c>
      <c r="E446" s="169" t="s">
        <v>190</v>
      </c>
      <c r="F446" s="32" t="s">
        <v>212</v>
      </c>
      <c r="G446" s="32">
        <v>376</v>
      </c>
      <c r="H446" s="32" t="s">
        <v>165</v>
      </c>
      <c r="I446" s="32">
        <v>6338</v>
      </c>
      <c r="J446" s="36">
        <v>7625.88</v>
      </c>
      <c r="K446" s="32" t="s">
        <v>4199</v>
      </c>
      <c r="L446" s="169" t="s">
        <v>22</v>
      </c>
      <c r="M446" s="32" t="s">
        <v>223</v>
      </c>
    </row>
    <row r="447" spans="1:13" x14ac:dyDescent="0.25">
      <c r="A447" s="168">
        <v>46192</v>
      </c>
      <c r="B447" s="32">
        <v>1</v>
      </c>
      <c r="C447" s="32" t="s">
        <v>205</v>
      </c>
      <c r="D447" s="169" t="s">
        <v>206</v>
      </c>
      <c r="E447" s="169" t="s">
        <v>276</v>
      </c>
      <c r="F447" s="32" t="s">
        <v>307</v>
      </c>
      <c r="G447" s="32">
        <v>175</v>
      </c>
      <c r="H447" s="32" t="s">
        <v>165</v>
      </c>
      <c r="I447" s="32">
        <v>6482</v>
      </c>
      <c r="J447" s="36">
        <v>3629.92</v>
      </c>
      <c r="K447" s="32" t="s">
        <v>4200</v>
      </c>
      <c r="L447" s="169" t="s">
        <v>3771</v>
      </c>
      <c r="M447" s="32" t="s">
        <v>307</v>
      </c>
    </row>
    <row r="448" spans="1:13" x14ac:dyDescent="0.25">
      <c r="A448" s="168">
        <v>46192</v>
      </c>
      <c r="B448" s="32">
        <v>1</v>
      </c>
      <c r="C448" s="32" t="s">
        <v>296</v>
      </c>
      <c r="D448" s="169" t="s">
        <v>1536</v>
      </c>
      <c r="E448" s="169" t="s">
        <v>276</v>
      </c>
      <c r="F448" s="32" t="s">
        <v>1415</v>
      </c>
      <c r="G448" s="32">
        <v>150</v>
      </c>
      <c r="H448" s="32" t="s">
        <v>207</v>
      </c>
      <c r="I448" s="32">
        <v>2442</v>
      </c>
      <c r="J448" s="36">
        <v>1172.1600000000001</v>
      </c>
      <c r="K448" s="32" t="s">
        <v>4201</v>
      </c>
      <c r="L448" s="169" t="s">
        <v>40</v>
      </c>
      <c r="M448" s="32" t="s">
        <v>15</v>
      </c>
    </row>
    <row r="449" spans="1:13" x14ac:dyDescent="0.25">
      <c r="A449" s="168">
        <v>46192</v>
      </c>
      <c r="B449" s="32">
        <v>1</v>
      </c>
      <c r="C449" s="32" t="s">
        <v>167</v>
      </c>
      <c r="D449" s="169" t="s">
        <v>168</v>
      </c>
      <c r="E449" s="169" t="s">
        <v>166</v>
      </c>
      <c r="F449" s="32" t="s">
        <v>111</v>
      </c>
      <c r="G449" s="32">
        <v>79</v>
      </c>
      <c r="H449" s="32" t="s">
        <v>185</v>
      </c>
      <c r="I449" s="32">
        <v>258</v>
      </c>
      <c r="J449" s="36">
        <v>754.13</v>
      </c>
      <c r="K449" s="32" t="s">
        <v>4202</v>
      </c>
      <c r="L449" s="169" t="s">
        <v>123</v>
      </c>
      <c r="M449" s="32" t="s">
        <v>111</v>
      </c>
    </row>
    <row r="450" spans="1:13" x14ac:dyDescent="0.25">
      <c r="A450" s="168">
        <v>46192</v>
      </c>
      <c r="B450" s="32">
        <v>1</v>
      </c>
      <c r="C450" s="32" t="s">
        <v>2866</v>
      </c>
      <c r="D450" s="169" t="s">
        <v>281</v>
      </c>
      <c r="E450" s="169" t="s">
        <v>166</v>
      </c>
      <c r="F450" s="32" t="s">
        <v>164</v>
      </c>
      <c r="G450" s="32">
        <v>58</v>
      </c>
      <c r="H450" s="32" t="s">
        <v>165</v>
      </c>
      <c r="I450" s="32">
        <v>263</v>
      </c>
      <c r="J450" s="36">
        <v>564.4</v>
      </c>
      <c r="K450" s="32" t="s">
        <v>4203</v>
      </c>
      <c r="L450" s="169" t="s">
        <v>27</v>
      </c>
      <c r="M450" s="32" t="s">
        <v>224</v>
      </c>
    </row>
    <row r="451" spans="1:13" x14ac:dyDescent="0.25">
      <c r="A451" s="168">
        <v>46192</v>
      </c>
      <c r="B451" s="32">
        <v>1</v>
      </c>
      <c r="C451" s="32" t="s">
        <v>270</v>
      </c>
      <c r="D451" s="169" t="s">
        <v>288</v>
      </c>
      <c r="E451" s="169" t="s">
        <v>163</v>
      </c>
      <c r="F451" s="32" t="s">
        <v>164</v>
      </c>
      <c r="G451" s="32">
        <v>52</v>
      </c>
      <c r="H451" s="32" t="s">
        <v>175</v>
      </c>
      <c r="I451" s="32">
        <v>5091</v>
      </c>
      <c r="J451" s="36">
        <v>979.51</v>
      </c>
      <c r="K451" s="32" t="s">
        <v>4204</v>
      </c>
      <c r="L451" s="169" t="s">
        <v>21</v>
      </c>
      <c r="M451" s="32" t="s">
        <v>224</v>
      </c>
    </row>
    <row r="452" spans="1:13" x14ac:dyDescent="0.25">
      <c r="A452" s="168">
        <v>46192</v>
      </c>
      <c r="B452" s="32">
        <v>1</v>
      </c>
      <c r="C452" s="32" t="s">
        <v>173</v>
      </c>
      <c r="D452" s="169" t="s">
        <v>174</v>
      </c>
      <c r="E452" s="169" t="s">
        <v>166</v>
      </c>
      <c r="F452" s="32" t="s">
        <v>218</v>
      </c>
      <c r="G452" s="32">
        <v>71</v>
      </c>
      <c r="H452" s="32" t="s">
        <v>169</v>
      </c>
      <c r="I452" s="32">
        <v>2512</v>
      </c>
      <c r="J452" s="36">
        <v>659.9</v>
      </c>
      <c r="K452" s="32" t="s">
        <v>4205</v>
      </c>
      <c r="L452" s="169" t="s">
        <v>35</v>
      </c>
      <c r="M452" s="32" t="s">
        <v>108</v>
      </c>
    </row>
    <row r="453" spans="1:13" x14ac:dyDescent="0.25">
      <c r="A453" s="168">
        <v>46192</v>
      </c>
      <c r="B453" s="32">
        <v>1</v>
      </c>
      <c r="C453" s="32" t="s">
        <v>173</v>
      </c>
      <c r="D453" s="169" t="s">
        <v>174</v>
      </c>
      <c r="E453" s="169" t="s">
        <v>166</v>
      </c>
      <c r="F453" s="32" t="s">
        <v>111</v>
      </c>
      <c r="G453" s="32">
        <v>79</v>
      </c>
      <c r="H453" s="32" t="s">
        <v>169</v>
      </c>
      <c r="I453" s="32">
        <v>2594</v>
      </c>
      <c r="J453" s="36">
        <v>758.23</v>
      </c>
      <c r="K453" s="32" t="s">
        <v>4205</v>
      </c>
      <c r="L453" s="169" t="s">
        <v>116</v>
      </c>
      <c r="M453" s="32" t="s">
        <v>111</v>
      </c>
    </row>
    <row r="454" spans="1:13" x14ac:dyDescent="0.25">
      <c r="A454" s="168">
        <v>46192</v>
      </c>
      <c r="B454" s="32">
        <v>1</v>
      </c>
      <c r="C454" s="32" t="s">
        <v>173</v>
      </c>
      <c r="D454" s="169" t="s">
        <v>174</v>
      </c>
      <c r="E454" s="169" t="s">
        <v>166</v>
      </c>
      <c r="F454" s="32" t="s">
        <v>111</v>
      </c>
      <c r="G454" s="32">
        <v>79</v>
      </c>
      <c r="H454" s="32" t="s">
        <v>169</v>
      </c>
      <c r="I454" s="32">
        <v>2568</v>
      </c>
      <c r="J454" s="36">
        <v>750.63</v>
      </c>
      <c r="K454" s="32" t="s">
        <v>4206</v>
      </c>
      <c r="L454" s="169" t="s">
        <v>116</v>
      </c>
      <c r="M454" s="32" t="s">
        <v>111</v>
      </c>
    </row>
    <row r="455" spans="1:13" x14ac:dyDescent="0.25">
      <c r="A455" s="168">
        <v>46192</v>
      </c>
      <c r="B455" s="32">
        <v>1</v>
      </c>
      <c r="C455" s="32" t="s">
        <v>2866</v>
      </c>
      <c r="D455" s="169" t="s">
        <v>281</v>
      </c>
      <c r="E455" s="169" t="s">
        <v>166</v>
      </c>
      <c r="F455" s="32" t="s">
        <v>164</v>
      </c>
      <c r="G455" s="32">
        <v>58</v>
      </c>
      <c r="H455" s="32" t="s">
        <v>165</v>
      </c>
      <c r="I455" s="32">
        <v>288</v>
      </c>
      <c r="J455" s="36">
        <v>618.04999999999995</v>
      </c>
      <c r="K455" s="32" t="s">
        <v>4207</v>
      </c>
      <c r="L455" s="169" t="s">
        <v>27</v>
      </c>
      <c r="M455" s="32" t="s">
        <v>224</v>
      </c>
    </row>
    <row r="456" spans="1:13" x14ac:dyDescent="0.25">
      <c r="A456" s="168">
        <v>46192</v>
      </c>
      <c r="B456" s="32">
        <v>1</v>
      </c>
      <c r="C456" s="32" t="s">
        <v>203</v>
      </c>
      <c r="D456" s="169" t="s">
        <v>204</v>
      </c>
      <c r="E456" s="169" t="s">
        <v>190</v>
      </c>
      <c r="F456" s="32" t="s">
        <v>212</v>
      </c>
      <c r="G456" s="32">
        <v>376</v>
      </c>
      <c r="H456" s="32" t="s">
        <v>165</v>
      </c>
      <c r="I456" s="32">
        <v>474</v>
      </c>
      <c r="J456" s="36">
        <v>5703.17</v>
      </c>
      <c r="K456" s="32" t="s">
        <v>4208</v>
      </c>
      <c r="L456" s="169" t="s">
        <v>22</v>
      </c>
      <c r="M456" s="32" t="s">
        <v>223</v>
      </c>
    </row>
    <row r="457" spans="1:13" x14ac:dyDescent="0.25">
      <c r="A457" s="168">
        <v>46192</v>
      </c>
      <c r="B457" s="32">
        <v>1</v>
      </c>
      <c r="C457" s="32" t="s">
        <v>342</v>
      </c>
      <c r="D457" s="169" t="s">
        <v>171</v>
      </c>
      <c r="E457" s="169" t="s">
        <v>163</v>
      </c>
      <c r="F457" s="32" t="s">
        <v>164</v>
      </c>
      <c r="G457" s="32">
        <v>52</v>
      </c>
      <c r="H457" s="32" t="s">
        <v>185</v>
      </c>
      <c r="I457" s="32">
        <v>4514</v>
      </c>
      <c r="J457" s="36">
        <v>868.49</v>
      </c>
      <c r="K457" s="32" t="s">
        <v>4209</v>
      </c>
      <c r="L457" s="169" t="s">
        <v>20</v>
      </c>
      <c r="M457" s="32" t="s">
        <v>224</v>
      </c>
    </row>
    <row r="458" spans="1:13" x14ac:dyDescent="0.25">
      <c r="A458" s="168">
        <v>46192</v>
      </c>
      <c r="B458" s="32">
        <v>1</v>
      </c>
      <c r="C458" s="32" t="s">
        <v>183</v>
      </c>
      <c r="D458" s="169" t="s">
        <v>184</v>
      </c>
      <c r="E458" s="169" t="s">
        <v>163</v>
      </c>
      <c r="F458" s="32" t="s">
        <v>164</v>
      </c>
      <c r="G458" s="32">
        <v>52</v>
      </c>
      <c r="H458" s="32" t="s">
        <v>175</v>
      </c>
      <c r="I458" s="32">
        <v>2679</v>
      </c>
      <c r="J458" s="36">
        <v>515.44000000000005</v>
      </c>
      <c r="K458" s="32" t="s">
        <v>4210</v>
      </c>
      <c r="L458" s="169" t="s">
        <v>21</v>
      </c>
      <c r="M458" s="32" t="s">
        <v>224</v>
      </c>
    </row>
    <row r="459" spans="1:13" x14ac:dyDescent="0.25">
      <c r="A459" s="168">
        <v>46192</v>
      </c>
      <c r="B459" s="32">
        <v>1</v>
      </c>
      <c r="C459" s="32" t="s">
        <v>183</v>
      </c>
      <c r="D459" s="169" t="s">
        <v>184</v>
      </c>
      <c r="E459" s="169" t="s">
        <v>163</v>
      </c>
      <c r="F459" s="32" t="s">
        <v>164</v>
      </c>
      <c r="G459" s="32">
        <v>52</v>
      </c>
      <c r="H459" s="32" t="s">
        <v>175</v>
      </c>
      <c r="I459" s="32">
        <v>2722</v>
      </c>
      <c r="J459" s="36">
        <v>523.71</v>
      </c>
      <c r="K459" s="32" t="s">
        <v>4211</v>
      </c>
      <c r="L459" s="169" t="s">
        <v>21</v>
      </c>
      <c r="M459" s="32" t="s">
        <v>224</v>
      </c>
    </row>
    <row r="460" spans="1:13" x14ac:dyDescent="0.25">
      <c r="A460" s="168">
        <v>46192</v>
      </c>
      <c r="B460" s="32">
        <v>1</v>
      </c>
      <c r="C460" s="32" t="s">
        <v>1129</v>
      </c>
      <c r="D460" s="169" t="s">
        <v>2396</v>
      </c>
      <c r="E460" s="169" t="s">
        <v>166</v>
      </c>
      <c r="F460" s="32" t="s">
        <v>111</v>
      </c>
      <c r="G460" s="32">
        <v>79</v>
      </c>
      <c r="H460" s="32" t="s">
        <v>169</v>
      </c>
      <c r="I460" s="32">
        <v>2728</v>
      </c>
      <c r="J460" s="36">
        <v>797.39</v>
      </c>
      <c r="K460" s="32" t="s">
        <v>4212</v>
      </c>
      <c r="L460" s="169" t="s">
        <v>116</v>
      </c>
      <c r="M460" s="32" t="s">
        <v>111</v>
      </c>
    </row>
    <row r="461" spans="1:13" x14ac:dyDescent="0.25">
      <c r="A461" s="168">
        <v>46192</v>
      </c>
      <c r="B461" s="32">
        <v>1</v>
      </c>
      <c r="C461" s="32" t="s">
        <v>173</v>
      </c>
      <c r="D461" s="169" t="s">
        <v>174</v>
      </c>
      <c r="E461" s="169" t="s">
        <v>166</v>
      </c>
      <c r="F461" s="32" t="s">
        <v>164</v>
      </c>
      <c r="G461" s="32">
        <v>58</v>
      </c>
      <c r="H461" s="32" t="s">
        <v>175</v>
      </c>
      <c r="I461" s="32">
        <v>261</v>
      </c>
      <c r="J461" s="36">
        <v>560.11</v>
      </c>
      <c r="K461" s="32" t="s">
        <v>4213</v>
      </c>
      <c r="L461" s="169" t="s">
        <v>86</v>
      </c>
      <c r="M461" s="32" t="s">
        <v>224</v>
      </c>
    </row>
    <row r="462" spans="1:13" x14ac:dyDescent="0.25">
      <c r="A462" s="168">
        <v>46192</v>
      </c>
      <c r="B462" s="32">
        <v>1</v>
      </c>
      <c r="C462" s="32" t="s">
        <v>179</v>
      </c>
      <c r="D462" s="169" t="s">
        <v>2863</v>
      </c>
      <c r="E462" s="169" t="s">
        <v>166</v>
      </c>
      <c r="F462" s="32" t="s">
        <v>111</v>
      </c>
      <c r="G462" s="32">
        <v>79</v>
      </c>
      <c r="H462" s="32" t="s">
        <v>169</v>
      </c>
      <c r="I462" s="32">
        <v>2764</v>
      </c>
      <c r="J462" s="36">
        <v>807.92</v>
      </c>
      <c r="K462" s="32" t="s">
        <v>4214</v>
      </c>
      <c r="L462" s="169" t="s">
        <v>116</v>
      </c>
      <c r="M462" s="32" t="s">
        <v>111</v>
      </c>
    </row>
    <row r="463" spans="1:13" x14ac:dyDescent="0.25">
      <c r="A463" s="168">
        <v>46192</v>
      </c>
      <c r="B463" s="32">
        <v>1</v>
      </c>
      <c r="C463" s="32" t="s">
        <v>179</v>
      </c>
      <c r="D463" s="169" t="s">
        <v>2863</v>
      </c>
      <c r="E463" s="169" t="s">
        <v>166</v>
      </c>
      <c r="F463" s="32" t="s">
        <v>164</v>
      </c>
      <c r="G463" s="32">
        <v>58</v>
      </c>
      <c r="H463" s="32" t="s">
        <v>175</v>
      </c>
      <c r="I463" s="32">
        <v>286</v>
      </c>
      <c r="J463" s="36">
        <v>613.76</v>
      </c>
      <c r="K463" s="32" t="s">
        <v>4215</v>
      </c>
      <c r="L463" s="169" t="s">
        <v>86</v>
      </c>
      <c r="M463" s="32" t="s">
        <v>224</v>
      </c>
    </row>
    <row r="464" spans="1:13" x14ac:dyDescent="0.25">
      <c r="A464" s="168">
        <v>46192</v>
      </c>
      <c r="B464" s="32">
        <v>1</v>
      </c>
      <c r="C464" s="32" t="s">
        <v>192</v>
      </c>
      <c r="D464" s="169" t="s">
        <v>287</v>
      </c>
      <c r="E464" s="169" t="s">
        <v>166</v>
      </c>
      <c r="F464" s="32" t="s">
        <v>164</v>
      </c>
      <c r="G464" s="32">
        <v>58</v>
      </c>
      <c r="H464" s="32" t="s">
        <v>165</v>
      </c>
      <c r="I464" s="32">
        <v>6034</v>
      </c>
      <c r="J464" s="36">
        <v>1294.9000000000001</v>
      </c>
      <c r="K464" s="32" t="s">
        <v>4216</v>
      </c>
      <c r="L464" s="169" t="s">
        <v>27</v>
      </c>
      <c r="M464" s="32" t="s">
        <v>224</v>
      </c>
    </row>
    <row r="465" spans="1:13" x14ac:dyDescent="0.25">
      <c r="A465" s="168">
        <v>46193</v>
      </c>
      <c r="B465" s="32">
        <v>1</v>
      </c>
      <c r="C465" s="32" t="s">
        <v>167</v>
      </c>
      <c r="D465" s="169" t="s">
        <v>168</v>
      </c>
      <c r="E465" s="169" t="s">
        <v>163</v>
      </c>
      <c r="F465" s="32" t="s">
        <v>164</v>
      </c>
      <c r="G465" s="32">
        <v>52</v>
      </c>
      <c r="H465" s="32" t="s">
        <v>175</v>
      </c>
      <c r="I465" s="32">
        <v>2787</v>
      </c>
      <c r="J465" s="36">
        <v>536.22</v>
      </c>
      <c r="K465" s="32" t="s">
        <v>4217</v>
      </c>
      <c r="L465" s="169" t="s">
        <v>21</v>
      </c>
      <c r="M465" s="32" t="s">
        <v>224</v>
      </c>
    </row>
    <row r="466" spans="1:13" x14ac:dyDescent="0.25">
      <c r="A466" s="168">
        <v>46193</v>
      </c>
      <c r="B466" s="32">
        <v>1</v>
      </c>
      <c r="C466" s="32" t="s">
        <v>167</v>
      </c>
      <c r="D466" s="169" t="s">
        <v>168</v>
      </c>
      <c r="E466" s="169" t="s">
        <v>163</v>
      </c>
      <c r="F466" s="32" t="s">
        <v>164</v>
      </c>
      <c r="G466" s="32">
        <v>52</v>
      </c>
      <c r="H466" s="32" t="s">
        <v>175</v>
      </c>
      <c r="I466" s="32">
        <v>2755</v>
      </c>
      <c r="J466" s="36">
        <v>530.05999999999995</v>
      </c>
      <c r="K466" s="32" t="s">
        <v>4218</v>
      </c>
      <c r="L466" s="169" t="s">
        <v>21</v>
      </c>
      <c r="M466" s="32" t="s">
        <v>224</v>
      </c>
    </row>
    <row r="467" spans="1:13" x14ac:dyDescent="0.25">
      <c r="A467" s="168">
        <v>46193</v>
      </c>
      <c r="B467" s="32">
        <v>1</v>
      </c>
      <c r="C467" s="32" t="s">
        <v>342</v>
      </c>
      <c r="D467" s="169" t="s">
        <v>171</v>
      </c>
      <c r="E467" s="169" t="s">
        <v>163</v>
      </c>
      <c r="F467" s="32" t="s">
        <v>164</v>
      </c>
      <c r="G467" s="32">
        <v>52</v>
      </c>
      <c r="H467" s="32" t="s">
        <v>185</v>
      </c>
      <c r="I467" s="32">
        <v>4599</v>
      </c>
      <c r="J467" s="36">
        <v>884.85</v>
      </c>
      <c r="K467" s="32" t="s">
        <v>4219</v>
      </c>
      <c r="L467" s="169" t="s">
        <v>20</v>
      </c>
      <c r="M467" s="32" t="s">
        <v>224</v>
      </c>
    </row>
    <row r="468" spans="1:13" x14ac:dyDescent="0.25">
      <c r="A468" s="168">
        <v>46193</v>
      </c>
      <c r="B468" s="32">
        <v>1</v>
      </c>
      <c r="C468" s="32" t="s">
        <v>208</v>
      </c>
      <c r="D468" s="169" t="s">
        <v>209</v>
      </c>
      <c r="E468" s="169" t="s">
        <v>190</v>
      </c>
      <c r="F468" s="32" t="s">
        <v>198</v>
      </c>
      <c r="G468" s="32">
        <v>70</v>
      </c>
      <c r="H468" s="32" t="s">
        <v>165</v>
      </c>
      <c r="I468" s="32">
        <v>550</v>
      </c>
      <c r="J468" s="36">
        <v>1424.5</v>
      </c>
      <c r="K468" s="32" t="s">
        <v>4220</v>
      </c>
      <c r="L468" s="169" t="s">
        <v>30</v>
      </c>
      <c r="M468" s="32" t="s">
        <v>224</v>
      </c>
    </row>
    <row r="469" spans="1:13" x14ac:dyDescent="0.25">
      <c r="A469" s="168">
        <v>46193</v>
      </c>
      <c r="B469" s="32">
        <v>1</v>
      </c>
      <c r="C469" s="32" t="s">
        <v>283</v>
      </c>
      <c r="D469" s="169" t="s">
        <v>282</v>
      </c>
      <c r="E469" s="169" t="s">
        <v>166</v>
      </c>
      <c r="F469" s="32" t="s">
        <v>1178</v>
      </c>
      <c r="G469" s="32">
        <v>51</v>
      </c>
      <c r="H469" s="32" t="s">
        <v>169</v>
      </c>
      <c r="I469" s="32">
        <v>2748</v>
      </c>
      <c r="J469" s="36">
        <v>518.54999999999995</v>
      </c>
      <c r="K469" s="32" t="s">
        <v>4221</v>
      </c>
      <c r="L469" s="169" t="s">
        <v>3744</v>
      </c>
      <c r="M469" s="32" t="s">
        <v>1178</v>
      </c>
    </row>
    <row r="470" spans="1:13" x14ac:dyDescent="0.25">
      <c r="A470" s="168">
        <v>46193</v>
      </c>
      <c r="B470" s="32">
        <v>1</v>
      </c>
      <c r="C470" s="32" t="s">
        <v>283</v>
      </c>
      <c r="D470" s="169" t="s">
        <v>282</v>
      </c>
      <c r="E470" s="169" t="s">
        <v>166</v>
      </c>
      <c r="F470" s="32" t="s">
        <v>1178</v>
      </c>
      <c r="G470" s="32">
        <v>51</v>
      </c>
      <c r="H470" s="32" t="s">
        <v>169</v>
      </c>
      <c r="I470" s="32">
        <v>2748</v>
      </c>
      <c r="J470" s="36">
        <v>518.54999999999995</v>
      </c>
      <c r="K470" s="32" t="s">
        <v>4222</v>
      </c>
      <c r="L470" s="169" t="s">
        <v>3744</v>
      </c>
      <c r="M470" s="32" t="s">
        <v>1178</v>
      </c>
    </row>
    <row r="471" spans="1:13" x14ac:dyDescent="0.25">
      <c r="A471" s="168">
        <v>46193</v>
      </c>
      <c r="B471" s="32">
        <v>1</v>
      </c>
      <c r="C471" s="32" t="s">
        <v>210</v>
      </c>
      <c r="D471" s="169" t="s">
        <v>211</v>
      </c>
      <c r="E471" s="169" t="s">
        <v>190</v>
      </c>
      <c r="F471" s="32" t="s">
        <v>198</v>
      </c>
      <c r="G471" s="32">
        <v>70</v>
      </c>
      <c r="H471" s="32" t="s">
        <v>165</v>
      </c>
      <c r="I471" s="32">
        <v>4964</v>
      </c>
      <c r="J471" s="36">
        <v>1285.68</v>
      </c>
      <c r="K471" s="32" t="s">
        <v>4223</v>
      </c>
      <c r="L471" s="169" t="s">
        <v>30</v>
      </c>
      <c r="M471" s="32" t="s">
        <v>224</v>
      </c>
    </row>
    <row r="472" spans="1:13" x14ac:dyDescent="0.25">
      <c r="A472" s="168">
        <v>46193</v>
      </c>
      <c r="B472" s="32">
        <v>1</v>
      </c>
      <c r="C472" s="32" t="s">
        <v>181</v>
      </c>
      <c r="D472" s="169" t="s">
        <v>182</v>
      </c>
      <c r="E472" s="169" t="s">
        <v>166</v>
      </c>
      <c r="F472" s="32" t="s">
        <v>164</v>
      </c>
      <c r="G472" s="32">
        <v>58</v>
      </c>
      <c r="H472" s="32" t="s">
        <v>165</v>
      </c>
      <c r="I472" s="32">
        <v>2464</v>
      </c>
      <c r="J472" s="36">
        <v>528.77</v>
      </c>
      <c r="K472" s="32" t="s">
        <v>4224</v>
      </c>
      <c r="L472" s="169" t="s">
        <v>27</v>
      </c>
      <c r="M472" s="32" t="s">
        <v>224</v>
      </c>
    </row>
    <row r="473" spans="1:13" x14ac:dyDescent="0.25">
      <c r="A473" s="168">
        <v>46193</v>
      </c>
      <c r="B473" s="32">
        <v>1</v>
      </c>
      <c r="C473" s="32" t="s">
        <v>2866</v>
      </c>
      <c r="D473" s="169" t="s">
        <v>281</v>
      </c>
      <c r="E473" s="169" t="s">
        <v>166</v>
      </c>
      <c r="F473" s="32" t="s">
        <v>164</v>
      </c>
      <c r="G473" s="32">
        <v>58</v>
      </c>
      <c r="H473" s="32" t="s">
        <v>165</v>
      </c>
      <c r="I473" s="32">
        <v>253</v>
      </c>
      <c r="J473" s="36">
        <v>542.94000000000005</v>
      </c>
      <c r="K473" s="32" t="s">
        <v>4225</v>
      </c>
      <c r="L473" s="169" t="s">
        <v>27</v>
      </c>
      <c r="M473" s="32" t="s">
        <v>224</v>
      </c>
    </row>
    <row r="474" spans="1:13" x14ac:dyDescent="0.25">
      <c r="A474" s="168">
        <v>46193</v>
      </c>
      <c r="B474" s="32">
        <v>1</v>
      </c>
      <c r="C474" s="32" t="s">
        <v>183</v>
      </c>
      <c r="D474" s="169" t="s">
        <v>184</v>
      </c>
      <c r="E474" s="169" t="s">
        <v>166</v>
      </c>
      <c r="F474" s="32" t="s">
        <v>111</v>
      </c>
      <c r="G474" s="32">
        <v>79</v>
      </c>
      <c r="H474" s="32" t="s">
        <v>169</v>
      </c>
      <c r="I474" s="32">
        <v>273</v>
      </c>
      <c r="J474" s="36">
        <v>797.98</v>
      </c>
      <c r="K474" s="32" t="s">
        <v>4226</v>
      </c>
      <c r="L474" s="169" t="s">
        <v>116</v>
      </c>
      <c r="M474" s="32" t="s">
        <v>111</v>
      </c>
    </row>
    <row r="475" spans="1:13" x14ac:dyDescent="0.25">
      <c r="A475" s="168">
        <v>46193</v>
      </c>
      <c r="B475" s="32">
        <v>1</v>
      </c>
      <c r="C475" s="32" t="s">
        <v>183</v>
      </c>
      <c r="D475" s="169" t="s">
        <v>184</v>
      </c>
      <c r="E475" s="169" t="s">
        <v>163</v>
      </c>
      <c r="F475" s="32" t="s">
        <v>164</v>
      </c>
      <c r="G475" s="32">
        <v>52</v>
      </c>
      <c r="H475" s="32" t="s">
        <v>175</v>
      </c>
      <c r="I475" s="32">
        <v>2852</v>
      </c>
      <c r="J475" s="36">
        <v>548.72</v>
      </c>
      <c r="K475" s="32" t="s">
        <v>4227</v>
      </c>
      <c r="L475" s="169" t="s">
        <v>21</v>
      </c>
      <c r="M475" s="32" t="s">
        <v>224</v>
      </c>
    </row>
    <row r="476" spans="1:13" x14ac:dyDescent="0.25">
      <c r="A476" s="168">
        <v>46193</v>
      </c>
      <c r="B476" s="32">
        <v>1</v>
      </c>
      <c r="C476" s="32" t="s">
        <v>203</v>
      </c>
      <c r="D476" s="169" t="s">
        <v>204</v>
      </c>
      <c r="E476" s="169" t="s">
        <v>190</v>
      </c>
      <c r="F476" s="32" t="s">
        <v>198</v>
      </c>
      <c r="G476" s="32">
        <v>70</v>
      </c>
      <c r="H476" s="32" t="s">
        <v>165</v>
      </c>
      <c r="I476" s="32">
        <v>4564</v>
      </c>
      <c r="J476" s="36">
        <v>1182.08</v>
      </c>
      <c r="K476" s="32" t="s">
        <v>4228</v>
      </c>
      <c r="L476" s="169" t="s">
        <v>30</v>
      </c>
      <c r="M476" s="32" t="s">
        <v>224</v>
      </c>
    </row>
    <row r="477" spans="1:13" x14ac:dyDescent="0.25">
      <c r="A477" s="168">
        <v>46193</v>
      </c>
      <c r="B477" s="32">
        <v>1</v>
      </c>
      <c r="C477" s="32" t="s">
        <v>173</v>
      </c>
      <c r="D477" s="169" t="s">
        <v>174</v>
      </c>
      <c r="E477" s="169" t="s">
        <v>166</v>
      </c>
      <c r="F477" s="32" t="s">
        <v>111</v>
      </c>
      <c r="G477" s="32">
        <v>79</v>
      </c>
      <c r="H477" s="32" t="s">
        <v>169</v>
      </c>
      <c r="I477" s="32">
        <v>2764</v>
      </c>
      <c r="J477" s="36">
        <v>807.92</v>
      </c>
      <c r="K477" s="32" t="s">
        <v>4229</v>
      </c>
      <c r="L477" s="169" t="s">
        <v>116</v>
      </c>
      <c r="M477" s="32" t="s">
        <v>111</v>
      </c>
    </row>
    <row r="478" spans="1:13" x14ac:dyDescent="0.25">
      <c r="A478" s="168">
        <v>46193</v>
      </c>
      <c r="B478" s="32">
        <v>1</v>
      </c>
      <c r="C478" s="32" t="s">
        <v>1948</v>
      </c>
      <c r="D478" s="169" t="s">
        <v>1949</v>
      </c>
      <c r="E478" s="169" t="s">
        <v>190</v>
      </c>
      <c r="F478" s="32" t="s">
        <v>212</v>
      </c>
      <c r="G478" s="32">
        <v>376</v>
      </c>
      <c r="H478" s="32" t="s">
        <v>165</v>
      </c>
      <c r="I478" s="32">
        <v>469</v>
      </c>
      <c r="J478" s="36">
        <v>5643.01</v>
      </c>
      <c r="K478" s="32" t="s">
        <v>4230</v>
      </c>
      <c r="L478" s="169" t="s">
        <v>22</v>
      </c>
      <c r="M478" s="32" t="s">
        <v>223</v>
      </c>
    </row>
    <row r="479" spans="1:13" x14ac:dyDescent="0.25">
      <c r="A479" s="168">
        <v>46193</v>
      </c>
      <c r="B479" s="32">
        <v>1</v>
      </c>
      <c r="C479" s="32" t="s">
        <v>200</v>
      </c>
      <c r="D479" s="169" t="s">
        <v>201</v>
      </c>
      <c r="E479" s="169" t="s">
        <v>190</v>
      </c>
      <c r="F479" s="32" t="s">
        <v>198</v>
      </c>
      <c r="G479" s="32">
        <v>70</v>
      </c>
      <c r="H479" s="32" t="s">
        <v>165</v>
      </c>
      <c r="I479" s="32">
        <v>490</v>
      </c>
      <c r="J479" s="36">
        <v>1269.0999999999999</v>
      </c>
      <c r="K479" s="32" t="s">
        <v>4231</v>
      </c>
      <c r="L479" s="169" t="s">
        <v>30</v>
      </c>
      <c r="M479" s="32" t="s">
        <v>224</v>
      </c>
    </row>
    <row r="480" spans="1:13" x14ac:dyDescent="0.25">
      <c r="A480" s="168">
        <v>46193</v>
      </c>
      <c r="B480" s="32">
        <v>1</v>
      </c>
      <c r="C480" s="32" t="s">
        <v>193</v>
      </c>
      <c r="D480" s="169" t="s">
        <v>285</v>
      </c>
      <c r="E480" s="169" t="s">
        <v>166</v>
      </c>
      <c r="F480" s="32" t="s">
        <v>111</v>
      </c>
      <c r="G480" s="32">
        <v>79</v>
      </c>
      <c r="H480" s="32" t="s">
        <v>169</v>
      </c>
      <c r="I480" s="32">
        <v>2542</v>
      </c>
      <c r="J480" s="36">
        <v>743.03</v>
      </c>
      <c r="K480" s="32" t="s">
        <v>4232</v>
      </c>
      <c r="L480" s="169" t="s">
        <v>116</v>
      </c>
      <c r="M480" s="32" t="s">
        <v>111</v>
      </c>
    </row>
    <row r="481" spans="1:13" x14ac:dyDescent="0.25">
      <c r="A481" s="168">
        <v>46193</v>
      </c>
      <c r="B481" s="32">
        <v>1</v>
      </c>
      <c r="C481" s="32" t="s">
        <v>173</v>
      </c>
      <c r="D481" s="169" t="s">
        <v>174</v>
      </c>
      <c r="E481" s="169" t="s">
        <v>163</v>
      </c>
      <c r="F481" s="32" t="s">
        <v>164</v>
      </c>
      <c r="G481" s="32">
        <v>52</v>
      </c>
      <c r="H481" s="32" t="s">
        <v>175</v>
      </c>
      <c r="I481" s="32">
        <v>2632</v>
      </c>
      <c r="J481" s="36">
        <v>506.4</v>
      </c>
      <c r="K481" s="32" t="s">
        <v>4233</v>
      </c>
      <c r="L481" s="169" t="s">
        <v>21</v>
      </c>
      <c r="M481" s="32" t="s">
        <v>224</v>
      </c>
    </row>
    <row r="482" spans="1:13" x14ac:dyDescent="0.25">
      <c r="A482" s="168">
        <v>46195</v>
      </c>
      <c r="B482" s="32">
        <v>1</v>
      </c>
      <c r="C482" s="32" t="s">
        <v>342</v>
      </c>
      <c r="D482" s="169" t="s">
        <v>171</v>
      </c>
      <c r="E482" s="169" t="s">
        <v>163</v>
      </c>
      <c r="F482" s="32" t="s">
        <v>164</v>
      </c>
      <c r="G482" s="32">
        <v>52</v>
      </c>
      <c r="H482" s="32" t="s">
        <v>175</v>
      </c>
      <c r="I482" s="32">
        <v>4702</v>
      </c>
      <c r="J482" s="36">
        <v>904.66</v>
      </c>
      <c r="K482" s="32" t="s">
        <v>4234</v>
      </c>
      <c r="L482" s="169" t="s">
        <v>21</v>
      </c>
      <c r="M482" s="32" t="s">
        <v>224</v>
      </c>
    </row>
    <row r="483" spans="1:13" x14ac:dyDescent="0.25">
      <c r="A483" s="168">
        <v>46195</v>
      </c>
      <c r="B483" s="32">
        <v>1</v>
      </c>
      <c r="C483" s="32" t="s">
        <v>2866</v>
      </c>
      <c r="D483" s="169" t="s">
        <v>281</v>
      </c>
      <c r="E483" s="169" t="s">
        <v>166</v>
      </c>
      <c r="F483" s="32" t="s">
        <v>164</v>
      </c>
      <c r="G483" s="32">
        <v>58</v>
      </c>
      <c r="H483" s="32" t="s">
        <v>165</v>
      </c>
      <c r="I483" s="32">
        <v>3284</v>
      </c>
      <c r="J483" s="36">
        <v>704.75</v>
      </c>
      <c r="K483" s="32" t="s">
        <v>4235</v>
      </c>
      <c r="L483" s="169" t="s">
        <v>27</v>
      </c>
      <c r="M483" s="32" t="s">
        <v>224</v>
      </c>
    </row>
    <row r="484" spans="1:13" x14ac:dyDescent="0.25">
      <c r="A484" s="168">
        <v>46195</v>
      </c>
      <c r="B484" s="32">
        <v>1</v>
      </c>
      <c r="C484" s="32" t="s">
        <v>2866</v>
      </c>
      <c r="D484" s="169" t="s">
        <v>281</v>
      </c>
      <c r="E484" s="169" t="s">
        <v>166</v>
      </c>
      <c r="F484" s="32" t="s">
        <v>164</v>
      </c>
      <c r="G484" s="32">
        <v>58</v>
      </c>
      <c r="H484" s="32" t="s">
        <v>195</v>
      </c>
      <c r="I484" s="32">
        <v>275</v>
      </c>
      <c r="J484" s="36">
        <v>590.15</v>
      </c>
      <c r="K484" s="32" t="s">
        <v>4236</v>
      </c>
      <c r="L484" s="169" t="s">
        <v>91</v>
      </c>
      <c r="M484" s="32" t="s">
        <v>224</v>
      </c>
    </row>
    <row r="485" spans="1:13" x14ac:dyDescent="0.25">
      <c r="A485" s="168">
        <v>46195</v>
      </c>
      <c r="B485" s="32">
        <v>1</v>
      </c>
      <c r="C485" s="32" t="s">
        <v>167</v>
      </c>
      <c r="D485" s="169" t="s">
        <v>168</v>
      </c>
      <c r="E485" s="169" t="s">
        <v>163</v>
      </c>
      <c r="F485" s="32" t="s">
        <v>164</v>
      </c>
      <c r="G485" s="32">
        <v>52</v>
      </c>
      <c r="H485" s="32" t="s">
        <v>175</v>
      </c>
      <c r="I485" s="32">
        <v>2806</v>
      </c>
      <c r="J485" s="36">
        <v>539.87</v>
      </c>
      <c r="K485" s="32" t="s">
        <v>4237</v>
      </c>
      <c r="L485" s="169" t="s">
        <v>21</v>
      </c>
      <c r="M485" s="32" t="s">
        <v>224</v>
      </c>
    </row>
    <row r="486" spans="1:13" x14ac:dyDescent="0.25">
      <c r="A486" s="168">
        <v>46195</v>
      </c>
      <c r="B486" s="32">
        <v>1</v>
      </c>
      <c r="C486" s="32" t="s">
        <v>167</v>
      </c>
      <c r="D486" s="169" t="s">
        <v>168</v>
      </c>
      <c r="E486" s="169" t="s">
        <v>166</v>
      </c>
      <c r="F486" s="32" t="s">
        <v>111</v>
      </c>
      <c r="G486" s="32">
        <v>79</v>
      </c>
      <c r="H486" s="32" t="s">
        <v>169</v>
      </c>
      <c r="I486" s="32">
        <v>2752</v>
      </c>
      <c r="J486" s="36">
        <v>804.41</v>
      </c>
      <c r="K486" s="32" t="s">
        <v>4238</v>
      </c>
      <c r="L486" s="169" t="s">
        <v>116</v>
      </c>
      <c r="M486" s="32" t="s">
        <v>111</v>
      </c>
    </row>
    <row r="487" spans="1:13" x14ac:dyDescent="0.25">
      <c r="A487" s="168">
        <v>46195</v>
      </c>
      <c r="B487" s="32">
        <v>1</v>
      </c>
      <c r="C487" s="32" t="s">
        <v>342</v>
      </c>
      <c r="D487" s="169" t="s">
        <v>171</v>
      </c>
      <c r="E487" s="169" t="s">
        <v>163</v>
      </c>
      <c r="F487" s="32" t="s">
        <v>164</v>
      </c>
      <c r="G487" s="32">
        <v>52</v>
      </c>
      <c r="H487" s="32" t="s">
        <v>185</v>
      </c>
      <c r="I487" s="32">
        <v>4547</v>
      </c>
      <c r="J487" s="36">
        <v>874.84</v>
      </c>
      <c r="K487" s="32" t="s">
        <v>4239</v>
      </c>
      <c r="L487" s="169" t="s">
        <v>20</v>
      </c>
      <c r="M487" s="32" t="s">
        <v>224</v>
      </c>
    </row>
    <row r="488" spans="1:13" x14ac:dyDescent="0.25">
      <c r="A488" s="168">
        <v>46195</v>
      </c>
      <c r="B488" s="32">
        <v>1</v>
      </c>
      <c r="C488" s="32" t="s">
        <v>283</v>
      </c>
      <c r="D488" s="169" t="s">
        <v>282</v>
      </c>
      <c r="E488" s="169" t="s">
        <v>166</v>
      </c>
      <c r="F488" s="32" t="s">
        <v>1178</v>
      </c>
      <c r="G488" s="32">
        <v>51</v>
      </c>
      <c r="H488" s="32" t="s">
        <v>169</v>
      </c>
      <c r="I488" s="32">
        <v>2921</v>
      </c>
      <c r="J488" s="36">
        <v>551.19000000000005</v>
      </c>
      <c r="K488" s="32" t="s">
        <v>4240</v>
      </c>
      <c r="L488" s="169" t="s">
        <v>3744</v>
      </c>
      <c r="M488" s="32" t="s">
        <v>1178</v>
      </c>
    </row>
    <row r="489" spans="1:13" x14ac:dyDescent="0.25">
      <c r="A489" s="168">
        <v>46195</v>
      </c>
      <c r="B489" s="32">
        <v>1</v>
      </c>
      <c r="C489" s="32" t="s">
        <v>283</v>
      </c>
      <c r="D489" s="169" t="s">
        <v>282</v>
      </c>
      <c r="E489" s="169" t="s">
        <v>166</v>
      </c>
      <c r="F489" s="32" t="s">
        <v>1178</v>
      </c>
      <c r="G489" s="32">
        <v>51</v>
      </c>
      <c r="H489" s="32" t="s">
        <v>172</v>
      </c>
      <c r="I489" s="32">
        <v>2845</v>
      </c>
      <c r="J489" s="36">
        <v>536.85</v>
      </c>
      <c r="K489" s="32" t="s">
        <v>4241</v>
      </c>
      <c r="L489" s="169" t="s">
        <v>3847</v>
      </c>
      <c r="M489" s="32" t="s">
        <v>1178</v>
      </c>
    </row>
    <row r="490" spans="1:13" x14ac:dyDescent="0.25">
      <c r="A490" s="168">
        <v>46195</v>
      </c>
      <c r="B490" s="32">
        <v>1</v>
      </c>
      <c r="C490" s="32" t="s">
        <v>283</v>
      </c>
      <c r="D490" s="169" t="s">
        <v>282</v>
      </c>
      <c r="E490" s="169" t="s">
        <v>166</v>
      </c>
      <c r="F490" s="32" t="s">
        <v>1178</v>
      </c>
      <c r="G490" s="32">
        <v>51</v>
      </c>
      <c r="H490" s="32" t="s">
        <v>172</v>
      </c>
      <c r="I490" s="32">
        <v>2776</v>
      </c>
      <c r="J490" s="36">
        <v>523.83000000000004</v>
      </c>
      <c r="K490" s="32" t="s">
        <v>4242</v>
      </c>
      <c r="L490" s="169" t="s">
        <v>3847</v>
      </c>
      <c r="M490" s="32" t="s">
        <v>1178</v>
      </c>
    </row>
    <row r="491" spans="1:13" x14ac:dyDescent="0.25">
      <c r="A491" s="168">
        <v>46195</v>
      </c>
      <c r="B491" s="32">
        <v>1</v>
      </c>
      <c r="C491" s="32" t="s">
        <v>181</v>
      </c>
      <c r="D491" s="169" t="s">
        <v>182</v>
      </c>
      <c r="E491" s="169" t="s">
        <v>166</v>
      </c>
      <c r="F491" s="32" t="s">
        <v>111</v>
      </c>
      <c r="G491" s="32">
        <v>79</v>
      </c>
      <c r="H491" s="32" t="s">
        <v>169</v>
      </c>
      <c r="I491" s="32">
        <v>256</v>
      </c>
      <c r="J491" s="36">
        <v>748.29</v>
      </c>
      <c r="K491" s="32" t="s">
        <v>4243</v>
      </c>
      <c r="L491" s="169" t="s">
        <v>116</v>
      </c>
      <c r="M491" s="32" t="s">
        <v>111</v>
      </c>
    </row>
    <row r="492" spans="1:13" x14ac:dyDescent="0.25">
      <c r="A492" s="168">
        <v>46195</v>
      </c>
      <c r="B492" s="32">
        <v>1</v>
      </c>
      <c r="C492" s="32" t="s">
        <v>167</v>
      </c>
      <c r="D492" s="169" t="s">
        <v>168</v>
      </c>
      <c r="E492" s="169" t="s">
        <v>166</v>
      </c>
      <c r="F492" s="32" t="s">
        <v>111</v>
      </c>
      <c r="G492" s="32">
        <v>79</v>
      </c>
      <c r="H492" s="32" t="s">
        <v>169</v>
      </c>
      <c r="I492" s="32">
        <v>282</v>
      </c>
      <c r="J492" s="36">
        <v>824.29</v>
      </c>
      <c r="K492" s="32" t="s">
        <v>4244</v>
      </c>
      <c r="L492" s="169" t="s">
        <v>116</v>
      </c>
      <c r="M492" s="32" t="s">
        <v>111</v>
      </c>
    </row>
    <row r="493" spans="1:13" x14ac:dyDescent="0.25">
      <c r="A493" s="168">
        <v>46195</v>
      </c>
      <c r="B493" s="32">
        <v>1</v>
      </c>
      <c r="C493" s="32" t="s">
        <v>2866</v>
      </c>
      <c r="D493" s="169" t="s">
        <v>281</v>
      </c>
      <c r="E493" s="169" t="s">
        <v>166</v>
      </c>
      <c r="F493" s="32" t="s">
        <v>164</v>
      </c>
      <c r="G493" s="32">
        <v>58</v>
      </c>
      <c r="H493" s="32" t="s">
        <v>195</v>
      </c>
      <c r="I493" s="32">
        <v>2634</v>
      </c>
      <c r="J493" s="36">
        <v>565.26</v>
      </c>
      <c r="K493" s="32" t="s">
        <v>4245</v>
      </c>
      <c r="L493" s="169" t="s">
        <v>91</v>
      </c>
      <c r="M493" s="32" t="s">
        <v>224</v>
      </c>
    </row>
    <row r="494" spans="1:13" x14ac:dyDescent="0.25">
      <c r="A494" s="168">
        <v>46195</v>
      </c>
      <c r="B494" s="32">
        <v>1</v>
      </c>
      <c r="C494" s="32" t="s">
        <v>183</v>
      </c>
      <c r="D494" s="169" t="s">
        <v>184</v>
      </c>
      <c r="E494" s="169" t="s">
        <v>166</v>
      </c>
      <c r="F494" s="32" t="s">
        <v>111</v>
      </c>
      <c r="G494" s="32">
        <v>79</v>
      </c>
      <c r="H494" s="32" t="s">
        <v>169</v>
      </c>
      <c r="I494" s="32">
        <v>2726</v>
      </c>
      <c r="J494" s="36">
        <v>796.81</v>
      </c>
      <c r="K494" s="32" t="s">
        <v>4246</v>
      </c>
      <c r="L494" s="169" t="s">
        <v>116</v>
      </c>
      <c r="M494" s="32" t="s">
        <v>111</v>
      </c>
    </row>
    <row r="495" spans="1:13" x14ac:dyDescent="0.25">
      <c r="A495" s="168">
        <v>46195</v>
      </c>
      <c r="B495" s="32">
        <v>1</v>
      </c>
      <c r="C495" s="32" t="s">
        <v>183</v>
      </c>
      <c r="D495" s="169" t="s">
        <v>184</v>
      </c>
      <c r="E495" s="169" t="s">
        <v>166</v>
      </c>
      <c r="F495" s="32" t="s">
        <v>111</v>
      </c>
      <c r="G495" s="32">
        <v>79</v>
      </c>
      <c r="H495" s="32" t="s">
        <v>169</v>
      </c>
      <c r="I495" s="32">
        <v>2656</v>
      </c>
      <c r="J495" s="36">
        <v>776.35</v>
      </c>
      <c r="K495" s="32" t="s">
        <v>4247</v>
      </c>
      <c r="L495" s="169" t="s">
        <v>116</v>
      </c>
      <c r="M495" s="32" t="s">
        <v>111</v>
      </c>
    </row>
    <row r="496" spans="1:13" x14ac:dyDescent="0.25">
      <c r="A496" s="168">
        <v>46195</v>
      </c>
      <c r="B496" s="32">
        <v>1</v>
      </c>
      <c r="C496" s="32" t="s">
        <v>173</v>
      </c>
      <c r="D496" s="169" t="s">
        <v>174</v>
      </c>
      <c r="E496" s="169" t="s">
        <v>166</v>
      </c>
      <c r="F496" s="32" t="s">
        <v>111</v>
      </c>
      <c r="G496" s="32">
        <v>79</v>
      </c>
      <c r="H496" s="32" t="s">
        <v>169</v>
      </c>
      <c r="I496" s="32">
        <v>2422</v>
      </c>
      <c r="J496" s="36">
        <v>707.95</v>
      </c>
      <c r="K496" s="32" t="s">
        <v>4248</v>
      </c>
      <c r="L496" s="169" t="s">
        <v>116</v>
      </c>
      <c r="M496" s="32" t="s">
        <v>111</v>
      </c>
    </row>
    <row r="497" spans="1:13" x14ac:dyDescent="0.25">
      <c r="A497" s="168">
        <v>46195</v>
      </c>
      <c r="B497" s="32">
        <v>1</v>
      </c>
      <c r="C497" s="32" t="s">
        <v>173</v>
      </c>
      <c r="D497" s="169" t="s">
        <v>174</v>
      </c>
      <c r="E497" s="169" t="s">
        <v>166</v>
      </c>
      <c r="F497" s="32" t="s">
        <v>164</v>
      </c>
      <c r="G497" s="32">
        <v>58</v>
      </c>
      <c r="H497" s="32" t="s">
        <v>165</v>
      </c>
      <c r="I497" s="32">
        <v>2654</v>
      </c>
      <c r="J497" s="36">
        <v>569.54999999999995</v>
      </c>
      <c r="K497" s="32" t="s">
        <v>4249</v>
      </c>
      <c r="L497" s="169" t="s">
        <v>27</v>
      </c>
      <c r="M497" s="32" t="s">
        <v>224</v>
      </c>
    </row>
    <row r="498" spans="1:13" x14ac:dyDescent="0.25">
      <c r="A498" s="168">
        <v>46195</v>
      </c>
      <c r="B498" s="32">
        <v>1</v>
      </c>
      <c r="C498" s="32" t="s">
        <v>1129</v>
      </c>
      <c r="D498" s="169" t="s">
        <v>2396</v>
      </c>
      <c r="E498" s="169" t="s">
        <v>166</v>
      </c>
      <c r="F498" s="32" t="s">
        <v>111</v>
      </c>
      <c r="G498" s="32">
        <v>79</v>
      </c>
      <c r="H498" s="32" t="s">
        <v>169</v>
      </c>
      <c r="I498" s="32">
        <v>2744</v>
      </c>
      <c r="J498" s="36">
        <v>802.07</v>
      </c>
      <c r="K498" s="32" t="s">
        <v>4250</v>
      </c>
      <c r="L498" s="169" t="s">
        <v>116</v>
      </c>
      <c r="M498" s="32" t="s">
        <v>111</v>
      </c>
    </row>
    <row r="499" spans="1:13" x14ac:dyDescent="0.25">
      <c r="A499" s="168">
        <v>46195</v>
      </c>
      <c r="B499" s="32">
        <v>1</v>
      </c>
      <c r="C499" s="32" t="s">
        <v>1129</v>
      </c>
      <c r="D499" s="169" t="s">
        <v>2396</v>
      </c>
      <c r="E499" s="169" t="s">
        <v>166</v>
      </c>
      <c r="F499" s="32" t="s">
        <v>111</v>
      </c>
      <c r="G499" s="32">
        <v>79</v>
      </c>
      <c r="H499" s="32" t="s">
        <v>169</v>
      </c>
      <c r="I499" s="32">
        <v>2576</v>
      </c>
      <c r="J499" s="36">
        <v>752.96</v>
      </c>
      <c r="K499" s="32" t="s">
        <v>4251</v>
      </c>
      <c r="L499" s="169" t="s">
        <v>116</v>
      </c>
      <c r="M499" s="32" t="s">
        <v>111</v>
      </c>
    </row>
    <row r="500" spans="1:13" x14ac:dyDescent="0.25">
      <c r="A500" s="168">
        <v>46195</v>
      </c>
      <c r="B500" s="32">
        <v>1</v>
      </c>
      <c r="C500" s="32" t="s">
        <v>1129</v>
      </c>
      <c r="D500" s="169" t="s">
        <v>2396</v>
      </c>
      <c r="E500" s="169" t="s">
        <v>166</v>
      </c>
      <c r="F500" s="32" t="s">
        <v>164</v>
      </c>
      <c r="G500" s="32">
        <v>58</v>
      </c>
      <c r="H500" s="32" t="s">
        <v>165</v>
      </c>
      <c r="I500" s="32">
        <v>2642</v>
      </c>
      <c r="J500" s="36">
        <v>566.97</v>
      </c>
      <c r="K500" s="32" t="s">
        <v>4252</v>
      </c>
      <c r="L500" s="169" t="s">
        <v>27</v>
      </c>
      <c r="M500" s="32" t="s">
        <v>224</v>
      </c>
    </row>
    <row r="501" spans="1:13" x14ac:dyDescent="0.25">
      <c r="A501" s="168">
        <v>46195</v>
      </c>
      <c r="B501" s="32">
        <v>1</v>
      </c>
      <c r="C501" s="32" t="s">
        <v>1948</v>
      </c>
      <c r="D501" s="169" t="s">
        <v>1949</v>
      </c>
      <c r="E501" s="169" t="s">
        <v>190</v>
      </c>
      <c r="F501" s="32" t="s">
        <v>212</v>
      </c>
      <c r="G501" s="32">
        <v>376</v>
      </c>
      <c r="H501" s="32" t="s">
        <v>165</v>
      </c>
      <c r="I501" s="32">
        <v>462</v>
      </c>
      <c r="J501" s="36">
        <v>5558.78</v>
      </c>
      <c r="K501" s="32" t="s">
        <v>4253</v>
      </c>
      <c r="L501" s="169" t="s">
        <v>22</v>
      </c>
      <c r="M501" s="32" t="s">
        <v>223</v>
      </c>
    </row>
    <row r="502" spans="1:13" x14ac:dyDescent="0.25">
      <c r="A502" s="168">
        <v>46195</v>
      </c>
      <c r="B502" s="32">
        <v>1</v>
      </c>
      <c r="C502" s="32" t="s">
        <v>183</v>
      </c>
      <c r="D502" s="169" t="s">
        <v>184</v>
      </c>
      <c r="E502" s="169" t="s">
        <v>163</v>
      </c>
      <c r="F502" s="32" t="s">
        <v>164</v>
      </c>
      <c r="G502" s="32">
        <v>52</v>
      </c>
      <c r="H502" s="32" t="s">
        <v>175</v>
      </c>
      <c r="I502" s="32">
        <v>2679</v>
      </c>
      <c r="J502" s="36">
        <v>515.44000000000005</v>
      </c>
      <c r="K502" s="32" t="s">
        <v>4254</v>
      </c>
      <c r="L502" s="169" t="s">
        <v>21</v>
      </c>
      <c r="M502" s="32" t="s">
        <v>224</v>
      </c>
    </row>
    <row r="503" spans="1:13" x14ac:dyDescent="0.25">
      <c r="A503" s="168">
        <v>46195</v>
      </c>
      <c r="B503" s="32">
        <v>1</v>
      </c>
      <c r="C503" s="32" t="s">
        <v>193</v>
      </c>
      <c r="D503" s="169" t="s">
        <v>285</v>
      </c>
      <c r="E503" s="169" t="s">
        <v>166</v>
      </c>
      <c r="F503" s="32" t="s">
        <v>111</v>
      </c>
      <c r="G503" s="32">
        <v>79</v>
      </c>
      <c r="H503" s="32" t="s">
        <v>169</v>
      </c>
      <c r="I503" s="32">
        <v>261</v>
      </c>
      <c r="J503" s="36">
        <v>762.9</v>
      </c>
      <c r="K503" s="32" t="s">
        <v>4255</v>
      </c>
      <c r="L503" s="169" t="s">
        <v>116</v>
      </c>
      <c r="M503" s="32" t="s">
        <v>111</v>
      </c>
    </row>
    <row r="504" spans="1:13" x14ac:dyDescent="0.25">
      <c r="A504" s="168">
        <v>46195</v>
      </c>
      <c r="B504" s="32">
        <v>1</v>
      </c>
      <c r="C504" s="32" t="s">
        <v>193</v>
      </c>
      <c r="D504" s="169" t="s">
        <v>285</v>
      </c>
      <c r="E504" s="169" t="s">
        <v>166</v>
      </c>
      <c r="F504" s="32" t="s">
        <v>111</v>
      </c>
      <c r="G504" s="32">
        <v>79</v>
      </c>
      <c r="H504" s="32" t="s">
        <v>169</v>
      </c>
      <c r="I504" s="32">
        <v>2904</v>
      </c>
      <c r="J504" s="36">
        <v>848.84</v>
      </c>
      <c r="K504" s="32" t="s">
        <v>4256</v>
      </c>
      <c r="L504" s="169" t="s">
        <v>116</v>
      </c>
      <c r="M504" s="32" t="s">
        <v>111</v>
      </c>
    </row>
    <row r="505" spans="1:13" x14ac:dyDescent="0.25">
      <c r="A505" s="168">
        <v>46196</v>
      </c>
      <c r="B505" s="32">
        <v>1</v>
      </c>
      <c r="C505" s="32" t="s">
        <v>196</v>
      </c>
      <c r="D505" s="169" t="s">
        <v>197</v>
      </c>
      <c r="E505" s="169" t="s">
        <v>190</v>
      </c>
      <c r="F505" s="32" t="s">
        <v>212</v>
      </c>
      <c r="G505" s="32">
        <v>376</v>
      </c>
      <c r="H505" s="32" t="s">
        <v>165</v>
      </c>
      <c r="I505" s="32">
        <v>6742</v>
      </c>
      <c r="J505" s="36">
        <v>8111.97</v>
      </c>
      <c r="K505" s="32" t="s">
        <v>4257</v>
      </c>
      <c r="L505" s="169" t="s">
        <v>22</v>
      </c>
      <c r="M505" s="32" t="s">
        <v>223</v>
      </c>
    </row>
    <row r="506" spans="1:13" x14ac:dyDescent="0.25">
      <c r="A506" s="168">
        <v>46196</v>
      </c>
      <c r="B506" s="32">
        <v>1</v>
      </c>
      <c r="C506" s="32" t="s">
        <v>213</v>
      </c>
      <c r="D506" s="169" t="s">
        <v>1153</v>
      </c>
      <c r="E506" s="169" t="s">
        <v>190</v>
      </c>
      <c r="F506" s="32" t="s">
        <v>212</v>
      </c>
      <c r="G506" s="32">
        <v>376</v>
      </c>
      <c r="H506" s="32" t="s">
        <v>165</v>
      </c>
      <c r="I506" s="32">
        <v>6374</v>
      </c>
      <c r="J506" s="36">
        <v>7669.2</v>
      </c>
      <c r="K506" s="32" t="s">
        <v>4258</v>
      </c>
      <c r="L506" s="169" t="s">
        <v>22</v>
      </c>
      <c r="M506" s="32" t="s">
        <v>223</v>
      </c>
    </row>
    <row r="507" spans="1:13" x14ac:dyDescent="0.25">
      <c r="A507" s="168">
        <v>46196</v>
      </c>
      <c r="B507" s="32">
        <v>1</v>
      </c>
      <c r="C507" s="32" t="s">
        <v>176</v>
      </c>
      <c r="D507" s="169" t="s">
        <v>177</v>
      </c>
      <c r="E507" s="169" t="s">
        <v>190</v>
      </c>
      <c r="F507" s="32" t="s">
        <v>212</v>
      </c>
      <c r="G507" s="32">
        <v>376</v>
      </c>
      <c r="H507" s="32" t="s">
        <v>165</v>
      </c>
      <c r="I507" s="32">
        <v>4874</v>
      </c>
      <c r="J507" s="36">
        <v>5864.4</v>
      </c>
      <c r="K507" s="32" t="s">
        <v>4259</v>
      </c>
      <c r="L507" s="169" t="s">
        <v>22</v>
      </c>
      <c r="M507" s="32" t="s">
        <v>223</v>
      </c>
    </row>
    <row r="508" spans="1:13" x14ac:dyDescent="0.25">
      <c r="A508" s="168">
        <v>46196</v>
      </c>
      <c r="B508" s="32">
        <v>1</v>
      </c>
      <c r="C508" s="32" t="s">
        <v>203</v>
      </c>
      <c r="D508" s="169" t="s">
        <v>204</v>
      </c>
      <c r="E508" s="169" t="s">
        <v>190</v>
      </c>
      <c r="F508" s="32" t="s">
        <v>212</v>
      </c>
      <c r="G508" s="32">
        <v>376</v>
      </c>
      <c r="H508" s="32" t="s">
        <v>165</v>
      </c>
      <c r="I508" s="32">
        <v>5146</v>
      </c>
      <c r="J508" s="36">
        <v>6191.67</v>
      </c>
      <c r="K508" s="32" t="s">
        <v>4260</v>
      </c>
      <c r="L508" s="169" t="s">
        <v>22</v>
      </c>
      <c r="M508" s="32" t="s">
        <v>223</v>
      </c>
    </row>
    <row r="509" spans="1:13" x14ac:dyDescent="0.25">
      <c r="A509" s="168">
        <v>46196</v>
      </c>
      <c r="B509" s="32">
        <v>1</v>
      </c>
      <c r="C509" s="32" t="s">
        <v>342</v>
      </c>
      <c r="D509" s="169" t="s">
        <v>171</v>
      </c>
      <c r="E509" s="169" t="s">
        <v>163</v>
      </c>
      <c r="F509" s="32" t="s">
        <v>164</v>
      </c>
      <c r="G509" s="32">
        <v>52</v>
      </c>
      <c r="H509" s="32" t="s">
        <v>185</v>
      </c>
      <c r="I509" s="32">
        <v>4632</v>
      </c>
      <c r="J509" s="36">
        <v>891.2</v>
      </c>
      <c r="K509" s="32" t="s">
        <v>4261</v>
      </c>
      <c r="L509" s="169" t="s">
        <v>20</v>
      </c>
      <c r="M509" s="32" t="s">
        <v>224</v>
      </c>
    </row>
    <row r="510" spans="1:13" x14ac:dyDescent="0.25">
      <c r="A510" s="168">
        <v>46196</v>
      </c>
      <c r="B510" s="32">
        <v>1</v>
      </c>
      <c r="C510" s="32" t="s">
        <v>2866</v>
      </c>
      <c r="D510" s="169" t="s">
        <v>281</v>
      </c>
      <c r="E510" s="169" t="s">
        <v>166</v>
      </c>
      <c r="F510" s="32" t="s">
        <v>164</v>
      </c>
      <c r="G510" s="32">
        <v>58</v>
      </c>
      <c r="H510" s="32" t="s">
        <v>195</v>
      </c>
      <c r="I510" s="32">
        <v>3904</v>
      </c>
      <c r="J510" s="36">
        <v>837.8</v>
      </c>
      <c r="K510" s="32" t="s">
        <v>4262</v>
      </c>
      <c r="L510" s="169" t="s">
        <v>91</v>
      </c>
      <c r="M510" s="32" t="s">
        <v>224</v>
      </c>
    </row>
    <row r="511" spans="1:13" x14ac:dyDescent="0.25">
      <c r="A511" s="168">
        <v>46196</v>
      </c>
      <c r="B511" s="32">
        <v>1</v>
      </c>
      <c r="C511" s="32" t="s">
        <v>199</v>
      </c>
      <c r="D511" s="169" t="s">
        <v>180</v>
      </c>
      <c r="E511" s="169" t="s">
        <v>166</v>
      </c>
      <c r="F511" s="32" t="s">
        <v>111</v>
      </c>
      <c r="G511" s="32">
        <v>79</v>
      </c>
      <c r="H511" s="32" t="s">
        <v>169</v>
      </c>
      <c r="I511" s="32">
        <v>2826</v>
      </c>
      <c r="J511" s="36">
        <v>826.04</v>
      </c>
      <c r="K511" s="32" t="s">
        <v>4263</v>
      </c>
      <c r="L511" s="169" t="s">
        <v>116</v>
      </c>
      <c r="M511" s="32" t="s">
        <v>111</v>
      </c>
    </row>
    <row r="512" spans="1:13" x14ac:dyDescent="0.25">
      <c r="A512" s="168">
        <v>46196</v>
      </c>
      <c r="B512" s="32">
        <v>1</v>
      </c>
      <c r="C512" s="32" t="s">
        <v>167</v>
      </c>
      <c r="D512" s="169" t="s">
        <v>168</v>
      </c>
      <c r="E512" s="169" t="s">
        <v>163</v>
      </c>
      <c r="F512" s="32" t="s">
        <v>164</v>
      </c>
      <c r="G512" s="32">
        <v>52</v>
      </c>
      <c r="H512" s="32" t="s">
        <v>175</v>
      </c>
      <c r="I512" s="32">
        <v>2671</v>
      </c>
      <c r="J512" s="36">
        <v>513.9</v>
      </c>
      <c r="K512" s="32" t="s">
        <v>4264</v>
      </c>
      <c r="L512" s="169" t="s">
        <v>21</v>
      </c>
      <c r="M512" s="32" t="s">
        <v>224</v>
      </c>
    </row>
    <row r="513" spans="1:13" x14ac:dyDescent="0.25">
      <c r="A513" s="168">
        <v>46196</v>
      </c>
      <c r="B513" s="32">
        <v>1</v>
      </c>
      <c r="C513" s="32" t="s">
        <v>167</v>
      </c>
      <c r="D513" s="169" t="s">
        <v>168</v>
      </c>
      <c r="E513" s="169" t="s">
        <v>166</v>
      </c>
      <c r="F513" s="32" t="s">
        <v>111</v>
      </c>
      <c r="G513" s="32">
        <v>79</v>
      </c>
      <c r="H513" s="32" t="s">
        <v>169</v>
      </c>
      <c r="I513" s="32">
        <v>2612</v>
      </c>
      <c r="J513" s="36">
        <v>763.49</v>
      </c>
      <c r="K513" s="32" t="s">
        <v>4265</v>
      </c>
      <c r="L513" s="169" t="s">
        <v>116</v>
      </c>
      <c r="M513" s="32" t="s">
        <v>111</v>
      </c>
    </row>
    <row r="514" spans="1:13" x14ac:dyDescent="0.25">
      <c r="A514" s="168">
        <v>46196</v>
      </c>
      <c r="B514" s="32">
        <v>1</v>
      </c>
      <c r="C514" s="32" t="s">
        <v>2866</v>
      </c>
      <c r="D514" s="169" t="s">
        <v>281</v>
      </c>
      <c r="E514" s="169" t="s">
        <v>166</v>
      </c>
      <c r="F514" s="32" t="s">
        <v>164</v>
      </c>
      <c r="G514" s="32">
        <v>58</v>
      </c>
      <c r="H514" s="32" t="s">
        <v>165</v>
      </c>
      <c r="I514" s="32">
        <v>2614</v>
      </c>
      <c r="J514" s="36">
        <v>560.96</v>
      </c>
      <c r="K514" s="32" t="s">
        <v>4266</v>
      </c>
      <c r="L514" s="169" t="s">
        <v>27</v>
      </c>
      <c r="M514" s="32" t="s">
        <v>224</v>
      </c>
    </row>
    <row r="515" spans="1:13" x14ac:dyDescent="0.25">
      <c r="A515" s="168">
        <v>46196</v>
      </c>
      <c r="B515" s="32">
        <v>1</v>
      </c>
      <c r="C515" s="32" t="s">
        <v>342</v>
      </c>
      <c r="D515" s="169" t="s">
        <v>171</v>
      </c>
      <c r="E515" s="169" t="s">
        <v>163</v>
      </c>
      <c r="F515" s="32" t="s">
        <v>164</v>
      </c>
      <c r="G515" s="32">
        <v>52</v>
      </c>
      <c r="H515" s="32" t="s">
        <v>175</v>
      </c>
      <c r="I515" s="32">
        <v>4531</v>
      </c>
      <c r="J515" s="36">
        <v>871.76</v>
      </c>
      <c r="K515" s="32" t="s">
        <v>4267</v>
      </c>
      <c r="L515" s="169" t="s">
        <v>21</v>
      </c>
      <c r="M515" s="32" t="s">
        <v>224</v>
      </c>
    </row>
    <row r="516" spans="1:13" x14ac:dyDescent="0.25">
      <c r="A516" s="168">
        <v>46196</v>
      </c>
      <c r="B516" s="32">
        <v>1</v>
      </c>
      <c r="C516" s="32" t="s">
        <v>219</v>
      </c>
      <c r="D516" s="169" t="s">
        <v>220</v>
      </c>
      <c r="E516" s="169" t="s">
        <v>163</v>
      </c>
      <c r="F516" s="32" t="s">
        <v>164</v>
      </c>
      <c r="G516" s="32">
        <v>52</v>
      </c>
      <c r="H516" s="32" t="s">
        <v>175</v>
      </c>
      <c r="I516" s="32">
        <v>993</v>
      </c>
      <c r="J516" s="36">
        <v>1910.53</v>
      </c>
      <c r="K516" s="32" t="s">
        <v>4268</v>
      </c>
      <c r="L516" s="169" t="s">
        <v>21</v>
      </c>
      <c r="M516" s="32" t="s">
        <v>224</v>
      </c>
    </row>
    <row r="517" spans="1:13" x14ac:dyDescent="0.25">
      <c r="A517" s="168">
        <v>46196</v>
      </c>
      <c r="B517" s="32">
        <v>1</v>
      </c>
      <c r="C517" s="32" t="s">
        <v>199</v>
      </c>
      <c r="D517" s="169" t="s">
        <v>180</v>
      </c>
      <c r="E517" s="169" t="s">
        <v>166</v>
      </c>
      <c r="F517" s="32" t="s">
        <v>111</v>
      </c>
      <c r="G517" s="32">
        <v>79</v>
      </c>
      <c r="H517" s="32" t="s">
        <v>169</v>
      </c>
      <c r="I517" s="32">
        <v>284</v>
      </c>
      <c r="J517" s="36">
        <v>830.13</v>
      </c>
      <c r="K517" s="32" t="s">
        <v>4269</v>
      </c>
      <c r="L517" s="169" t="s">
        <v>116</v>
      </c>
      <c r="M517" s="32" t="s">
        <v>111</v>
      </c>
    </row>
    <row r="518" spans="1:13" x14ac:dyDescent="0.25">
      <c r="A518" s="168">
        <v>46196</v>
      </c>
      <c r="B518" s="32">
        <v>1</v>
      </c>
      <c r="C518" s="32" t="s">
        <v>167</v>
      </c>
      <c r="D518" s="169" t="s">
        <v>168</v>
      </c>
      <c r="E518" s="169" t="s">
        <v>166</v>
      </c>
      <c r="F518" s="32" t="s">
        <v>164</v>
      </c>
      <c r="G518" s="32">
        <v>58</v>
      </c>
      <c r="H518" s="32" t="s">
        <v>175</v>
      </c>
      <c r="I518" s="32">
        <v>279</v>
      </c>
      <c r="J518" s="36">
        <v>598.73</v>
      </c>
      <c r="K518" s="32" t="s">
        <v>4270</v>
      </c>
      <c r="L518" s="169" t="s">
        <v>86</v>
      </c>
      <c r="M518" s="32" t="s">
        <v>224</v>
      </c>
    </row>
    <row r="519" spans="1:13" x14ac:dyDescent="0.25">
      <c r="A519" s="168">
        <v>46196</v>
      </c>
      <c r="B519" s="32">
        <v>1</v>
      </c>
      <c r="C519" s="32" t="s">
        <v>2866</v>
      </c>
      <c r="D519" s="169" t="s">
        <v>281</v>
      </c>
      <c r="E519" s="169" t="s">
        <v>166</v>
      </c>
      <c r="F519" s="32" t="s">
        <v>164</v>
      </c>
      <c r="G519" s="32">
        <v>58</v>
      </c>
      <c r="H519" s="32" t="s">
        <v>165</v>
      </c>
      <c r="I519" s="32">
        <v>283</v>
      </c>
      <c r="J519" s="36">
        <v>607.32000000000005</v>
      </c>
      <c r="K519" s="32" t="s">
        <v>4271</v>
      </c>
      <c r="L519" s="169" t="s">
        <v>27</v>
      </c>
      <c r="M519" s="32" t="s">
        <v>224</v>
      </c>
    </row>
    <row r="520" spans="1:13" x14ac:dyDescent="0.25">
      <c r="A520" s="168">
        <v>46196</v>
      </c>
      <c r="B520" s="32">
        <v>1</v>
      </c>
      <c r="C520" s="32" t="s">
        <v>202</v>
      </c>
      <c r="D520" s="169" t="s">
        <v>214</v>
      </c>
      <c r="E520" s="169" t="s">
        <v>190</v>
      </c>
      <c r="F520" s="32" t="s">
        <v>212</v>
      </c>
      <c r="G520" s="32">
        <v>376</v>
      </c>
      <c r="H520" s="32" t="s">
        <v>165</v>
      </c>
      <c r="I520" s="32">
        <v>7014</v>
      </c>
      <c r="J520" s="36">
        <v>8439.24</v>
      </c>
      <c r="K520" s="32" t="s">
        <v>4272</v>
      </c>
      <c r="L520" s="169" t="s">
        <v>22</v>
      </c>
      <c r="M520" s="32" t="s">
        <v>223</v>
      </c>
    </row>
    <row r="521" spans="1:13" x14ac:dyDescent="0.25">
      <c r="A521" s="168">
        <v>46196</v>
      </c>
      <c r="B521" s="32">
        <v>1</v>
      </c>
      <c r="C521" s="32" t="s">
        <v>283</v>
      </c>
      <c r="D521" s="169" t="s">
        <v>282</v>
      </c>
      <c r="E521" s="169" t="s">
        <v>166</v>
      </c>
      <c r="F521" s="32" t="s">
        <v>1178</v>
      </c>
      <c r="G521" s="32">
        <v>51</v>
      </c>
      <c r="H521" s="32" t="s">
        <v>172</v>
      </c>
      <c r="I521" s="32">
        <v>2754</v>
      </c>
      <c r="J521" s="36">
        <v>519.67999999999995</v>
      </c>
      <c r="K521" s="32" t="s">
        <v>4273</v>
      </c>
      <c r="L521" s="169" t="s">
        <v>3847</v>
      </c>
      <c r="M521" s="32" t="s">
        <v>1178</v>
      </c>
    </row>
    <row r="522" spans="1:13" x14ac:dyDescent="0.25">
      <c r="A522" s="168">
        <v>46196</v>
      </c>
      <c r="B522" s="32">
        <v>1</v>
      </c>
      <c r="C522" s="32" t="s">
        <v>283</v>
      </c>
      <c r="D522" s="169" t="s">
        <v>282</v>
      </c>
      <c r="E522" s="169" t="s">
        <v>166</v>
      </c>
      <c r="F522" s="32" t="s">
        <v>1178</v>
      </c>
      <c r="G522" s="32">
        <v>51</v>
      </c>
      <c r="H522" s="32" t="s">
        <v>172</v>
      </c>
      <c r="I522" s="32">
        <v>2728</v>
      </c>
      <c r="J522" s="36">
        <v>514.77</v>
      </c>
      <c r="K522" s="32" t="s">
        <v>4274</v>
      </c>
      <c r="L522" s="169" t="s">
        <v>3847</v>
      </c>
      <c r="M522" s="32" t="s">
        <v>1178</v>
      </c>
    </row>
    <row r="523" spans="1:13" x14ac:dyDescent="0.25">
      <c r="A523" s="168">
        <v>46196</v>
      </c>
      <c r="B523" s="32">
        <v>1</v>
      </c>
      <c r="C523" s="32" t="s">
        <v>283</v>
      </c>
      <c r="D523" s="169" t="s">
        <v>282</v>
      </c>
      <c r="E523" s="169" t="s">
        <v>166</v>
      </c>
      <c r="F523" s="32" t="s">
        <v>1178</v>
      </c>
      <c r="G523" s="32">
        <v>51</v>
      </c>
      <c r="H523" s="32" t="s">
        <v>169</v>
      </c>
      <c r="I523" s="32">
        <v>276</v>
      </c>
      <c r="J523" s="36">
        <v>520.80999999999995</v>
      </c>
      <c r="K523" s="32" t="s">
        <v>4275</v>
      </c>
      <c r="L523" s="169" t="s">
        <v>3744</v>
      </c>
      <c r="M523" s="32" t="s">
        <v>1178</v>
      </c>
    </row>
    <row r="524" spans="1:13" x14ac:dyDescent="0.25">
      <c r="A524" s="168">
        <v>46196</v>
      </c>
      <c r="B524" s="32">
        <v>1</v>
      </c>
      <c r="C524" s="32" t="s">
        <v>296</v>
      </c>
      <c r="D524" s="169" t="s">
        <v>1536</v>
      </c>
      <c r="E524" s="169" t="s">
        <v>276</v>
      </c>
      <c r="F524" s="32" t="s">
        <v>919</v>
      </c>
      <c r="G524" s="32">
        <v>358</v>
      </c>
      <c r="H524" s="32" t="s">
        <v>207</v>
      </c>
      <c r="I524" s="32">
        <v>3988</v>
      </c>
      <c r="J524" s="36">
        <v>4568.6499999999996</v>
      </c>
      <c r="K524" s="32" t="s">
        <v>4276</v>
      </c>
      <c r="L524" s="169" t="s">
        <v>4277</v>
      </c>
      <c r="M524" s="32" t="s">
        <v>15</v>
      </c>
    </row>
    <row r="525" spans="1:13" x14ac:dyDescent="0.25">
      <c r="A525" s="168">
        <v>46196</v>
      </c>
      <c r="B525" s="32">
        <v>1</v>
      </c>
      <c r="C525" s="32" t="s">
        <v>183</v>
      </c>
      <c r="D525" s="169" t="s">
        <v>184</v>
      </c>
      <c r="E525" s="169" t="s">
        <v>166</v>
      </c>
      <c r="F525" s="32" t="s">
        <v>111</v>
      </c>
      <c r="G525" s="32">
        <v>79</v>
      </c>
      <c r="H525" s="32" t="s">
        <v>169</v>
      </c>
      <c r="I525" s="32">
        <v>2834</v>
      </c>
      <c r="J525" s="36">
        <v>828.38</v>
      </c>
      <c r="K525" s="32" t="s">
        <v>4278</v>
      </c>
      <c r="L525" s="169" t="s">
        <v>116</v>
      </c>
      <c r="M525" s="32" t="s">
        <v>111</v>
      </c>
    </row>
    <row r="526" spans="1:13" x14ac:dyDescent="0.25">
      <c r="A526" s="168">
        <v>46196</v>
      </c>
      <c r="B526" s="32">
        <v>1</v>
      </c>
      <c r="C526" s="32" t="s">
        <v>183</v>
      </c>
      <c r="D526" s="169" t="s">
        <v>184</v>
      </c>
      <c r="E526" s="169" t="s">
        <v>163</v>
      </c>
      <c r="F526" s="32" t="s">
        <v>164</v>
      </c>
      <c r="G526" s="32">
        <v>52</v>
      </c>
      <c r="H526" s="32" t="s">
        <v>175</v>
      </c>
      <c r="I526" s="32">
        <v>2722</v>
      </c>
      <c r="J526" s="36">
        <v>523.71</v>
      </c>
      <c r="K526" s="32" t="s">
        <v>4279</v>
      </c>
      <c r="L526" s="169" t="s">
        <v>21</v>
      </c>
      <c r="M526" s="32" t="s">
        <v>224</v>
      </c>
    </row>
    <row r="527" spans="1:13" x14ac:dyDescent="0.25">
      <c r="A527" s="168">
        <v>46196</v>
      </c>
      <c r="B527" s="32">
        <v>1</v>
      </c>
      <c r="C527" s="32" t="s">
        <v>199</v>
      </c>
      <c r="D527" s="169" t="s">
        <v>180</v>
      </c>
      <c r="E527" s="169" t="s">
        <v>163</v>
      </c>
      <c r="F527" s="32" t="s">
        <v>164</v>
      </c>
      <c r="G527" s="32">
        <v>52</v>
      </c>
      <c r="H527" s="32" t="s">
        <v>175</v>
      </c>
      <c r="I527" s="32">
        <v>2753</v>
      </c>
      <c r="J527" s="36">
        <v>529.67999999999995</v>
      </c>
      <c r="K527" s="32" t="s">
        <v>4280</v>
      </c>
      <c r="L527" s="169" t="s">
        <v>21</v>
      </c>
      <c r="M527" s="32" t="s">
        <v>224</v>
      </c>
    </row>
    <row r="528" spans="1:13" x14ac:dyDescent="0.25">
      <c r="A528" s="168">
        <v>46196</v>
      </c>
      <c r="B528" s="32">
        <v>1</v>
      </c>
      <c r="C528" s="32" t="s">
        <v>208</v>
      </c>
      <c r="D528" s="169" t="s">
        <v>209</v>
      </c>
      <c r="E528" s="169" t="s">
        <v>190</v>
      </c>
      <c r="F528" s="32" t="s">
        <v>212</v>
      </c>
      <c r="G528" s="32">
        <v>376</v>
      </c>
      <c r="H528" s="32" t="s">
        <v>165</v>
      </c>
      <c r="I528" s="32">
        <v>570</v>
      </c>
      <c r="J528" s="36">
        <v>6858.24</v>
      </c>
      <c r="K528" s="32" t="s">
        <v>4281</v>
      </c>
      <c r="L528" s="169" t="s">
        <v>22</v>
      </c>
      <c r="M528" s="32" t="s">
        <v>223</v>
      </c>
    </row>
    <row r="529" spans="1:13" x14ac:dyDescent="0.25">
      <c r="A529" s="168">
        <v>46196</v>
      </c>
      <c r="B529" s="32">
        <v>1</v>
      </c>
      <c r="C529" s="32" t="s">
        <v>193</v>
      </c>
      <c r="D529" s="169" t="s">
        <v>285</v>
      </c>
      <c r="E529" s="169" t="s">
        <v>166</v>
      </c>
      <c r="F529" s="32" t="s">
        <v>111</v>
      </c>
      <c r="G529" s="32">
        <v>79</v>
      </c>
      <c r="H529" s="32" t="s">
        <v>169</v>
      </c>
      <c r="I529" s="32">
        <v>2738</v>
      </c>
      <c r="J529" s="36">
        <v>800.32</v>
      </c>
      <c r="K529" s="32" t="s">
        <v>4282</v>
      </c>
      <c r="L529" s="169" t="s">
        <v>116</v>
      </c>
      <c r="M529" s="32" t="s">
        <v>111</v>
      </c>
    </row>
    <row r="530" spans="1:13" x14ac:dyDescent="0.25">
      <c r="A530" s="168">
        <v>46196</v>
      </c>
      <c r="B530" s="32">
        <v>1</v>
      </c>
      <c r="C530" s="32" t="s">
        <v>193</v>
      </c>
      <c r="D530" s="169" t="s">
        <v>285</v>
      </c>
      <c r="E530" s="169" t="s">
        <v>166</v>
      </c>
      <c r="F530" s="32" t="s">
        <v>111</v>
      </c>
      <c r="G530" s="32">
        <v>79</v>
      </c>
      <c r="H530" s="32" t="s">
        <v>169</v>
      </c>
      <c r="I530" s="32">
        <v>274</v>
      </c>
      <c r="J530" s="36">
        <v>800.9</v>
      </c>
      <c r="K530" s="32" t="s">
        <v>4283</v>
      </c>
      <c r="L530" s="169" t="s">
        <v>116</v>
      </c>
      <c r="M530" s="32" t="s">
        <v>111</v>
      </c>
    </row>
    <row r="531" spans="1:13" x14ac:dyDescent="0.25">
      <c r="A531" s="168">
        <v>46196</v>
      </c>
      <c r="B531" s="32">
        <v>1</v>
      </c>
      <c r="C531" s="32" t="s">
        <v>188</v>
      </c>
      <c r="D531" s="169" t="s">
        <v>189</v>
      </c>
      <c r="E531" s="169" t="s">
        <v>163</v>
      </c>
      <c r="F531" s="32" t="s">
        <v>164</v>
      </c>
      <c r="G531" s="32">
        <v>52</v>
      </c>
      <c r="H531" s="32" t="s">
        <v>175</v>
      </c>
      <c r="I531" s="32">
        <v>4999</v>
      </c>
      <c r="J531" s="36">
        <v>961.81</v>
      </c>
      <c r="K531" s="32" t="s">
        <v>4284</v>
      </c>
      <c r="L531" s="169" t="s">
        <v>21</v>
      </c>
      <c r="M531" s="32" t="s">
        <v>224</v>
      </c>
    </row>
    <row r="532" spans="1:13" x14ac:dyDescent="0.25">
      <c r="A532" s="168">
        <v>46196</v>
      </c>
      <c r="B532" s="32">
        <v>1</v>
      </c>
      <c r="C532" s="32" t="s">
        <v>188</v>
      </c>
      <c r="D532" s="169" t="s">
        <v>189</v>
      </c>
      <c r="E532" s="169" t="s">
        <v>163</v>
      </c>
      <c r="F532" s="32" t="s">
        <v>164</v>
      </c>
      <c r="G532" s="32">
        <v>52</v>
      </c>
      <c r="H532" s="32" t="s">
        <v>175</v>
      </c>
      <c r="I532" s="32">
        <v>6907</v>
      </c>
      <c r="J532" s="36">
        <v>1328.91</v>
      </c>
      <c r="K532" s="32" t="s">
        <v>4285</v>
      </c>
      <c r="L532" s="169" t="s">
        <v>21</v>
      </c>
      <c r="M532" s="32" t="s">
        <v>224</v>
      </c>
    </row>
    <row r="533" spans="1:13" x14ac:dyDescent="0.25">
      <c r="A533" s="168">
        <v>46196</v>
      </c>
      <c r="B533" s="32">
        <v>1</v>
      </c>
      <c r="C533" s="32" t="s">
        <v>286</v>
      </c>
      <c r="D533" s="169" t="s">
        <v>506</v>
      </c>
      <c r="E533" s="169" t="s">
        <v>166</v>
      </c>
      <c r="F533" s="32" t="s">
        <v>164</v>
      </c>
      <c r="G533" s="32">
        <v>58</v>
      </c>
      <c r="H533" s="32" t="s">
        <v>165</v>
      </c>
      <c r="I533" s="32">
        <v>4834</v>
      </c>
      <c r="J533" s="36">
        <v>1037.3800000000001</v>
      </c>
      <c r="K533" s="32" t="s">
        <v>4286</v>
      </c>
      <c r="L533" s="169" t="s">
        <v>27</v>
      </c>
      <c r="M533" s="32" t="s">
        <v>224</v>
      </c>
    </row>
    <row r="534" spans="1:13" x14ac:dyDescent="0.25">
      <c r="A534" s="168">
        <v>46196</v>
      </c>
      <c r="B534" s="32">
        <v>1</v>
      </c>
      <c r="C534" s="32" t="s">
        <v>286</v>
      </c>
      <c r="D534" s="169" t="s">
        <v>506</v>
      </c>
      <c r="E534" s="169" t="s">
        <v>166</v>
      </c>
      <c r="F534" s="32" t="s">
        <v>164</v>
      </c>
      <c r="G534" s="32">
        <v>58</v>
      </c>
      <c r="H534" s="32" t="s">
        <v>165</v>
      </c>
      <c r="I534" s="32">
        <v>4508</v>
      </c>
      <c r="J534" s="36">
        <v>967.42</v>
      </c>
      <c r="K534" s="32" t="s">
        <v>4287</v>
      </c>
      <c r="L534" s="169" t="s">
        <v>27</v>
      </c>
      <c r="M534" s="32" t="s">
        <v>224</v>
      </c>
    </row>
    <row r="535" spans="1:13" x14ac:dyDescent="0.25">
      <c r="A535" s="168">
        <v>46196</v>
      </c>
      <c r="B535" s="32">
        <v>1</v>
      </c>
      <c r="C535" s="32" t="s">
        <v>1129</v>
      </c>
      <c r="D535" s="169" t="s">
        <v>2396</v>
      </c>
      <c r="E535" s="169" t="s">
        <v>166</v>
      </c>
      <c r="F535" s="32" t="s">
        <v>111</v>
      </c>
      <c r="G535" s="32">
        <v>79</v>
      </c>
      <c r="H535" s="32" t="s">
        <v>169</v>
      </c>
      <c r="I535" s="32">
        <v>2722</v>
      </c>
      <c r="J535" s="36">
        <v>795.64</v>
      </c>
      <c r="K535" s="32" t="s">
        <v>4288</v>
      </c>
      <c r="L535" s="169" t="s">
        <v>116</v>
      </c>
      <c r="M535" s="32" t="s">
        <v>111</v>
      </c>
    </row>
    <row r="536" spans="1:13" x14ac:dyDescent="0.25">
      <c r="A536" s="168">
        <v>46196</v>
      </c>
      <c r="B536" s="32">
        <v>1</v>
      </c>
      <c r="C536" s="32" t="s">
        <v>1129</v>
      </c>
      <c r="D536" s="169" t="s">
        <v>2396</v>
      </c>
      <c r="E536" s="169" t="s">
        <v>166</v>
      </c>
      <c r="F536" s="32" t="s">
        <v>111</v>
      </c>
      <c r="G536" s="32">
        <v>79</v>
      </c>
      <c r="H536" s="32" t="s">
        <v>169</v>
      </c>
      <c r="I536" s="32">
        <v>2726</v>
      </c>
      <c r="J536" s="36">
        <v>796.81</v>
      </c>
      <c r="K536" s="32" t="s">
        <v>4289</v>
      </c>
      <c r="L536" s="169" t="s">
        <v>116</v>
      </c>
      <c r="M536" s="32" t="s">
        <v>111</v>
      </c>
    </row>
    <row r="537" spans="1:13" x14ac:dyDescent="0.25">
      <c r="A537" s="168">
        <v>46196</v>
      </c>
      <c r="B537" s="32">
        <v>1</v>
      </c>
      <c r="C537" s="32" t="s">
        <v>1129</v>
      </c>
      <c r="D537" s="169" t="s">
        <v>2396</v>
      </c>
      <c r="E537" s="169" t="s">
        <v>163</v>
      </c>
      <c r="F537" s="32" t="s">
        <v>164</v>
      </c>
      <c r="G537" s="32">
        <v>52</v>
      </c>
      <c r="H537" s="32" t="s">
        <v>175</v>
      </c>
      <c r="I537" s="32">
        <v>2741</v>
      </c>
      <c r="J537" s="36">
        <v>527.37</v>
      </c>
      <c r="K537" s="32" t="s">
        <v>4290</v>
      </c>
      <c r="L537" s="169" t="s">
        <v>21</v>
      </c>
      <c r="M537" s="32" t="s">
        <v>224</v>
      </c>
    </row>
    <row r="538" spans="1:13" x14ac:dyDescent="0.25">
      <c r="A538" s="168">
        <v>46196</v>
      </c>
      <c r="B538" s="32">
        <v>1</v>
      </c>
      <c r="C538" s="32" t="s">
        <v>1948</v>
      </c>
      <c r="D538" s="169" t="s">
        <v>1949</v>
      </c>
      <c r="E538" s="169" t="s">
        <v>190</v>
      </c>
      <c r="F538" s="32" t="s">
        <v>212</v>
      </c>
      <c r="G538" s="32">
        <v>376</v>
      </c>
      <c r="H538" s="32" t="s">
        <v>165</v>
      </c>
      <c r="I538" s="32">
        <v>469</v>
      </c>
      <c r="J538" s="36">
        <v>5643.01</v>
      </c>
      <c r="K538" s="32" t="s">
        <v>4291</v>
      </c>
      <c r="L538" s="169" t="s">
        <v>22</v>
      </c>
      <c r="M538" s="32" t="s">
        <v>223</v>
      </c>
    </row>
    <row r="539" spans="1:13" x14ac:dyDescent="0.25">
      <c r="A539" s="168">
        <v>46196</v>
      </c>
      <c r="B539" s="32">
        <v>1</v>
      </c>
      <c r="C539" s="32" t="s">
        <v>179</v>
      </c>
      <c r="D539" s="169" t="s">
        <v>2863</v>
      </c>
      <c r="E539" s="169" t="s">
        <v>166</v>
      </c>
      <c r="F539" s="32" t="s">
        <v>111</v>
      </c>
      <c r="G539" s="32">
        <v>79</v>
      </c>
      <c r="H539" s="32" t="s">
        <v>169</v>
      </c>
      <c r="I539" s="32">
        <v>2762</v>
      </c>
      <c r="J539" s="36">
        <v>807.33</v>
      </c>
      <c r="K539" s="32" t="s">
        <v>4292</v>
      </c>
      <c r="L539" s="169" t="s">
        <v>116</v>
      </c>
      <c r="M539" s="32" t="s">
        <v>111</v>
      </c>
    </row>
    <row r="540" spans="1:13" x14ac:dyDescent="0.25">
      <c r="A540" s="168">
        <v>46196</v>
      </c>
      <c r="B540" s="32">
        <v>1</v>
      </c>
      <c r="C540" s="32" t="s">
        <v>179</v>
      </c>
      <c r="D540" s="169" t="s">
        <v>2863</v>
      </c>
      <c r="E540" s="169" t="s">
        <v>166</v>
      </c>
      <c r="F540" s="32" t="s">
        <v>111</v>
      </c>
      <c r="G540" s="32">
        <v>79</v>
      </c>
      <c r="H540" s="32" t="s">
        <v>169</v>
      </c>
      <c r="I540" s="32">
        <v>2612</v>
      </c>
      <c r="J540" s="36">
        <v>763.49</v>
      </c>
      <c r="K540" s="32" t="s">
        <v>4293</v>
      </c>
      <c r="L540" s="169" t="s">
        <v>116</v>
      </c>
      <c r="M540" s="32" t="s">
        <v>111</v>
      </c>
    </row>
    <row r="541" spans="1:13" x14ac:dyDescent="0.25">
      <c r="A541" s="168">
        <v>46196</v>
      </c>
      <c r="B541" s="32">
        <v>1</v>
      </c>
      <c r="C541" s="32" t="s">
        <v>186</v>
      </c>
      <c r="D541" s="169" t="s">
        <v>187</v>
      </c>
      <c r="E541" s="169" t="s">
        <v>2757</v>
      </c>
      <c r="F541" s="32" t="s">
        <v>2867</v>
      </c>
      <c r="G541" s="32">
        <v>383</v>
      </c>
      <c r="H541" s="32" t="s">
        <v>172</v>
      </c>
      <c r="I541" s="32">
        <v>6152</v>
      </c>
      <c r="J541" s="36">
        <v>7539.89</v>
      </c>
      <c r="K541" s="32" t="s">
        <v>4294</v>
      </c>
      <c r="L541" s="169" t="s">
        <v>3865</v>
      </c>
      <c r="M541" s="32" t="s">
        <v>15</v>
      </c>
    </row>
    <row r="542" spans="1:13" x14ac:dyDescent="0.25">
      <c r="A542" s="168">
        <v>46196</v>
      </c>
      <c r="B542" s="32">
        <v>1</v>
      </c>
      <c r="C542" s="32" t="s">
        <v>270</v>
      </c>
      <c r="D542" s="169" t="s">
        <v>288</v>
      </c>
      <c r="E542" s="169" t="s">
        <v>190</v>
      </c>
      <c r="F542" s="32" t="s">
        <v>212</v>
      </c>
      <c r="G542" s="32">
        <v>376</v>
      </c>
      <c r="H542" s="32" t="s">
        <v>165</v>
      </c>
      <c r="I542" s="32">
        <v>5016</v>
      </c>
      <c r="J542" s="36">
        <v>6035.25</v>
      </c>
      <c r="K542" s="32" t="s">
        <v>4295</v>
      </c>
      <c r="L542" s="169" t="s">
        <v>22</v>
      </c>
      <c r="M542" s="32" t="s">
        <v>223</v>
      </c>
    </row>
    <row r="543" spans="1:13" x14ac:dyDescent="0.25">
      <c r="A543" s="168">
        <v>46197</v>
      </c>
      <c r="B543" s="32">
        <v>1</v>
      </c>
      <c r="C543" s="32" t="s">
        <v>213</v>
      </c>
      <c r="D543" s="169" t="s">
        <v>1153</v>
      </c>
      <c r="E543" s="169" t="s">
        <v>163</v>
      </c>
      <c r="F543" s="32" t="s">
        <v>164</v>
      </c>
      <c r="G543" s="32">
        <v>52</v>
      </c>
      <c r="H543" s="32" t="s">
        <v>175</v>
      </c>
      <c r="I543" s="32">
        <v>4541</v>
      </c>
      <c r="J543" s="36">
        <v>873.69</v>
      </c>
      <c r="K543" s="32" t="s">
        <v>4296</v>
      </c>
      <c r="L543" s="169" t="s">
        <v>21</v>
      </c>
      <c r="M543" s="32" t="s">
        <v>224</v>
      </c>
    </row>
    <row r="544" spans="1:13" x14ac:dyDescent="0.25">
      <c r="A544" s="168">
        <v>46197</v>
      </c>
      <c r="B544" s="32">
        <v>1</v>
      </c>
      <c r="C544" s="32" t="s">
        <v>196</v>
      </c>
      <c r="D544" s="169" t="s">
        <v>197</v>
      </c>
      <c r="E544" s="169" t="s">
        <v>163</v>
      </c>
      <c r="F544" s="32" t="s">
        <v>164</v>
      </c>
      <c r="G544" s="32">
        <v>52</v>
      </c>
      <c r="H544" s="32" t="s">
        <v>175</v>
      </c>
      <c r="I544" s="32">
        <v>4499</v>
      </c>
      <c r="J544" s="36">
        <v>865.61</v>
      </c>
      <c r="K544" s="32" t="s">
        <v>4297</v>
      </c>
      <c r="L544" s="169" t="s">
        <v>21</v>
      </c>
      <c r="M544" s="32" t="s">
        <v>224</v>
      </c>
    </row>
    <row r="545" spans="1:13" x14ac:dyDescent="0.25">
      <c r="A545" s="168">
        <v>46197</v>
      </c>
      <c r="B545" s="32">
        <v>1</v>
      </c>
      <c r="C545" s="32" t="s">
        <v>342</v>
      </c>
      <c r="D545" s="169" t="s">
        <v>171</v>
      </c>
      <c r="E545" s="169" t="s">
        <v>163</v>
      </c>
      <c r="F545" s="32" t="s">
        <v>164</v>
      </c>
      <c r="G545" s="32">
        <v>52</v>
      </c>
      <c r="H545" s="32" t="s">
        <v>175</v>
      </c>
      <c r="I545" s="32">
        <v>4582</v>
      </c>
      <c r="J545" s="36">
        <v>881.58</v>
      </c>
      <c r="K545" s="32" t="s">
        <v>4298</v>
      </c>
      <c r="L545" s="169" t="s">
        <v>21</v>
      </c>
      <c r="M545" s="32" t="s">
        <v>224</v>
      </c>
    </row>
    <row r="546" spans="1:13" x14ac:dyDescent="0.25">
      <c r="A546" s="168">
        <v>46197</v>
      </c>
      <c r="B546" s="32">
        <v>1</v>
      </c>
      <c r="C546" s="32" t="s">
        <v>199</v>
      </c>
      <c r="D546" s="169" t="s">
        <v>180</v>
      </c>
      <c r="E546" s="169" t="s">
        <v>166</v>
      </c>
      <c r="F546" s="32" t="s">
        <v>111</v>
      </c>
      <c r="G546" s="32">
        <v>79</v>
      </c>
      <c r="H546" s="32" t="s">
        <v>169</v>
      </c>
      <c r="I546" s="32">
        <v>2842</v>
      </c>
      <c r="J546" s="36">
        <v>830.72</v>
      </c>
      <c r="K546" s="32" t="s">
        <v>4299</v>
      </c>
      <c r="L546" s="169" t="s">
        <v>116</v>
      </c>
      <c r="M546" s="32" t="s">
        <v>111</v>
      </c>
    </row>
    <row r="547" spans="1:13" x14ac:dyDescent="0.25">
      <c r="A547" s="168">
        <v>46197</v>
      </c>
      <c r="B547" s="32">
        <v>1</v>
      </c>
      <c r="C547" s="32" t="s">
        <v>188</v>
      </c>
      <c r="D547" s="169" t="s">
        <v>189</v>
      </c>
      <c r="E547" s="169" t="s">
        <v>163</v>
      </c>
      <c r="F547" s="32" t="s">
        <v>164</v>
      </c>
      <c r="G547" s="32">
        <v>52</v>
      </c>
      <c r="H547" s="32" t="s">
        <v>175</v>
      </c>
      <c r="I547" s="32">
        <v>4786</v>
      </c>
      <c r="J547" s="36">
        <v>920.83</v>
      </c>
      <c r="K547" s="32" t="s">
        <v>4300</v>
      </c>
      <c r="L547" s="169" t="s">
        <v>21</v>
      </c>
      <c r="M547" s="32" t="s">
        <v>224</v>
      </c>
    </row>
    <row r="548" spans="1:13" x14ac:dyDescent="0.25">
      <c r="A548" s="168">
        <v>46197</v>
      </c>
      <c r="B548" s="32">
        <v>1</v>
      </c>
      <c r="C548" s="32" t="s">
        <v>167</v>
      </c>
      <c r="D548" s="169" t="s">
        <v>168</v>
      </c>
      <c r="E548" s="169" t="s">
        <v>163</v>
      </c>
      <c r="F548" s="32" t="s">
        <v>164</v>
      </c>
      <c r="G548" s="32">
        <v>52</v>
      </c>
      <c r="H548" s="32" t="s">
        <v>175</v>
      </c>
      <c r="I548" s="32">
        <v>2812</v>
      </c>
      <c r="J548" s="36">
        <v>541.03</v>
      </c>
      <c r="K548" s="32" t="s">
        <v>4301</v>
      </c>
      <c r="L548" s="169" t="s">
        <v>21</v>
      </c>
      <c r="M548" s="32" t="s">
        <v>224</v>
      </c>
    </row>
    <row r="549" spans="1:13" x14ac:dyDescent="0.25">
      <c r="A549" s="168">
        <v>46197</v>
      </c>
      <c r="B549" s="32">
        <v>1</v>
      </c>
      <c r="C549" s="32" t="s">
        <v>167</v>
      </c>
      <c r="D549" s="169" t="s">
        <v>168</v>
      </c>
      <c r="E549" s="169" t="s">
        <v>166</v>
      </c>
      <c r="F549" s="32" t="s">
        <v>111</v>
      </c>
      <c r="G549" s="32">
        <v>79</v>
      </c>
      <c r="H549" s="32" t="s">
        <v>169</v>
      </c>
      <c r="I549" s="32">
        <v>2672</v>
      </c>
      <c r="J549" s="36">
        <v>781.03</v>
      </c>
      <c r="K549" s="32" t="s">
        <v>4302</v>
      </c>
      <c r="L549" s="169" t="s">
        <v>116</v>
      </c>
      <c r="M549" s="32" t="s">
        <v>111</v>
      </c>
    </row>
    <row r="550" spans="1:13" x14ac:dyDescent="0.25">
      <c r="A550" s="168">
        <v>46197</v>
      </c>
      <c r="B550" s="32">
        <v>1</v>
      </c>
      <c r="C550" s="32" t="s">
        <v>167</v>
      </c>
      <c r="D550" s="169" t="s">
        <v>168</v>
      </c>
      <c r="E550" s="169" t="s">
        <v>163</v>
      </c>
      <c r="F550" s="32" t="s">
        <v>164</v>
      </c>
      <c r="G550" s="32">
        <v>52</v>
      </c>
      <c r="H550" s="32" t="s">
        <v>195</v>
      </c>
      <c r="I550" s="32">
        <v>2612</v>
      </c>
      <c r="J550" s="36">
        <v>502.55</v>
      </c>
      <c r="K550" s="32" t="s">
        <v>4303</v>
      </c>
      <c r="L550" s="169" t="s">
        <v>137</v>
      </c>
      <c r="M550" s="32" t="s">
        <v>224</v>
      </c>
    </row>
    <row r="551" spans="1:13" x14ac:dyDescent="0.25">
      <c r="A551" s="168">
        <v>46197</v>
      </c>
      <c r="B551" s="32">
        <v>1</v>
      </c>
      <c r="C551" s="32" t="s">
        <v>342</v>
      </c>
      <c r="D551" s="169" t="s">
        <v>171</v>
      </c>
      <c r="E551" s="169" t="s">
        <v>163</v>
      </c>
      <c r="F551" s="32" t="s">
        <v>164</v>
      </c>
      <c r="G551" s="32">
        <v>52</v>
      </c>
      <c r="H551" s="32" t="s">
        <v>165</v>
      </c>
      <c r="I551" s="32">
        <v>4608</v>
      </c>
      <c r="J551" s="36">
        <v>886.58</v>
      </c>
      <c r="K551" s="32" t="s">
        <v>4304</v>
      </c>
      <c r="L551" s="169" t="s">
        <v>31</v>
      </c>
      <c r="M551" s="32" t="s">
        <v>224</v>
      </c>
    </row>
    <row r="552" spans="1:13" x14ac:dyDescent="0.25">
      <c r="A552" s="168">
        <v>46197</v>
      </c>
      <c r="B552" s="32">
        <v>1</v>
      </c>
      <c r="C552" s="32" t="s">
        <v>181</v>
      </c>
      <c r="D552" s="169" t="s">
        <v>182</v>
      </c>
      <c r="E552" s="169" t="s">
        <v>166</v>
      </c>
      <c r="F552" s="32" t="s">
        <v>164</v>
      </c>
      <c r="G552" s="32">
        <v>58</v>
      </c>
      <c r="H552" s="32" t="s">
        <v>165</v>
      </c>
      <c r="I552" s="32">
        <v>2694</v>
      </c>
      <c r="J552" s="36">
        <v>578.13</v>
      </c>
      <c r="K552" s="32" t="s">
        <v>4305</v>
      </c>
      <c r="L552" s="169" t="s">
        <v>27</v>
      </c>
      <c r="M552" s="32" t="s">
        <v>224</v>
      </c>
    </row>
    <row r="553" spans="1:13" x14ac:dyDescent="0.25">
      <c r="A553" s="168">
        <v>46197</v>
      </c>
      <c r="B553" s="32">
        <v>1</v>
      </c>
      <c r="C553" s="32" t="s">
        <v>2866</v>
      </c>
      <c r="D553" s="169" t="s">
        <v>281</v>
      </c>
      <c r="E553" s="169" t="s">
        <v>166</v>
      </c>
      <c r="F553" s="32" t="s">
        <v>111</v>
      </c>
      <c r="G553" s="32">
        <v>79</v>
      </c>
      <c r="H553" s="32" t="s">
        <v>195</v>
      </c>
      <c r="I553" s="32">
        <v>2774</v>
      </c>
      <c r="J553" s="36">
        <v>810.84</v>
      </c>
      <c r="K553" s="32" t="s">
        <v>4306</v>
      </c>
      <c r="L553" s="169" t="s">
        <v>4307</v>
      </c>
      <c r="M553" s="32" t="s">
        <v>111</v>
      </c>
    </row>
    <row r="554" spans="1:13" x14ac:dyDescent="0.25">
      <c r="A554" s="168">
        <v>46197</v>
      </c>
      <c r="B554" s="32">
        <v>1</v>
      </c>
      <c r="C554" s="32" t="s">
        <v>188</v>
      </c>
      <c r="D554" s="169" t="s">
        <v>189</v>
      </c>
      <c r="E554" s="169" t="s">
        <v>163</v>
      </c>
      <c r="F554" s="32" t="s">
        <v>164</v>
      </c>
      <c r="G554" s="32">
        <v>52</v>
      </c>
      <c r="H554" s="32" t="s">
        <v>175</v>
      </c>
      <c r="I554" s="32">
        <v>481</v>
      </c>
      <c r="J554" s="36">
        <v>925.44</v>
      </c>
      <c r="K554" s="32" t="s">
        <v>4308</v>
      </c>
      <c r="L554" s="169" t="s">
        <v>21</v>
      </c>
      <c r="M554" s="32" t="s">
        <v>224</v>
      </c>
    </row>
    <row r="555" spans="1:13" x14ac:dyDescent="0.25">
      <c r="A555" s="168">
        <v>46197</v>
      </c>
      <c r="B555" s="32">
        <v>1</v>
      </c>
      <c r="C555" s="32" t="s">
        <v>199</v>
      </c>
      <c r="D555" s="169" t="s">
        <v>180</v>
      </c>
      <c r="E555" s="169" t="s">
        <v>166</v>
      </c>
      <c r="F555" s="32" t="s">
        <v>111</v>
      </c>
      <c r="G555" s="32">
        <v>79</v>
      </c>
      <c r="H555" s="32" t="s">
        <v>169</v>
      </c>
      <c r="I555" s="32">
        <v>2746</v>
      </c>
      <c r="J555" s="36">
        <v>802.66</v>
      </c>
      <c r="K555" s="32" t="s">
        <v>4309</v>
      </c>
      <c r="L555" s="169" t="s">
        <v>116</v>
      </c>
      <c r="M555" s="32" t="s">
        <v>111</v>
      </c>
    </row>
    <row r="556" spans="1:13" x14ac:dyDescent="0.25">
      <c r="A556" s="168">
        <v>46197</v>
      </c>
      <c r="B556" s="32">
        <v>1</v>
      </c>
      <c r="C556" s="32" t="s">
        <v>2866</v>
      </c>
      <c r="D556" s="169" t="s">
        <v>281</v>
      </c>
      <c r="E556" s="169" t="s">
        <v>166</v>
      </c>
      <c r="F556" s="32" t="s">
        <v>111</v>
      </c>
      <c r="G556" s="32">
        <v>79</v>
      </c>
      <c r="H556" s="32" t="s">
        <v>169</v>
      </c>
      <c r="I556" s="32">
        <v>2716</v>
      </c>
      <c r="J556" s="36">
        <v>793.89</v>
      </c>
      <c r="K556" s="32" t="s">
        <v>4310</v>
      </c>
      <c r="L556" s="169" t="s">
        <v>116</v>
      </c>
      <c r="M556" s="32" t="s">
        <v>111</v>
      </c>
    </row>
    <row r="557" spans="1:13" x14ac:dyDescent="0.25">
      <c r="A557" s="168">
        <v>46197</v>
      </c>
      <c r="B557" s="32">
        <v>1</v>
      </c>
      <c r="C557" s="32" t="s">
        <v>2866</v>
      </c>
      <c r="D557" s="169" t="s">
        <v>281</v>
      </c>
      <c r="E557" s="169" t="s">
        <v>166</v>
      </c>
      <c r="F557" s="32" t="s">
        <v>111</v>
      </c>
      <c r="G557" s="32">
        <v>79</v>
      </c>
      <c r="H557" s="32" t="s">
        <v>169</v>
      </c>
      <c r="I557" s="32">
        <v>2704</v>
      </c>
      <c r="J557" s="36">
        <v>790.38</v>
      </c>
      <c r="K557" s="32" t="s">
        <v>4311</v>
      </c>
      <c r="L557" s="169" t="s">
        <v>116</v>
      </c>
      <c r="M557" s="32" t="s">
        <v>111</v>
      </c>
    </row>
    <row r="558" spans="1:13" x14ac:dyDescent="0.25">
      <c r="A558" s="168">
        <v>46197</v>
      </c>
      <c r="B558" s="32">
        <v>1</v>
      </c>
      <c r="C558" s="32" t="s">
        <v>219</v>
      </c>
      <c r="D558" s="169" t="s">
        <v>220</v>
      </c>
      <c r="E558" s="169" t="s">
        <v>163</v>
      </c>
      <c r="F558" s="32" t="s">
        <v>164</v>
      </c>
      <c r="G558" s="32">
        <v>52</v>
      </c>
      <c r="H558" s="32" t="s">
        <v>165</v>
      </c>
      <c r="I558" s="32">
        <v>623</v>
      </c>
      <c r="J558" s="36">
        <v>1198.6500000000001</v>
      </c>
      <c r="K558" s="32" t="s">
        <v>4312</v>
      </c>
      <c r="L558" s="169" t="s">
        <v>31</v>
      </c>
      <c r="M558" s="32" t="s">
        <v>224</v>
      </c>
    </row>
    <row r="559" spans="1:13" x14ac:dyDescent="0.25">
      <c r="A559" s="168">
        <v>46197</v>
      </c>
      <c r="B559" s="32">
        <v>1</v>
      </c>
      <c r="C559" s="32" t="s">
        <v>219</v>
      </c>
      <c r="D559" s="169" t="s">
        <v>220</v>
      </c>
      <c r="E559" s="169" t="s">
        <v>163</v>
      </c>
      <c r="F559" s="32" t="s">
        <v>164</v>
      </c>
      <c r="G559" s="32">
        <v>52</v>
      </c>
      <c r="H559" s="32" t="s">
        <v>175</v>
      </c>
      <c r="I559" s="32">
        <v>977</v>
      </c>
      <c r="J559" s="36">
        <v>1879.75</v>
      </c>
      <c r="K559" s="32" t="s">
        <v>4313</v>
      </c>
      <c r="L559" s="169" t="s">
        <v>21</v>
      </c>
      <c r="M559" s="32" t="s">
        <v>224</v>
      </c>
    </row>
    <row r="560" spans="1:13" x14ac:dyDescent="0.25">
      <c r="A560" s="168">
        <v>46197</v>
      </c>
      <c r="B560" s="32">
        <v>1</v>
      </c>
      <c r="C560" s="32" t="s">
        <v>173</v>
      </c>
      <c r="D560" s="169" t="s">
        <v>174</v>
      </c>
      <c r="E560" s="169" t="s">
        <v>166</v>
      </c>
      <c r="F560" s="32" t="s">
        <v>164</v>
      </c>
      <c r="G560" s="32">
        <v>58</v>
      </c>
      <c r="H560" s="32" t="s">
        <v>165</v>
      </c>
      <c r="I560" s="32">
        <v>2688</v>
      </c>
      <c r="J560" s="36">
        <v>576.84</v>
      </c>
      <c r="K560" s="32" t="s">
        <v>4314</v>
      </c>
      <c r="L560" s="169" t="s">
        <v>27</v>
      </c>
      <c r="M560" s="32" t="s">
        <v>224</v>
      </c>
    </row>
    <row r="561" spans="1:13" x14ac:dyDescent="0.25">
      <c r="A561" s="168">
        <v>46197</v>
      </c>
      <c r="B561" s="32">
        <v>1</v>
      </c>
      <c r="C561" s="32" t="s">
        <v>173</v>
      </c>
      <c r="D561" s="169" t="s">
        <v>174</v>
      </c>
      <c r="E561" s="169" t="s">
        <v>166</v>
      </c>
      <c r="F561" s="32" t="s">
        <v>164</v>
      </c>
      <c r="G561" s="32">
        <v>58</v>
      </c>
      <c r="H561" s="32" t="s">
        <v>169</v>
      </c>
      <c r="I561" s="32">
        <v>2602</v>
      </c>
      <c r="J561" s="36">
        <v>558.39</v>
      </c>
      <c r="K561" s="32" t="s">
        <v>4315</v>
      </c>
      <c r="L561" s="169" t="s">
        <v>57</v>
      </c>
      <c r="M561" s="32" t="s">
        <v>224</v>
      </c>
    </row>
    <row r="562" spans="1:13" x14ac:dyDescent="0.25">
      <c r="A562" s="168">
        <v>46197</v>
      </c>
      <c r="B562" s="32">
        <v>1</v>
      </c>
      <c r="C562" s="32" t="s">
        <v>183</v>
      </c>
      <c r="D562" s="169" t="s">
        <v>184</v>
      </c>
      <c r="E562" s="169" t="s">
        <v>166</v>
      </c>
      <c r="F562" s="32" t="s">
        <v>111</v>
      </c>
      <c r="G562" s="32">
        <v>79</v>
      </c>
      <c r="H562" s="32" t="s">
        <v>169</v>
      </c>
      <c r="I562" s="32">
        <v>281</v>
      </c>
      <c r="J562" s="36">
        <v>821.36</v>
      </c>
      <c r="K562" s="32" t="s">
        <v>4316</v>
      </c>
      <c r="L562" s="169" t="s">
        <v>116</v>
      </c>
      <c r="M562" s="32" t="s">
        <v>111</v>
      </c>
    </row>
    <row r="563" spans="1:13" x14ac:dyDescent="0.25">
      <c r="A563" s="168">
        <v>46197</v>
      </c>
      <c r="B563" s="32">
        <v>1</v>
      </c>
      <c r="C563" s="32" t="s">
        <v>183</v>
      </c>
      <c r="D563" s="169" t="s">
        <v>184</v>
      </c>
      <c r="E563" s="169" t="s">
        <v>166</v>
      </c>
      <c r="F563" s="32" t="s">
        <v>111</v>
      </c>
      <c r="G563" s="32">
        <v>79</v>
      </c>
      <c r="H563" s="32" t="s">
        <v>169</v>
      </c>
      <c r="I563" s="32">
        <v>2882</v>
      </c>
      <c r="J563" s="36">
        <v>842.41</v>
      </c>
      <c r="K563" s="32" t="s">
        <v>4317</v>
      </c>
      <c r="L563" s="169" t="s">
        <v>116</v>
      </c>
      <c r="M563" s="32" t="s">
        <v>111</v>
      </c>
    </row>
    <row r="564" spans="1:13" x14ac:dyDescent="0.25">
      <c r="A564" s="168">
        <v>46197</v>
      </c>
      <c r="B564" s="32">
        <v>1</v>
      </c>
      <c r="C564" s="32" t="s">
        <v>183</v>
      </c>
      <c r="D564" s="169" t="s">
        <v>184</v>
      </c>
      <c r="E564" s="169" t="s">
        <v>163</v>
      </c>
      <c r="F564" s="32" t="s">
        <v>164</v>
      </c>
      <c r="G564" s="32">
        <v>52</v>
      </c>
      <c r="H564" s="32" t="s">
        <v>175</v>
      </c>
      <c r="I564" s="32">
        <v>2722</v>
      </c>
      <c r="J564" s="36">
        <v>523.71</v>
      </c>
      <c r="K564" s="32" t="s">
        <v>4279</v>
      </c>
      <c r="L564" s="169" t="s">
        <v>21</v>
      </c>
      <c r="M564" s="32" t="s">
        <v>224</v>
      </c>
    </row>
    <row r="565" spans="1:13" x14ac:dyDescent="0.25">
      <c r="A565" s="168">
        <v>46197</v>
      </c>
      <c r="B565" s="32">
        <v>1</v>
      </c>
      <c r="C565" s="32" t="s">
        <v>296</v>
      </c>
      <c r="D565" s="169" t="s">
        <v>1536</v>
      </c>
      <c r="E565" s="169" t="s">
        <v>276</v>
      </c>
      <c r="F565" s="32" t="s">
        <v>2865</v>
      </c>
      <c r="G565" s="32">
        <v>37</v>
      </c>
      <c r="H565" s="32" t="s">
        <v>165</v>
      </c>
      <c r="I565" s="32">
        <v>3764</v>
      </c>
      <c r="J565" s="36">
        <v>515.29</v>
      </c>
      <c r="K565" s="32" t="s">
        <v>4318</v>
      </c>
      <c r="L565" s="169" t="s">
        <v>118</v>
      </c>
      <c r="M565" s="32" t="s">
        <v>15</v>
      </c>
    </row>
    <row r="566" spans="1:13" x14ac:dyDescent="0.25">
      <c r="A566" s="168">
        <v>46197</v>
      </c>
      <c r="B566" s="32">
        <v>1</v>
      </c>
      <c r="C566" s="32" t="s">
        <v>283</v>
      </c>
      <c r="D566" s="169" t="s">
        <v>282</v>
      </c>
      <c r="E566" s="169" t="s">
        <v>166</v>
      </c>
      <c r="F566" s="32" t="s">
        <v>1178</v>
      </c>
      <c r="G566" s="32">
        <v>51</v>
      </c>
      <c r="H566" s="32" t="s">
        <v>172</v>
      </c>
      <c r="I566" s="32">
        <v>238</v>
      </c>
      <c r="J566" s="36">
        <v>449.11</v>
      </c>
      <c r="K566" s="32" t="s">
        <v>4319</v>
      </c>
      <c r="L566" s="169" t="s">
        <v>3847</v>
      </c>
      <c r="M566" s="32" t="s">
        <v>1178</v>
      </c>
    </row>
    <row r="567" spans="1:13" x14ac:dyDescent="0.25">
      <c r="A567" s="168">
        <v>46197</v>
      </c>
      <c r="B567" s="32">
        <v>1</v>
      </c>
      <c r="C567" s="32" t="s">
        <v>283</v>
      </c>
      <c r="D567" s="169" t="s">
        <v>282</v>
      </c>
      <c r="E567" s="169" t="s">
        <v>166</v>
      </c>
      <c r="F567" s="32" t="s">
        <v>1178</v>
      </c>
      <c r="G567" s="32">
        <v>51</v>
      </c>
      <c r="H567" s="32" t="s">
        <v>172</v>
      </c>
      <c r="I567" s="32">
        <v>2782</v>
      </c>
      <c r="J567" s="36">
        <v>524.96</v>
      </c>
      <c r="K567" s="32" t="s">
        <v>4320</v>
      </c>
      <c r="L567" s="169" t="s">
        <v>3847</v>
      </c>
      <c r="M567" s="32" t="s">
        <v>1178</v>
      </c>
    </row>
    <row r="568" spans="1:13" x14ac:dyDescent="0.25">
      <c r="A568" s="168">
        <v>46197</v>
      </c>
      <c r="B568" s="32">
        <v>1</v>
      </c>
      <c r="C568" s="32" t="s">
        <v>283</v>
      </c>
      <c r="D568" s="169" t="s">
        <v>282</v>
      </c>
      <c r="E568" s="169" t="s">
        <v>166</v>
      </c>
      <c r="F568" s="32" t="s">
        <v>1178</v>
      </c>
      <c r="G568" s="32">
        <v>51</v>
      </c>
      <c r="H568" s="32" t="s">
        <v>169</v>
      </c>
      <c r="I568" s="32">
        <v>2738</v>
      </c>
      <c r="J568" s="36">
        <v>516.66</v>
      </c>
      <c r="K568" s="32" t="s">
        <v>4321</v>
      </c>
      <c r="L568" s="169" t="s">
        <v>3744</v>
      </c>
      <c r="M568" s="32" t="s">
        <v>1178</v>
      </c>
    </row>
    <row r="569" spans="1:13" x14ac:dyDescent="0.25">
      <c r="A569" s="168">
        <v>46197</v>
      </c>
      <c r="B569" s="32">
        <v>1</v>
      </c>
      <c r="C569" s="32" t="s">
        <v>179</v>
      </c>
      <c r="D569" s="169" t="s">
        <v>2863</v>
      </c>
      <c r="E569" s="169" t="s">
        <v>166</v>
      </c>
      <c r="F569" s="32" t="s">
        <v>111</v>
      </c>
      <c r="G569" s="32">
        <v>79</v>
      </c>
      <c r="H569" s="32" t="s">
        <v>169</v>
      </c>
      <c r="I569" s="32">
        <v>262</v>
      </c>
      <c r="J569" s="36">
        <v>765.83</v>
      </c>
      <c r="K569" s="32" t="s">
        <v>4322</v>
      </c>
      <c r="L569" s="169" t="s">
        <v>116</v>
      </c>
      <c r="M569" s="32" t="s">
        <v>111</v>
      </c>
    </row>
    <row r="570" spans="1:13" x14ac:dyDescent="0.25">
      <c r="A570" s="168">
        <v>46197</v>
      </c>
      <c r="B570" s="32">
        <v>1</v>
      </c>
      <c r="C570" s="32" t="s">
        <v>179</v>
      </c>
      <c r="D570" s="169" t="s">
        <v>2863</v>
      </c>
      <c r="E570" s="169" t="s">
        <v>166</v>
      </c>
      <c r="F570" s="32" t="s">
        <v>111</v>
      </c>
      <c r="G570" s="32">
        <v>79</v>
      </c>
      <c r="H570" s="32" t="s">
        <v>169</v>
      </c>
      <c r="I570" s="32">
        <v>2648</v>
      </c>
      <c r="J570" s="36">
        <v>774.01</v>
      </c>
      <c r="K570" s="32" t="s">
        <v>4323</v>
      </c>
      <c r="L570" s="169" t="s">
        <v>116</v>
      </c>
      <c r="M570" s="32" t="s">
        <v>111</v>
      </c>
    </row>
    <row r="571" spans="1:13" x14ac:dyDescent="0.25">
      <c r="A571" s="168">
        <v>46197</v>
      </c>
      <c r="B571" s="32">
        <v>1</v>
      </c>
      <c r="C571" s="32" t="s">
        <v>286</v>
      </c>
      <c r="D571" s="169" t="s">
        <v>506</v>
      </c>
      <c r="E571" s="169" t="s">
        <v>166</v>
      </c>
      <c r="F571" s="32" t="s">
        <v>164</v>
      </c>
      <c r="G571" s="32">
        <v>58</v>
      </c>
      <c r="H571" s="32" t="s">
        <v>165</v>
      </c>
      <c r="I571" s="32">
        <v>4574</v>
      </c>
      <c r="J571" s="36">
        <v>981.58</v>
      </c>
      <c r="K571" s="32" t="s">
        <v>4324</v>
      </c>
      <c r="L571" s="169" t="s">
        <v>27</v>
      </c>
      <c r="M571" s="32" t="s">
        <v>224</v>
      </c>
    </row>
    <row r="572" spans="1:13" x14ac:dyDescent="0.25">
      <c r="A572" s="168">
        <v>46197</v>
      </c>
      <c r="B572" s="32">
        <v>1</v>
      </c>
      <c r="C572" s="32" t="s">
        <v>286</v>
      </c>
      <c r="D572" s="169" t="s">
        <v>506</v>
      </c>
      <c r="E572" s="169" t="s">
        <v>166</v>
      </c>
      <c r="F572" s="32" t="s">
        <v>164</v>
      </c>
      <c r="G572" s="32">
        <v>58</v>
      </c>
      <c r="H572" s="32" t="s">
        <v>165</v>
      </c>
      <c r="I572" s="32">
        <v>466</v>
      </c>
      <c r="J572" s="36">
        <v>1000.04</v>
      </c>
      <c r="K572" s="32" t="s">
        <v>4325</v>
      </c>
      <c r="L572" s="169" t="s">
        <v>27</v>
      </c>
      <c r="M572" s="32" t="s">
        <v>224</v>
      </c>
    </row>
    <row r="573" spans="1:13" x14ac:dyDescent="0.25">
      <c r="A573" s="168">
        <v>46197</v>
      </c>
      <c r="B573" s="32">
        <v>1</v>
      </c>
      <c r="C573" s="32" t="s">
        <v>188</v>
      </c>
      <c r="D573" s="169" t="s">
        <v>189</v>
      </c>
      <c r="E573" s="169" t="s">
        <v>163</v>
      </c>
      <c r="F573" s="32" t="s">
        <v>164</v>
      </c>
      <c r="G573" s="32">
        <v>52</v>
      </c>
      <c r="H573" s="32" t="s">
        <v>175</v>
      </c>
      <c r="I573" s="32">
        <v>7109</v>
      </c>
      <c r="J573" s="36">
        <v>1367.77</v>
      </c>
      <c r="K573" s="32" t="s">
        <v>4326</v>
      </c>
      <c r="L573" s="169" t="s">
        <v>21</v>
      </c>
      <c r="M573" s="32" t="s">
        <v>224</v>
      </c>
    </row>
    <row r="574" spans="1:13" x14ac:dyDescent="0.25">
      <c r="A574" s="168">
        <v>46197</v>
      </c>
      <c r="B574" s="32">
        <v>1</v>
      </c>
      <c r="C574" s="32" t="s">
        <v>1129</v>
      </c>
      <c r="D574" s="169" t="s">
        <v>2396</v>
      </c>
      <c r="E574" s="169" t="s">
        <v>166</v>
      </c>
      <c r="F574" s="32" t="s">
        <v>111</v>
      </c>
      <c r="G574" s="32">
        <v>79</v>
      </c>
      <c r="H574" s="32" t="s">
        <v>169</v>
      </c>
      <c r="I574" s="32">
        <v>2846</v>
      </c>
      <c r="J574" s="36">
        <v>831.89</v>
      </c>
      <c r="K574" s="32" t="s">
        <v>4327</v>
      </c>
      <c r="L574" s="169" t="s">
        <v>116</v>
      </c>
      <c r="M574" s="32" t="s">
        <v>111</v>
      </c>
    </row>
    <row r="575" spans="1:13" x14ac:dyDescent="0.25">
      <c r="A575" s="168">
        <v>46197</v>
      </c>
      <c r="B575" s="32">
        <v>1</v>
      </c>
      <c r="C575" s="32" t="s">
        <v>1129</v>
      </c>
      <c r="D575" s="169" t="s">
        <v>2396</v>
      </c>
      <c r="E575" s="169" t="s">
        <v>166</v>
      </c>
      <c r="F575" s="32" t="s">
        <v>111</v>
      </c>
      <c r="G575" s="32">
        <v>79</v>
      </c>
      <c r="H575" s="32" t="s">
        <v>169</v>
      </c>
      <c r="I575" s="32">
        <v>2912</v>
      </c>
      <c r="J575" s="36">
        <v>851.18</v>
      </c>
      <c r="K575" s="32" t="s">
        <v>4328</v>
      </c>
      <c r="L575" s="169" t="s">
        <v>116</v>
      </c>
      <c r="M575" s="32" t="s">
        <v>111</v>
      </c>
    </row>
    <row r="576" spans="1:13" x14ac:dyDescent="0.25">
      <c r="A576" s="168">
        <v>46197</v>
      </c>
      <c r="B576" s="32">
        <v>1</v>
      </c>
      <c r="C576" s="32" t="s">
        <v>1129</v>
      </c>
      <c r="D576" s="169" t="s">
        <v>2396</v>
      </c>
      <c r="E576" s="169" t="s">
        <v>163</v>
      </c>
      <c r="F576" s="32" t="s">
        <v>164</v>
      </c>
      <c r="G576" s="32">
        <v>52</v>
      </c>
      <c r="H576" s="32" t="s">
        <v>175</v>
      </c>
      <c r="I576" s="32">
        <v>2712</v>
      </c>
      <c r="J576" s="36">
        <v>521.79</v>
      </c>
      <c r="K576" s="32" t="s">
        <v>4329</v>
      </c>
      <c r="L576" s="169" t="s">
        <v>21</v>
      </c>
      <c r="M576" s="32" t="s">
        <v>224</v>
      </c>
    </row>
    <row r="577" spans="1:13" x14ac:dyDescent="0.25">
      <c r="A577" s="168">
        <v>46197</v>
      </c>
      <c r="B577" s="32">
        <v>1</v>
      </c>
      <c r="C577" s="32" t="s">
        <v>193</v>
      </c>
      <c r="D577" s="169" t="s">
        <v>285</v>
      </c>
      <c r="E577" s="169" t="s">
        <v>166</v>
      </c>
      <c r="F577" s="32" t="s">
        <v>111</v>
      </c>
      <c r="G577" s="32">
        <v>79</v>
      </c>
      <c r="H577" s="32" t="s">
        <v>169</v>
      </c>
      <c r="I577" s="32">
        <v>2466</v>
      </c>
      <c r="J577" s="36">
        <v>720.81</v>
      </c>
      <c r="K577" s="32" t="s">
        <v>4330</v>
      </c>
      <c r="L577" s="169" t="s">
        <v>116</v>
      </c>
      <c r="M577" s="32" t="s">
        <v>111</v>
      </c>
    </row>
    <row r="578" spans="1:13" x14ac:dyDescent="0.25">
      <c r="A578" s="168">
        <v>46197</v>
      </c>
      <c r="B578" s="32">
        <v>1</v>
      </c>
      <c r="C578" s="32" t="s">
        <v>192</v>
      </c>
      <c r="D578" s="169" t="s">
        <v>287</v>
      </c>
      <c r="E578" s="169" t="s">
        <v>166</v>
      </c>
      <c r="F578" s="32" t="s">
        <v>223</v>
      </c>
      <c r="G578" s="32">
        <v>370</v>
      </c>
      <c r="H578" s="32" t="s">
        <v>165</v>
      </c>
      <c r="I578" s="32">
        <v>5024</v>
      </c>
      <c r="J578" s="36">
        <v>6877.86</v>
      </c>
      <c r="K578" s="32" t="s">
        <v>4331</v>
      </c>
      <c r="L578" s="169" t="s">
        <v>29</v>
      </c>
      <c r="M578" s="32" t="s">
        <v>223</v>
      </c>
    </row>
    <row r="579" spans="1:13" x14ac:dyDescent="0.25">
      <c r="A579" s="168">
        <v>46197</v>
      </c>
      <c r="B579" s="32">
        <v>1</v>
      </c>
      <c r="C579" s="32" t="s">
        <v>1948</v>
      </c>
      <c r="D579" s="169" t="s">
        <v>1949</v>
      </c>
      <c r="E579" s="169" t="s">
        <v>166</v>
      </c>
      <c r="F579" s="32" t="s">
        <v>223</v>
      </c>
      <c r="G579" s="32">
        <v>370</v>
      </c>
      <c r="H579" s="32" t="s">
        <v>165</v>
      </c>
      <c r="I579" s="32">
        <v>475</v>
      </c>
      <c r="J579" s="36">
        <v>6502.75</v>
      </c>
      <c r="K579" s="32" t="s">
        <v>4332</v>
      </c>
      <c r="L579" s="169" t="s">
        <v>29</v>
      </c>
      <c r="M579" s="32" t="s">
        <v>223</v>
      </c>
    </row>
    <row r="580" spans="1:13" x14ac:dyDescent="0.25">
      <c r="A580" s="168">
        <v>46198</v>
      </c>
      <c r="B580" s="32">
        <v>1</v>
      </c>
      <c r="C580" s="32" t="s">
        <v>196</v>
      </c>
      <c r="D580" s="169" t="s">
        <v>197</v>
      </c>
      <c r="E580" s="169" t="s">
        <v>166</v>
      </c>
      <c r="F580" s="32" t="s">
        <v>223</v>
      </c>
      <c r="G580" s="32">
        <v>370</v>
      </c>
      <c r="H580" s="32" t="s">
        <v>165</v>
      </c>
      <c r="I580" s="32">
        <v>640</v>
      </c>
      <c r="J580" s="36">
        <v>8761.6</v>
      </c>
      <c r="K580" s="32" t="s">
        <v>4333</v>
      </c>
      <c r="L580" s="169" t="s">
        <v>29</v>
      </c>
      <c r="M580" s="32" t="s">
        <v>223</v>
      </c>
    </row>
    <row r="581" spans="1:13" x14ac:dyDescent="0.25">
      <c r="A581" s="168">
        <v>46198</v>
      </c>
      <c r="B581" s="32">
        <v>1</v>
      </c>
      <c r="C581" s="32" t="s">
        <v>202</v>
      </c>
      <c r="D581" s="169" t="s">
        <v>214</v>
      </c>
      <c r="E581" s="169" t="s">
        <v>166</v>
      </c>
      <c r="F581" s="32" t="s">
        <v>223</v>
      </c>
      <c r="G581" s="32">
        <v>370</v>
      </c>
      <c r="H581" s="32" t="s">
        <v>165</v>
      </c>
      <c r="I581" s="32">
        <v>6318</v>
      </c>
      <c r="J581" s="36">
        <v>8649.34</v>
      </c>
      <c r="K581" s="32" t="s">
        <v>4334</v>
      </c>
      <c r="L581" s="169" t="s">
        <v>29</v>
      </c>
      <c r="M581" s="32" t="s">
        <v>223</v>
      </c>
    </row>
    <row r="582" spans="1:13" x14ac:dyDescent="0.25">
      <c r="A582" s="168">
        <v>46198</v>
      </c>
      <c r="B582" s="32">
        <v>1</v>
      </c>
      <c r="C582" s="32" t="s">
        <v>181</v>
      </c>
      <c r="D582" s="169" t="s">
        <v>182</v>
      </c>
      <c r="E582" s="169" t="s">
        <v>166</v>
      </c>
      <c r="F582" s="32" t="s">
        <v>111</v>
      </c>
      <c r="G582" s="32">
        <v>79</v>
      </c>
      <c r="H582" s="32" t="s">
        <v>169</v>
      </c>
      <c r="I582" s="32">
        <v>2372</v>
      </c>
      <c r="J582" s="36">
        <v>693.34</v>
      </c>
      <c r="K582" s="32" t="s">
        <v>4335</v>
      </c>
      <c r="L582" s="169" t="s">
        <v>116</v>
      </c>
      <c r="M582" s="32" t="s">
        <v>111</v>
      </c>
    </row>
    <row r="583" spans="1:13" x14ac:dyDescent="0.25">
      <c r="A583" s="168">
        <v>46198</v>
      </c>
      <c r="B583" s="32">
        <v>1</v>
      </c>
      <c r="C583" s="32" t="s">
        <v>342</v>
      </c>
      <c r="D583" s="169" t="s">
        <v>171</v>
      </c>
      <c r="E583" s="169" t="s">
        <v>163</v>
      </c>
      <c r="F583" s="32" t="s">
        <v>164</v>
      </c>
      <c r="G583" s="32">
        <v>52</v>
      </c>
      <c r="H583" s="32" t="s">
        <v>175</v>
      </c>
      <c r="I583" s="32">
        <v>453</v>
      </c>
      <c r="J583" s="36">
        <v>871.57</v>
      </c>
      <c r="K583" s="32" t="s">
        <v>4336</v>
      </c>
      <c r="L583" s="169" t="s">
        <v>21</v>
      </c>
      <c r="M583" s="32" t="s">
        <v>224</v>
      </c>
    </row>
    <row r="584" spans="1:13" x14ac:dyDescent="0.25">
      <c r="A584" s="168">
        <v>46198</v>
      </c>
      <c r="B584" s="32">
        <v>1</v>
      </c>
      <c r="C584" s="32" t="s">
        <v>199</v>
      </c>
      <c r="D584" s="169" t="s">
        <v>180</v>
      </c>
      <c r="E584" s="169" t="s">
        <v>166</v>
      </c>
      <c r="F584" s="32" t="s">
        <v>111</v>
      </c>
      <c r="G584" s="32">
        <v>79</v>
      </c>
      <c r="H584" s="32" t="s">
        <v>169</v>
      </c>
      <c r="I584" s="32">
        <v>2858</v>
      </c>
      <c r="J584" s="36">
        <v>835.39</v>
      </c>
      <c r="K584" s="32" t="s">
        <v>4337</v>
      </c>
      <c r="L584" s="169" t="s">
        <v>116</v>
      </c>
      <c r="M584" s="32" t="s">
        <v>111</v>
      </c>
    </row>
    <row r="585" spans="1:13" x14ac:dyDescent="0.25">
      <c r="A585" s="168">
        <v>46198</v>
      </c>
      <c r="B585" s="32">
        <v>1</v>
      </c>
      <c r="C585" s="32" t="s">
        <v>213</v>
      </c>
      <c r="D585" s="169" t="s">
        <v>1153</v>
      </c>
      <c r="E585" s="169" t="s">
        <v>166</v>
      </c>
      <c r="F585" s="32" t="s">
        <v>223</v>
      </c>
      <c r="G585" s="32">
        <v>370</v>
      </c>
      <c r="H585" s="32" t="s">
        <v>165</v>
      </c>
      <c r="I585" s="32">
        <v>5966</v>
      </c>
      <c r="J585" s="36">
        <v>8167.45</v>
      </c>
      <c r="K585" s="32" t="s">
        <v>4338</v>
      </c>
      <c r="L585" s="169" t="s">
        <v>29</v>
      </c>
      <c r="M585" s="32" t="s">
        <v>223</v>
      </c>
    </row>
    <row r="586" spans="1:13" x14ac:dyDescent="0.25">
      <c r="A586" s="168">
        <v>46198</v>
      </c>
      <c r="B586" s="32">
        <v>1</v>
      </c>
      <c r="C586" s="32" t="s">
        <v>176</v>
      </c>
      <c r="D586" s="169" t="s">
        <v>177</v>
      </c>
      <c r="E586" s="169" t="s">
        <v>166</v>
      </c>
      <c r="F586" s="32" t="s">
        <v>223</v>
      </c>
      <c r="G586" s="32">
        <v>370</v>
      </c>
      <c r="H586" s="32" t="s">
        <v>165</v>
      </c>
      <c r="I586" s="32">
        <v>5646</v>
      </c>
      <c r="J586" s="36">
        <v>7729.37</v>
      </c>
      <c r="K586" s="32" t="s">
        <v>4339</v>
      </c>
      <c r="L586" s="169" t="s">
        <v>29</v>
      </c>
      <c r="M586" s="32" t="s">
        <v>223</v>
      </c>
    </row>
    <row r="587" spans="1:13" x14ac:dyDescent="0.25">
      <c r="A587" s="168">
        <v>46198</v>
      </c>
      <c r="B587" s="32">
        <v>1</v>
      </c>
      <c r="C587" s="32" t="s">
        <v>199</v>
      </c>
      <c r="D587" s="169" t="s">
        <v>180</v>
      </c>
      <c r="E587" s="169" t="s">
        <v>166</v>
      </c>
      <c r="F587" s="32" t="s">
        <v>111</v>
      </c>
      <c r="G587" s="32">
        <v>79</v>
      </c>
      <c r="H587" s="32" t="s">
        <v>169</v>
      </c>
      <c r="I587" s="32">
        <v>2576</v>
      </c>
      <c r="J587" s="36">
        <v>752.96</v>
      </c>
      <c r="K587" s="32" t="s">
        <v>4340</v>
      </c>
      <c r="L587" s="169" t="s">
        <v>116</v>
      </c>
      <c r="M587" s="32" t="s">
        <v>111</v>
      </c>
    </row>
    <row r="588" spans="1:13" x14ac:dyDescent="0.25">
      <c r="A588" s="168">
        <v>46198</v>
      </c>
      <c r="B588" s="32">
        <v>1</v>
      </c>
      <c r="C588" s="32" t="s">
        <v>167</v>
      </c>
      <c r="D588" s="169" t="s">
        <v>168</v>
      </c>
      <c r="E588" s="169" t="s">
        <v>163</v>
      </c>
      <c r="F588" s="32" t="s">
        <v>164</v>
      </c>
      <c r="G588" s="32">
        <v>52</v>
      </c>
      <c r="H588" s="32" t="s">
        <v>175</v>
      </c>
      <c r="I588" s="32">
        <v>2903</v>
      </c>
      <c r="J588" s="36">
        <v>558.54</v>
      </c>
      <c r="K588" s="32" t="s">
        <v>4341</v>
      </c>
      <c r="L588" s="169" t="s">
        <v>21</v>
      </c>
      <c r="M588" s="32" t="s">
        <v>224</v>
      </c>
    </row>
    <row r="589" spans="1:13" x14ac:dyDescent="0.25">
      <c r="A589" s="168">
        <v>46198</v>
      </c>
      <c r="B589" s="32">
        <v>1</v>
      </c>
      <c r="C589" s="32" t="s">
        <v>270</v>
      </c>
      <c r="D589" s="169" t="s">
        <v>288</v>
      </c>
      <c r="E589" s="169" t="s">
        <v>166</v>
      </c>
      <c r="F589" s="32" t="s">
        <v>223</v>
      </c>
      <c r="G589" s="32">
        <v>370</v>
      </c>
      <c r="H589" s="32" t="s">
        <v>165</v>
      </c>
      <c r="I589" s="32">
        <v>5404</v>
      </c>
      <c r="J589" s="36">
        <v>6398.34</v>
      </c>
      <c r="K589" s="32" t="s">
        <v>4340</v>
      </c>
      <c r="L589" s="169" t="s">
        <v>29</v>
      </c>
      <c r="M589" s="32" t="s">
        <v>223</v>
      </c>
    </row>
    <row r="590" spans="1:13" x14ac:dyDescent="0.25">
      <c r="A590" s="168">
        <v>46198</v>
      </c>
      <c r="B590" s="32">
        <v>1</v>
      </c>
      <c r="C590" s="32" t="s">
        <v>342</v>
      </c>
      <c r="D590" s="169" t="s">
        <v>171</v>
      </c>
      <c r="E590" s="169" t="s">
        <v>163</v>
      </c>
      <c r="F590" s="32" t="s">
        <v>164</v>
      </c>
      <c r="G590" s="32">
        <v>52</v>
      </c>
      <c r="H590" s="32" t="s">
        <v>175</v>
      </c>
      <c r="I590" s="32">
        <v>4604</v>
      </c>
      <c r="J590" s="36">
        <v>885.81</v>
      </c>
      <c r="K590" s="32" t="s">
        <v>4342</v>
      </c>
      <c r="L590" s="169" t="s">
        <v>21</v>
      </c>
      <c r="M590" s="32" t="s">
        <v>224</v>
      </c>
    </row>
    <row r="591" spans="1:13" x14ac:dyDescent="0.25">
      <c r="A591" s="168">
        <v>46198</v>
      </c>
      <c r="B591" s="32">
        <v>1</v>
      </c>
      <c r="C591" s="32" t="s">
        <v>2866</v>
      </c>
      <c r="D591" s="169" t="s">
        <v>281</v>
      </c>
      <c r="E591" s="169" t="s">
        <v>166</v>
      </c>
      <c r="F591" s="32" t="s">
        <v>111</v>
      </c>
      <c r="G591" s="32">
        <v>79</v>
      </c>
      <c r="H591" s="32" t="s">
        <v>169</v>
      </c>
      <c r="I591" s="32">
        <v>2668</v>
      </c>
      <c r="J591" s="36">
        <v>779.86</v>
      </c>
      <c r="K591" s="32" t="s">
        <v>4343</v>
      </c>
      <c r="L591" s="169" t="s">
        <v>116</v>
      </c>
      <c r="M591" s="32" t="s">
        <v>111</v>
      </c>
    </row>
    <row r="592" spans="1:13" x14ac:dyDescent="0.25">
      <c r="A592" s="168">
        <v>46198</v>
      </c>
      <c r="B592" s="32">
        <v>1</v>
      </c>
      <c r="C592" s="32" t="s">
        <v>181</v>
      </c>
      <c r="D592" s="169" t="s">
        <v>182</v>
      </c>
      <c r="E592" s="169" t="s">
        <v>166</v>
      </c>
      <c r="F592" s="32" t="s">
        <v>111</v>
      </c>
      <c r="G592" s="32">
        <v>79</v>
      </c>
      <c r="H592" s="32" t="s">
        <v>169</v>
      </c>
      <c r="I592" s="32">
        <v>2562</v>
      </c>
      <c r="J592" s="36">
        <v>748.87</v>
      </c>
      <c r="K592" s="32" t="s">
        <v>4344</v>
      </c>
      <c r="L592" s="169" t="s">
        <v>116</v>
      </c>
      <c r="M592" s="32" t="s">
        <v>111</v>
      </c>
    </row>
    <row r="593" spans="1:13" x14ac:dyDescent="0.25">
      <c r="A593" s="168">
        <v>46198</v>
      </c>
      <c r="B593" s="32">
        <v>1</v>
      </c>
      <c r="C593" s="32" t="s">
        <v>203</v>
      </c>
      <c r="D593" s="169" t="s">
        <v>204</v>
      </c>
      <c r="E593" s="169" t="s">
        <v>190</v>
      </c>
      <c r="F593" s="32" t="s">
        <v>212</v>
      </c>
      <c r="G593" s="32">
        <v>376</v>
      </c>
      <c r="H593" s="32" t="s">
        <v>165</v>
      </c>
      <c r="I593" s="32">
        <v>5512</v>
      </c>
      <c r="J593" s="36">
        <v>6632.04</v>
      </c>
      <c r="K593" s="32" t="s">
        <v>4345</v>
      </c>
      <c r="L593" s="169" t="s">
        <v>22</v>
      </c>
      <c r="M593" s="32" t="s">
        <v>223</v>
      </c>
    </row>
    <row r="594" spans="1:13" x14ac:dyDescent="0.25">
      <c r="A594" s="168">
        <v>46198</v>
      </c>
      <c r="B594" s="32">
        <v>1</v>
      </c>
      <c r="C594" s="32" t="s">
        <v>173</v>
      </c>
      <c r="D594" s="169" t="s">
        <v>174</v>
      </c>
      <c r="E594" s="169" t="s">
        <v>166</v>
      </c>
      <c r="F594" s="32" t="s">
        <v>218</v>
      </c>
      <c r="G594" s="32">
        <v>71</v>
      </c>
      <c r="H594" s="32" t="s">
        <v>169</v>
      </c>
      <c r="I594" s="32">
        <v>258</v>
      </c>
      <c r="J594" s="36">
        <v>677.77</v>
      </c>
      <c r="K594" s="32" t="s">
        <v>4346</v>
      </c>
      <c r="L594" s="169" t="s">
        <v>35</v>
      </c>
      <c r="M594" s="32" t="s">
        <v>108</v>
      </c>
    </row>
    <row r="595" spans="1:13" x14ac:dyDescent="0.25">
      <c r="A595" s="168">
        <v>46198</v>
      </c>
      <c r="B595" s="32">
        <v>1</v>
      </c>
      <c r="C595" s="32" t="s">
        <v>199</v>
      </c>
      <c r="D595" s="169" t="s">
        <v>180</v>
      </c>
      <c r="E595" s="169" t="s">
        <v>166</v>
      </c>
      <c r="F595" s="32" t="s">
        <v>111</v>
      </c>
      <c r="G595" s="32">
        <v>79</v>
      </c>
      <c r="H595" s="32" t="s">
        <v>169</v>
      </c>
      <c r="I595" s="32">
        <v>2814</v>
      </c>
      <c r="J595" s="36">
        <v>822.53</v>
      </c>
      <c r="K595" s="32" t="s">
        <v>4347</v>
      </c>
      <c r="L595" s="169" t="s">
        <v>116</v>
      </c>
      <c r="M595" s="32" t="s">
        <v>111</v>
      </c>
    </row>
    <row r="596" spans="1:13" x14ac:dyDescent="0.25">
      <c r="A596" s="168">
        <v>46198</v>
      </c>
      <c r="B596" s="32">
        <v>1</v>
      </c>
      <c r="C596" s="32" t="s">
        <v>193</v>
      </c>
      <c r="D596" s="169" t="s">
        <v>285</v>
      </c>
      <c r="E596" s="169" t="s">
        <v>166</v>
      </c>
      <c r="F596" s="32" t="s">
        <v>164</v>
      </c>
      <c r="G596" s="32">
        <v>58</v>
      </c>
      <c r="H596" s="32" t="s">
        <v>175</v>
      </c>
      <c r="I596" s="32">
        <v>254</v>
      </c>
      <c r="J596" s="36">
        <v>545.08000000000004</v>
      </c>
      <c r="K596" s="32" t="s">
        <v>4348</v>
      </c>
      <c r="L596" s="169" t="s">
        <v>86</v>
      </c>
      <c r="M596" s="32" t="s">
        <v>224</v>
      </c>
    </row>
    <row r="597" spans="1:13" x14ac:dyDescent="0.25">
      <c r="A597" s="168">
        <v>46198</v>
      </c>
      <c r="B597" s="32">
        <v>1</v>
      </c>
      <c r="C597" s="32" t="s">
        <v>183</v>
      </c>
      <c r="D597" s="169" t="s">
        <v>184</v>
      </c>
      <c r="E597" s="169" t="s">
        <v>166</v>
      </c>
      <c r="F597" s="32" t="s">
        <v>218</v>
      </c>
      <c r="G597" s="32">
        <v>71</v>
      </c>
      <c r="H597" s="32" t="s">
        <v>169</v>
      </c>
      <c r="I597" s="32">
        <v>2858</v>
      </c>
      <c r="J597" s="36">
        <v>750.8</v>
      </c>
      <c r="K597" s="32" t="s">
        <v>4349</v>
      </c>
      <c r="L597" s="169" t="s">
        <v>35</v>
      </c>
      <c r="M597" s="32" t="s">
        <v>108</v>
      </c>
    </row>
    <row r="598" spans="1:13" x14ac:dyDescent="0.25">
      <c r="A598" s="168">
        <v>46198</v>
      </c>
      <c r="B598" s="32">
        <v>1</v>
      </c>
      <c r="C598" s="32" t="s">
        <v>183</v>
      </c>
      <c r="D598" s="169" t="s">
        <v>184</v>
      </c>
      <c r="E598" s="169" t="s">
        <v>166</v>
      </c>
      <c r="F598" s="32" t="s">
        <v>218</v>
      </c>
      <c r="G598" s="32">
        <v>71</v>
      </c>
      <c r="H598" s="32" t="s">
        <v>169</v>
      </c>
      <c r="I598" s="32">
        <v>2664</v>
      </c>
      <c r="J598" s="36">
        <v>699.83</v>
      </c>
      <c r="K598" s="32" t="s">
        <v>4350</v>
      </c>
      <c r="L598" s="169" t="s">
        <v>35</v>
      </c>
      <c r="M598" s="32" t="s">
        <v>108</v>
      </c>
    </row>
    <row r="599" spans="1:13" x14ac:dyDescent="0.25">
      <c r="A599" s="168">
        <v>46198</v>
      </c>
      <c r="B599" s="32">
        <v>1</v>
      </c>
      <c r="C599" s="32" t="s">
        <v>183</v>
      </c>
      <c r="D599" s="169" t="s">
        <v>184</v>
      </c>
      <c r="E599" s="169" t="s">
        <v>166</v>
      </c>
      <c r="F599" s="32" t="s">
        <v>111</v>
      </c>
      <c r="G599" s="32">
        <v>79</v>
      </c>
      <c r="H599" s="32" t="s">
        <v>169</v>
      </c>
      <c r="I599" s="32">
        <v>2726</v>
      </c>
      <c r="J599" s="36">
        <v>796.81</v>
      </c>
      <c r="K599" s="32" t="s">
        <v>4351</v>
      </c>
      <c r="L599" s="169" t="s">
        <v>116</v>
      </c>
      <c r="M599" s="32" t="s">
        <v>111</v>
      </c>
    </row>
    <row r="600" spans="1:13" x14ac:dyDescent="0.25">
      <c r="A600" s="168">
        <v>46198</v>
      </c>
      <c r="B600" s="32">
        <v>1</v>
      </c>
      <c r="C600" s="32" t="s">
        <v>179</v>
      </c>
      <c r="D600" s="169" t="s">
        <v>2863</v>
      </c>
      <c r="E600" s="169" t="s">
        <v>166</v>
      </c>
      <c r="F600" s="32" t="s">
        <v>111</v>
      </c>
      <c r="G600" s="32">
        <v>79</v>
      </c>
      <c r="H600" s="32" t="s">
        <v>169</v>
      </c>
      <c r="I600" s="32">
        <v>2576</v>
      </c>
      <c r="J600" s="36">
        <v>752.96</v>
      </c>
      <c r="K600" s="32" t="s">
        <v>4352</v>
      </c>
      <c r="L600" s="169" t="s">
        <v>116</v>
      </c>
      <c r="M600" s="32" t="s">
        <v>111</v>
      </c>
    </row>
    <row r="601" spans="1:13" x14ac:dyDescent="0.25">
      <c r="A601" s="168">
        <v>46198</v>
      </c>
      <c r="B601" s="32">
        <v>1</v>
      </c>
      <c r="C601" s="32" t="s">
        <v>179</v>
      </c>
      <c r="D601" s="169" t="s">
        <v>2863</v>
      </c>
      <c r="E601" s="169" t="s">
        <v>166</v>
      </c>
      <c r="F601" s="32" t="s">
        <v>111</v>
      </c>
      <c r="G601" s="32">
        <v>79</v>
      </c>
      <c r="H601" s="32" t="s">
        <v>169</v>
      </c>
      <c r="I601" s="32">
        <v>280</v>
      </c>
      <c r="J601" s="36">
        <v>818.44</v>
      </c>
      <c r="K601" s="32" t="s">
        <v>4353</v>
      </c>
      <c r="L601" s="169" t="s">
        <v>116</v>
      </c>
      <c r="M601" s="32" t="s">
        <v>111</v>
      </c>
    </row>
    <row r="602" spans="1:13" x14ac:dyDescent="0.25">
      <c r="A602" s="168">
        <v>46198</v>
      </c>
      <c r="B602" s="32">
        <v>1</v>
      </c>
      <c r="C602" s="32" t="s">
        <v>208</v>
      </c>
      <c r="D602" s="169" t="s">
        <v>209</v>
      </c>
      <c r="E602" s="169" t="s">
        <v>166</v>
      </c>
      <c r="F602" s="32" t="s">
        <v>223</v>
      </c>
      <c r="G602" s="32">
        <v>370</v>
      </c>
      <c r="H602" s="32" t="s">
        <v>165</v>
      </c>
      <c r="I602" s="32">
        <v>540</v>
      </c>
      <c r="J602" s="36">
        <v>7392.6</v>
      </c>
      <c r="K602" s="32" t="s">
        <v>4354</v>
      </c>
      <c r="L602" s="169" t="s">
        <v>29</v>
      </c>
      <c r="M602" s="32" t="s">
        <v>223</v>
      </c>
    </row>
    <row r="603" spans="1:13" x14ac:dyDescent="0.25">
      <c r="A603" s="168">
        <v>46198</v>
      </c>
      <c r="B603" s="32">
        <v>1</v>
      </c>
      <c r="C603" s="32" t="s">
        <v>1129</v>
      </c>
      <c r="D603" s="169" t="s">
        <v>2396</v>
      </c>
      <c r="E603" s="169" t="s">
        <v>166</v>
      </c>
      <c r="F603" s="32" t="s">
        <v>111</v>
      </c>
      <c r="G603" s="32">
        <v>79</v>
      </c>
      <c r="H603" s="32" t="s">
        <v>169</v>
      </c>
      <c r="I603" s="32">
        <v>2896</v>
      </c>
      <c r="J603" s="36">
        <v>846.5</v>
      </c>
      <c r="K603" s="32" t="s">
        <v>4355</v>
      </c>
      <c r="L603" s="169" t="s">
        <v>116</v>
      </c>
      <c r="M603" s="32" t="s">
        <v>111</v>
      </c>
    </row>
    <row r="604" spans="1:13" x14ac:dyDescent="0.25">
      <c r="A604" s="168">
        <v>46198</v>
      </c>
      <c r="B604" s="32">
        <v>1</v>
      </c>
      <c r="C604" s="32" t="s">
        <v>1129</v>
      </c>
      <c r="D604" s="169" t="s">
        <v>2396</v>
      </c>
      <c r="E604" s="169" t="s">
        <v>166</v>
      </c>
      <c r="F604" s="32" t="s">
        <v>111</v>
      </c>
      <c r="G604" s="32">
        <v>79</v>
      </c>
      <c r="H604" s="32" t="s">
        <v>169</v>
      </c>
      <c r="I604" s="32">
        <v>2826</v>
      </c>
      <c r="J604" s="36">
        <v>826.04</v>
      </c>
      <c r="K604" s="32" t="s">
        <v>4356</v>
      </c>
      <c r="L604" s="169" t="s">
        <v>116</v>
      </c>
      <c r="M604" s="32" t="s">
        <v>111</v>
      </c>
    </row>
    <row r="605" spans="1:13" x14ac:dyDescent="0.25">
      <c r="A605" s="168">
        <v>46198</v>
      </c>
      <c r="B605" s="32">
        <v>1</v>
      </c>
      <c r="C605" s="32" t="s">
        <v>1129</v>
      </c>
      <c r="D605" s="169" t="s">
        <v>2396</v>
      </c>
      <c r="E605" s="169" t="s">
        <v>163</v>
      </c>
      <c r="F605" s="32" t="s">
        <v>164</v>
      </c>
      <c r="G605" s="32">
        <v>52</v>
      </c>
      <c r="H605" s="32" t="s">
        <v>165</v>
      </c>
      <c r="I605" s="32">
        <v>2635</v>
      </c>
      <c r="J605" s="36">
        <v>506.97</v>
      </c>
      <c r="K605" s="32" t="s">
        <v>4357</v>
      </c>
      <c r="L605" s="169" t="s">
        <v>31</v>
      </c>
      <c r="M605" s="32" t="s">
        <v>224</v>
      </c>
    </row>
    <row r="606" spans="1:13" x14ac:dyDescent="0.25">
      <c r="A606" s="168">
        <v>46198</v>
      </c>
      <c r="B606" s="32">
        <v>1</v>
      </c>
      <c r="C606" s="32" t="s">
        <v>219</v>
      </c>
      <c r="D606" s="169" t="s">
        <v>220</v>
      </c>
      <c r="E606" s="169" t="s">
        <v>163</v>
      </c>
      <c r="F606" s="32" t="s">
        <v>164</v>
      </c>
      <c r="G606" s="32">
        <v>52</v>
      </c>
      <c r="H606" s="32" t="s">
        <v>175</v>
      </c>
      <c r="I606" s="32">
        <v>619</v>
      </c>
      <c r="J606" s="36">
        <v>1190.96</v>
      </c>
      <c r="K606" s="32" t="s">
        <v>4358</v>
      </c>
      <c r="L606" s="169" t="s">
        <v>21</v>
      </c>
      <c r="M606" s="32" t="s">
        <v>224</v>
      </c>
    </row>
    <row r="607" spans="1:13" x14ac:dyDescent="0.25">
      <c r="A607" s="168">
        <v>46198</v>
      </c>
      <c r="B607" s="32">
        <v>1</v>
      </c>
      <c r="C607" s="32" t="s">
        <v>219</v>
      </c>
      <c r="D607" s="169" t="s">
        <v>220</v>
      </c>
      <c r="E607" s="169" t="s">
        <v>163</v>
      </c>
      <c r="F607" s="32" t="s">
        <v>164</v>
      </c>
      <c r="G607" s="32">
        <v>52</v>
      </c>
      <c r="H607" s="32" t="s">
        <v>165</v>
      </c>
      <c r="I607" s="32">
        <v>974</v>
      </c>
      <c r="J607" s="36">
        <v>1873.98</v>
      </c>
      <c r="K607" s="32" t="s">
        <v>4359</v>
      </c>
      <c r="L607" s="169" t="s">
        <v>31</v>
      </c>
      <c r="M607" s="32" t="s">
        <v>224</v>
      </c>
    </row>
    <row r="608" spans="1:13" x14ac:dyDescent="0.25">
      <c r="A608" s="168">
        <v>46198</v>
      </c>
      <c r="B608" s="32">
        <v>1</v>
      </c>
      <c r="C608" s="32" t="s">
        <v>219</v>
      </c>
      <c r="D608" s="169" t="s">
        <v>220</v>
      </c>
      <c r="E608" s="169" t="s">
        <v>163</v>
      </c>
      <c r="F608" s="32" t="s">
        <v>164</v>
      </c>
      <c r="G608" s="32">
        <v>52</v>
      </c>
      <c r="H608" s="32" t="s">
        <v>175</v>
      </c>
      <c r="I608" s="32">
        <v>975</v>
      </c>
      <c r="J608" s="36">
        <v>1875.9</v>
      </c>
      <c r="K608" s="32" t="s">
        <v>4360</v>
      </c>
      <c r="L608" s="169" t="s">
        <v>21</v>
      </c>
      <c r="M608" s="32" t="s">
        <v>224</v>
      </c>
    </row>
    <row r="609" spans="1:13" x14ac:dyDescent="0.25">
      <c r="A609" s="168">
        <v>46198</v>
      </c>
      <c r="B609" s="32">
        <v>1</v>
      </c>
      <c r="C609" s="32" t="s">
        <v>219</v>
      </c>
      <c r="D609" s="169" t="s">
        <v>220</v>
      </c>
      <c r="E609" s="169" t="s">
        <v>163</v>
      </c>
      <c r="F609" s="32" t="s">
        <v>164</v>
      </c>
      <c r="G609" s="32">
        <v>52</v>
      </c>
      <c r="H609" s="32" t="s">
        <v>165</v>
      </c>
      <c r="I609" s="32">
        <v>616</v>
      </c>
      <c r="J609" s="36">
        <v>1185.18</v>
      </c>
      <c r="K609" s="32" t="s">
        <v>4361</v>
      </c>
      <c r="L609" s="169" t="s">
        <v>31</v>
      </c>
      <c r="M609" s="32" t="s">
        <v>224</v>
      </c>
    </row>
    <row r="610" spans="1:13" x14ac:dyDescent="0.25">
      <c r="A610" s="168">
        <v>46198</v>
      </c>
      <c r="B610" s="32">
        <v>1</v>
      </c>
      <c r="C610" s="32" t="s">
        <v>286</v>
      </c>
      <c r="D610" s="169" t="s">
        <v>506</v>
      </c>
      <c r="E610" s="169" t="s">
        <v>166</v>
      </c>
      <c r="F610" s="32" t="s">
        <v>164</v>
      </c>
      <c r="G610" s="32">
        <v>58</v>
      </c>
      <c r="H610" s="32" t="s">
        <v>165</v>
      </c>
      <c r="I610" s="32">
        <v>450</v>
      </c>
      <c r="J610" s="36">
        <v>965.7</v>
      </c>
      <c r="K610" s="32" t="s">
        <v>4362</v>
      </c>
      <c r="L610" s="169" t="s">
        <v>27</v>
      </c>
      <c r="M610" s="32" t="s">
        <v>224</v>
      </c>
    </row>
    <row r="611" spans="1:13" x14ac:dyDescent="0.25">
      <c r="A611" s="168">
        <v>46198</v>
      </c>
      <c r="B611" s="32">
        <v>1</v>
      </c>
      <c r="C611" s="32" t="s">
        <v>286</v>
      </c>
      <c r="D611" s="169" t="s">
        <v>506</v>
      </c>
      <c r="E611" s="169" t="s">
        <v>166</v>
      </c>
      <c r="F611" s="32" t="s">
        <v>164</v>
      </c>
      <c r="G611" s="32">
        <v>58</v>
      </c>
      <c r="H611" s="32" t="s">
        <v>165</v>
      </c>
      <c r="I611" s="32">
        <v>4626</v>
      </c>
      <c r="J611" s="36">
        <v>992.74</v>
      </c>
      <c r="K611" s="32" t="s">
        <v>4363</v>
      </c>
      <c r="L611" s="169" t="s">
        <v>27</v>
      </c>
      <c r="M611" s="32" t="s">
        <v>224</v>
      </c>
    </row>
    <row r="612" spans="1:13" x14ac:dyDescent="0.25">
      <c r="A612" s="168">
        <v>46199</v>
      </c>
      <c r="B612" s="32">
        <v>1</v>
      </c>
      <c r="C612" s="32" t="s">
        <v>342</v>
      </c>
      <c r="D612" s="169" t="s">
        <v>171</v>
      </c>
      <c r="E612" s="169" t="s">
        <v>163</v>
      </c>
      <c r="F612" s="32" t="s">
        <v>164</v>
      </c>
      <c r="G612" s="32">
        <v>52</v>
      </c>
      <c r="H612" s="32" t="s">
        <v>185</v>
      </c>
      <c r="I612" s="32">
        <v>454</v>
      </c>
      <c r="J612" s="36">
        <v>873.5</v>
      </c>
      <c r="K612" s="32" t="s">
        <v>4364</v>
      </c>
      <c r="L612" s="169" t="s">
        <v>20</v>
      </c>
      <c r="M612" s="32" t="s">
        <v>224</v>
      </c>
    </row>
    <row r="613" spans="1:13" x14ac:dyDescent="0.25">
      <c r="A613" s="168">
        <v>46199</v>
      </c>
      <c r="B613" s="32">
        <v>1</v>
      </c>
      <c r="C613" s="32" t="s">
        <v>213</v>
      </c>
      <c r="D613" s="169" t="s">
        <v>1153</v>
      </c>
      <c r="E613" s="169" t="s">
        <v>166</v>
      </c>
      <c r="F613" s="32" t="s">
        <v>164</v>
      </c>
      <c r="G613" s="32">
        <v>58</v>
      </c>
      <c r="H613" s="32" t="s">
        <v>165</v>
      </c>
      <c r="I613" s="32">
        <v>478</v>
      </c>
      <c r="J613" s="36">
        <v>1025.79</v>
      </c>
      <c r="K613" s="32" t="s">
        <v>4365</v>
      </c>
      <c r="L613" s="169" t="s">
        <v>27</v>
      </c>
      <c r="M613" s="32" t="s">
        <v>224</v>
      </c>
    </row>
    <row r="614" spans="1:13" x14ac:dyDescent="0.25">
      <c r="A614" s="168">
        <v>46199</v>
      </c>
      <c r="B614" s="32">
        <v>1</v>
      </c>
      <c r="C614" s="32" t="s">
        <v>176</v>
      </c>
      <c r="D614" s="169" t="s">
        <v>177</v>
      </c>
      <c r="E614" s="169" t="s">
        <v>166</v>
      </c>
      <c r="F614" s="32" t="s">
        <v>164</v>
      </c>
      <c r="G614" s="32">
        <v>58</v>
      </c>
      <c r="H614" s="32" t="s">
        <v>165</v>
      </c>
      <c r="I614" s="32">
        <v>4966</v>
      </c>
      <c r="J614" s="36">
        <v>1065.7</v>
      </c>
      <c r="K614" s="32" t="s">
        <v>4366</v>
      </c>
      <c r="L614" s="169" t="s">
        <v>27</v>
      </c>
      <c r="M614" s="32" t="s">
        <v>224</v>
      </c>
    </row>
    <row r="615" spans="1:13" x14ac:dyDescent="0.25">
      <c r="A615" s="168">
        <v>46199</v>
      </c>
      <c r="B615" s="32">
        <v>1</v>
      </c>
      <c r="C615" s="32" t="s">
        <v>199</v>
      </c>
      <c r="D615" s="169" t="s">
        <v>180</v>
      </c>
      <c r="E615" s="169" t="s">
        <v>166</v>
      </c>
      <c r="F615" s="32" t="s">
        <v>111</v>
      </c>
      <c r="G615" s="32">
        <v>79</v>
      </c>
      <c r="H615" s="32" t="s">
        <v>169</v>
      </c>
      <c r="I615" s="32">
        <v>2826</v>
      </c>
      <c r="J615" s="36">
        <v>826.04</v>
      </c>
      <c r="K615" s="32" t="s">
        <v>4367</v>
      </c>
      <c r="L615" s="169" t="s">
        <v>116</v>
      </c>
      <c r="M615" s="32" t="s">
        <v>111</v>
      </c>
    </row>
    <row r="616" spans="1:13" x14ac:dyDescent="0.25">
      <c r="A616" s="168">
        <v>46199</v>
      </c>
      <c r="B616" s="32">
        <v>1</v>
      </c>
      <c r="C616" s="32" t="s">
        <v>196</v>
      </c>
      <c r="D616" s="169" t="s">
        <v>197</v>
      </c>
      <c r="E616" s="169" t="s">
        <v>166</v>
      </c>
      <c r="F616" s="32" t="s">
        <v>164</v>
      </c>
      <c r="G616" s="32">
        <v>58</v>
      </c>
      <c r="H616" s="32" t="s">
        <v>165</v>
      </c>
      <c r="I616" s="32">
        <v>7334</v>
      </c>
      <c r="J616" s="36">
        <v>1573.88</v>
      </c>
      <c r="K616" s="32" t="s">
        <v>4368</v>
      </c>
      <c r="L616" s="169" t="s">
        <v>27</v>
      </c>
      <c r="M616" s="32" t="s">
        <v>224</v>
      </c>
    </row>
    <row r="617" spans="1:13" x14ac:dyDescent="0.25">
      <c r="A617" s="168">
        <v>46199</v>
      </c>
      <c r="B617" s="32">
        <v>1</v>
      </c>
      <c r="C617" s="32" t="s">
        <v>2866</v>
      </c>
      <c r="D617" s="169" t="s">
        <v>281</v>
      </c>
      <c r="E617" s="169" t="s">
        <v>163</v>
      </c>
      <c r="F617" s="32" t="s">
        <v>164</v>
      </c>
      <c r="G617" s="32">
        <v>52</v>
      </c>
      <c r="H617" s="32" t="s">
        <v>165</v>
      </c>
      <c r="I617" s="32">
        <v>4486</v>
      </c>
      <c r="J617" s="36">
        <v>863.11</v>
      </c>
      <c r="K617" s="32" t="s">
        <v>4369</v>
      </c>
      <c r="L617" s="169" t="s">
        <v>31</v>
      </c>
      <c r="M617" s="32" t="s">
        <v>224</v>
      </c>
    </row>
    <row r="618" spans="1:13" x14ac:dyDescent="0.25">
      <c r="A618" s="168">
        <v>46199</v>
      </c>
      <c r="B618" s="32">
        <v>1</v>
      </c>
      <c r="C618" s="32" t="s">
        <v>167</v>
      </c>
      <c r="D618" s="169" t="s">
        <v>168</v>
      </c>
      <c r="E618" s="169" t="s">
        <v>166</v>
      </c>
      <c r="F618" s="32" t="s">
        <v>111</v>
      </c>
      <c r="G618" s="32">
        <v>79</v>
      </c>
      <c r="H618" s="32" t="s">
        <v>169</v>
      </c>
      <c r="I618" s="32">
        <v>266</v>
      </c>
      <c r="J618" s="36">
        <v>777.52</v>
      </c>
      <c r="K618" s="32" t="s">
        <v>4370</v>
      </c>
      <c r="L618" s="169" t="s">
        <v>116</v>
      </c>
      <c r="M618" s="32" t="s">
        <v>111</v>
      </c>
    </row>
    <row r="619" spans="1:13" x14ac:dyDescent="0.25">
      <c r="A619" s="168">
        <v>46199</v>
      </c>
      <c r="B619" s="32">
        <v>1</v>
      </c>
      <c r="C619" s="32" t="s">
        <v>219</v>
      </c>
      <c r="D619" s="169" t="s">
        <v>220</v>
      </c>
      <c r="E619" s="169" t="s">
        <v>163</v>
      </c>
      <c r="F619" s="32" t="s">
        <v>164</v>
      </c>
      <c r="G619" s="32">
        <v>52</v>
      </c>
      <c r="H619" s="32" t="s">
        <v>165</v>
      </c>
      <c r="I619" s="32">
        <v>973</v>
      </c>
      <c r="J619" s="36">
        <v>1872.05</v>
      </c>
      <c r="K619" s="32" t="s">
        <v>4371</v>
      </c>
      <c r="L619" s="169" t="s">
        <v>31</v>
      </c>
      <c r="M619" s="32" t="s">
        <v>224</v>
      </c>
    </row>
    <row r="620" spans="1:13" x14ac:dyDescent="0.25">
      <c r="A620" s="168">
        <v>46199</v>
      </c>
      <c r="B620" s="32">
        <v>1</v>
      </c>
      <c r="C620" s="32" t="s">
        <v>219</v>
      </c>
      <c r="D620" s="169" t="s">
        <v>220</v>
      </c>
      <c r="E620" s="169" t="s">
        <v>163</v>
      </c>
      <c r="F620" s="32" t="s">
        <v>164</v>
      </c>
      <c r="G620" s="32">
        <v>52</v>
      </c>
      <c r="H620" s="32" t="s">
        <v>175</v>
      </c>
      <c r="I620" s="32">
        <v>627</v>
      </c>
      <c r="J620" s="36">
        <v>1206.3499999999999</v>
      </c>
      <c r="K620" s="32" t="s">
        <v>4372</v>
      </c>
      <c r="L620" s="169" t="s">
        <v>21</v>
      </c>
      <c r="M620" s="32" t="s">
        <v>224</v>
      </c>
    </row>
    <row r="621" spans="1:13" x14ac:dyDescent="0.25">
      <c r="A621" s="168">
        <v>46199</v>
      </c>
      <c r="B621" s="32">
        <v>1</v>
      </c>
      <c r="C621" s="32" t="s">
        <v>167</v>
      </c>
      <c r="D621" s="169" t="s">
        <v>168</v>
      </c>
      <c r="E621" s="169" t="s">
        <v>166</v>
      </c>
      <c r="F621" s="32" t="s">
        <v>164</v>
      </c>
      <c r="G621" s="32">
        <v>58</v>
      </c>
      <c r="H621" s="32" t="s">
        <v>175</v>
      </c>
      <c r="I621" s="32">
        <v>2752</v>
      </c>
      <c r="J621" s="36">
        <v>590.58000000000004</v>
      </c>
      <c r="K621" s="32" t="s">
        <v>4373</v>
      </c>
      <c r="L621" s="169" t="s">
        <v>86</v>
      </c>
      <c r="M621" s="32" t="s">
        <v>224</v>
      </c>
    </row>
    <row r="622" spans="1:13" x14ac:dyDescent="0.25">
      <c r="A622" s="168">
        <v>46199</v>
      </c>
      <c r="B622" s="32">
        <v>1</v>
      </c>
      <c r="C622" s="32" t="s">
        <v>296</v>
      </c>
      <c r="D622" s="169" t="s">
        <v>1536</v>
      </c>
      <c r="E622" s="169" t="s">
        <v>276</v>
      </c>
      <c r="F622" s="32" t="s">
        <v>919</v>
      </c>
      <c r="G622" s="32">
        <v>358</v>
      </c>
      <c r="H622" s="32" t="s">
        <v>207</v>
      </c>
      <c r="I622" s="32">
        <v>378</v>
      </c>
      <c r="J622" s="36">
        <v>4330.37</v>
      </c>
      <c r="K622" s="32" t="s">
        <v>4374</v>
      </c>
      <c r="L622" s="169" t="s">
        <v>4277</v>
      </c>
      <c r="M622" s="32" t="s">
        <v>15</v>
      </c>
    </row>
    <row r="623" spans="1:13" x14ac:dyDescent="0.25">
      <c r="A623" s="168">
        <v>46199</v>
      </c>
      <c r="B623" s="32">
        <v>1</v>
      </c>
      <c r="C623" s="32" t="s">
        <v>342</v>
      </c>
      <c r="D623" s="169" t="s">
        <v>171</v>
      </c>
      <c r="E623" s="169" t="s">
        <v>163</v>
      </c>
      <c r="F623" s="32" t="s">
        <v>164</v>
      </c>
      <c r="G623" s="32">
        <v>52</v>
      </c>
      <c r="H623" s="32" t="s">
        <v>185</v>
      </c>
      <c r="I623" s="32">
        <v>4577</v>
      </c>
      <c r="J623" s="36">
        <v>880.61</v>
      </c>
      <c r="K623" s="32" t="s">
        <v>4375</v>
      </c>
      <c r="L623" s="169" t="s">
        <v>20</v>
      </c>
      <c r="M623" s="32" t="s">
        <v>224</v>
      </c>
    </row>
    <row r="624" spans="1:13" x14ac:dyDescent="0.25">
      <c r="A624" s="168">
        <v>46199</v>
      </c>
      <c r="B624" s="32">
        <v>1</v>
      </c>
      <c r="C624" s="32" t="s">
        <v>199</v>
      </c>
      <c r="D624" s="169" t="s">
        <v>180</v>
      </c>
      <c r="E624" s="169" t="s">
        <v>166</v>
      </c>
      <c r="F624" s="32" t="s">
        <v>164</v>
      </c>
      <c r="G624" s="32">
        <v>58</v>
      </c>
      <c r="H624" s="32" t="s">
        <v>165</v>
      </c>
      <c r="I624" s="32">
        <v>2888</v>
      </c>
      <c r="J624" s="36">
        <v>619.76</v>
      </c>
      <c r="K624" s="32" t="s">
        <v>4376</v>
      </c>
      <c r="L624" s="169" t="s">
        <v>27</v>
      </c>
      <c r="M624" s="32" t="s">
        <v>224</v>
      </c>
    </row>
    <row r="625" spans="1:13" x14ac:dyDescent="0.25">
      <c r="A625" s="168">
        <v>46199</v>
      </c>
      <c r="B625" s="32">
        <v>1</v>
      </c>
      <c r="C625" s="32" t="s">
        <v>176</v>
      </c>
      <c r="D625" s="169" t="s">
        <v>177</v>
      </c>
      <c r="E625" s="169" t="s">
        <v>166</v>
      </c>
      <c r="F625" s="32" t="s">
        <v>164</v>
      </c>
      <c r="G625" s="32">
        <v>58</v>
      </c>
      <c r="H625" s="32" t="s">
        <v>165</v>
      </c>
      <c r="I625" s="32">
        <v>5212</v>
      </c>
      <c r="J625" s="36">
        <v>1118.5</v>
      </c>
      <c r="K625" s="32" t="s">
        <v>4377</v>
      </c>
      <c r="L625" s="169" t="s">
        <v>27</v>
      </c>
      <c r="M625" s="32" t="s">
        <v>224</v>
      </c>
    </row>
    <row r="626" spans="1:13" x14ac:dyDescent="0.25">
      <c r="A626" s="168">
        <v>46199</v>
      </c>
      <c r="B626" s="32">
        <v>1</v>
      </c>
      <c r="C626" s="32" t="s">
        <v>208</v>
      </c>
      <c r="D626" s="169" t="s">
        <v>209</v>
      </c>
      <c r="E626" s="169" t="s">
        <v>190</v>
      </c>
      <c r="F626" s="32" t="s">
        <v>212</v>
      </c>
      <c r="G626" s="32">
        <v>376</v>
      </c>
      <c r="H626" s="32" t="s">
        <v>165</v>
      </c>
      <c r="I626" s="32">
        <v>630</v>
      </c>
      <c r="J626" s="36">
        <v>7580.16</v>
      </c>
      <c r="K626" s="32" t="s">
        <v>4378</v>
      </c>
      <c r="L626" s="169" t="s">
        <v>22</v>
      </c>
      <c r="M626" s="32" t="s">
        <v>223</v>
      </c>
    </row>
    <row r="627" spans="1:13" x14ac:dyDescent="0.25">
      <c r="A627" s="168">
        <v>46199</v>
      </c>
      <c r="B627" s="32">
        <v>1</v>
      </c>
      <c r="C627" s="32" t="s">
        <v>2866</v>
      </c>
      <c r="D627" s="169" t="s">
        <v>281</v>
      </c>
      <c r="E627" s="169" t="s">
        <v>163</v>
      </c>
      <c r="F627" s="32" t="s">
        <v>164</v>
      </c>
      <c r="G627" s="32">
        <v>52</v>
      </c>
      <c r="H627" s="32" t="s">
        <v>165</v>
      </c>
      <c r="I627" s="32">
        <v>4382</v>
      </c>
      <c r="J627" s="36">
        <v>843.1</v>
      </c>
      <c r="K627" s="32" t="s">
        <v>4379</v>
      </c>
      <c r="L627" s="169" t="s">
        <v>31</v>
      </c>
      <c r="M627" s="32" t="s">
        <v>224</v>
      </c>
    </row>
    <row r="628" spans="1:13" x14ac:dyDescent="0.25">
      <c r="A628" s="168">
        <v>46199</v>
      </c>
      <c r="B628" s="32">
        <v>1</v>
      </c>
      <c r="C628" s="32" t="s">
        <v>200</v>
      </c>
      <c r="D628" s="169" t="s">
        <v>201</v>
      </c>
      <c r="E628" s="169" t="s">
        <v>190</v>
      </c>
      <c r="F628" s="32" t="s">
        <v>198</v>
      </c>
      <c r="G628" s="32">
        <v>70</v>
      </c>
      <c r="H628" s="32" t="s">
        <v>165</v>
      </c>
      <c r="I628" s="32">
        <v>4472</v>
      </c>
      <c r="J628" s="36">
        <v>1158.25</v>
      </c>
      <c r="K628" s="32" t="s">
        <v>4380</v>
      </c>
      <c r="L628" s="169" t="s">
        <v>30</v>
      </c>
      <c r="M628" s="32" t="s">
        <v>224</v>
      </c>
    </row>
    <row r="629" spans="1:13" x14ac:dyDescent="0.25">
      <c r="A629" s="168">
        <v>46199</v>
      </c>
      <c r="B629" s="32">
        <v>1</v>
      </c>
      <c r="C629" s="32" t="s">
        <v>181</v>
      </c>
      <c r="D629" s="169" t="s">
        <v>182</v>
      </c>
      <c r="E629" s="169" t="s">
        <v>166</v>
      </c>
      <c r="F629" s="32" t="s">
        <v>111</v>
      </c>
      <c r="G629" s="32">
        <v>79</v>
      </c>
      <c r="H629" s="32" t="s">
        <v>169</v>
      </c>
      <c r="I629" s="32">
        <v>269</v>
      </c>
      <c r="J629" s="36">
        <v>786.29</v>
      </c>
      <c r="K629" s="32" t="s">
        <v>4381</v>
      </c>
      <c r="L629" s="169" t="s">
        <v>116</v>
      </c>
      <c r="M629" s="32" t="s">
        <v>111</v>
      </c>
    </row>
    <row r="630" spans="1:13" x14ac:dyDescent="0.25">
      <c r="A630" s="168">
        <v>46199</v>
      </c>
      <c r="B630" s="32">
        <v>1</v>
      </c>
      <c r="C630" s="32" t="s">
        <v>181</v>
      </c>
      <c r="D630" s="169" t="s">
        <v>182</v>
      </c>
      <c r="E630" s="169" t="s">
        <v>166</v>
      </c>
      <c r="F630" s="32" t="s">
        <v>164</v>
      </c>
      <c r="G630" s="32">
        <v>58</v>
      </c>
      <c r="H630" s="32" t="s">
        <v>165</v>
      </c>
      <c r="I630" s="32">
        <v>2578</v>
      </c>
      <c r="J630" s="36">
        <v>553.24</v>
      </c>
      <c r="K630" s="32" t="s">
        <v>4382</v>
      </c>
      <c r="L630" s="169" t="s">
        <v>27</v>
      </c>
      <c r="M630" s="32" t="s">
        <v>224</v>
      </c>
    </row>
    <row r="631" spans="1:13" x14ac:dyDescent="0.25">
      <c r="A631" s="168">
        <v>46199</v>
      </c>
      <c r="B631" s="32">
        <v>1</v>
      </c>
      <c r="C631" s="32" t="s">
        <v>196</v>
      </c>
      <c r="D631" s="169" t="s">
        <v>197</v>
      </c>
      <c r="E631" s="169" t="s">
        <v>166</v>
      </c>
      <c r="F631" s="32" t="s">
        <v>164</v>
      </c>
      <c r="G631" s="32">
        <v>58</v>
      </c>
      <c r="H631" s="32" t="s">
        <v>165</v>
      </c>
      <c r="I631" s="32">
        <v>4784</v>
      </c>
      <c r="J631" s="36">
        <v>1026.6500000000001</v>
      </c>
      <c r="K631" s="32" t="s">
        <v>4383</v>
      </c>
      <c r="L631" s="169" t="s">
        <v>27</v>
      </c>
      <c r="M631" s="32" t="s">
        <v>224</v>
      </c>
    </row>
    <row r="632" spans="1:13" x14ac:dyDescent="0.25">
      <c r="A632" s="168">
        <v>46199</v>
      </c>
      <c r="B632" s="32">
        <v>1</v>
      </c>
      <c r="C632" s="32" t="s">
        <v>219</v>
      </c>
      <c r="D632" s="169" t="s">
        <v>220</v>
      </c>
      <c r="E632" s="169" t="s">
        <v>163</v>
      </c>
      <c r="F632" s="32" t="s">
        <v>164</v>
      </c>
      <c r="G632" s="32">
        <v>52</v>
      </c>
      <c r="H632" s="32" t="s">
        <v>175</v>
      </c>
      <c r="I632" s="32">
        <v>562</v>
      </c>
      <c r="J632" s="36">
        <v>1081.29</v>
      </c>
      <c r="K632" s="32" t="s">
        <v>4384</v>
      </c>
      <c r="L632" s="169" t="s">
        <v>21</v>
      </c>
      <c r="M632" s="32" t="s">
        <v>224</v>
      </c>
    </row>
    <row r="633" spans="1:13" x14ac:dyDescent="0.25">
      <c r="A633" s="168">
        <v>46199</v>
      </c>
      <c r="B633" s="32">
        <v>1</v>
      </c>
      <c r="C633" s="32" t="s">
        <v>188</v>
      </c>
      <c r="D633" s="169" t="s">
        <v>189</v>
      </c>
      <c r="E633" s="169" t="s">
        <v>166</v>
      </c>
      <c r="F633" s="32" t="s">
        <v>191</v>
      </c>
      <c r="G633" s="32">
        <v>243</v>
      </c>
      <c r="H633" s="32" t="s">
        <v>165</v>
      </c>
      <c r="I633" s="32">
        <v>6118</v>
      </c>
      <c r="J633" s="36">
        <v>5500.69</v>
      </c>
      <c r="K633" s="32" t="s">
        <v>4385</v>
      </c>
      <c r="L633" s="169" t="s">
        <v>36</v>
      </c>
      <c r="M633" s="32" t="s">
        <v>3780</v>
      </c>
    </row>
    <row r="634" spans="1:13" x14ac:dyDescent="0.25">
      <c r="A634" s="168">
        <v>46199</v>
      </c>
      <c r="B634" s="32">
        <v>1</v>
      </c>
      <c r="C634" s="32" t="s">
        <v>1129</v>
      </c>
      <c r="D634" s="169" t="s">
        <v>2396</v>
      </c>
      <c r="E634" s="169" t="s">
        <v>166</v>
      </c>
      <c r="F634" s="32" t="s">
        <v>111</v>
      </c>
      <c r="G634" s="32">
        <v>79</v>
      </c>
      <c r="H634" s="32" t="s">
        <v>169</v>
      </c>
      <c r="I634" s="32">
        <v>2788</v>
      </c>
      <c r="J634" s="36">
        <v>814.93</v>
      </c>
      <c r="K634" s="32" t="s">
        <v>4386</v>
      </c>
      <c r="L634" s="169" t="s">
        <v>116</v>
      </c>
      <c r="M634" s="32" t="s">
        <v>111</v>
      </c>
    </row>
    <row r="635" spans="1:13" x14ac:dyDescent="0.25">
      <c r="A635" s="168">
        <v>46199</v>
      </c>
      <c r="B635" s="32">
        <v>1</v>
      </c>
      <c r="C635" s="32" t="s">
        <v>283</v>
      </c>
      <c r="D635" s="169" t="s">
        <v>282</v>
      </c>
      <c r="E635" s="169" t="s">
        <v>166</v>
      </c>
      <c r="F635" s="32" t="s">
        <v>1178</v>
      </c>
      <c r="G635" s="32">
        <v>51</v>
      </c>
      <c r="H635" s="32" t="s">
        <v>169</v>
      </c>
      <c r="I635" s="32">
        <v>2795</v>
      </c>
      <c r="J635" s="36">
        <v>527.41999999999996</v>
      </c>
      <c r="K635" s="32" t="s">
        <v>4387</v>
      </c>
      <c r="L635" s="169" t="s">
        <v>3744</v>
      </c>
      <c r="M635" s="32" t="s">
        <v>1178</v>
      </c>
    </row>
    <row r="636" spans="1:13" x14ac:dyDescent="0.25">
      <c r="A636" s="168">
        <v>46199</v>
      </c>
      <c r="B636" s="32">
        <v>1</v>
      </c>
      <c r="C636" s="32" t="s">
        <v>1129</v>
      </c>
      <c r="D636" s="169" t="s">
        <v>2396</v>
      </c>
      <c r="E636" s="169" t="s">
        <v>166</v>
      </c>
      <c r="F636" s="32" t="s">
        <v>164</v>
      </c>
      <c r="G636" s="32">
        <v>58</v>
      </c>
      <c r="H636" s="32" t="s">
        <v>165</v>
      </c>
      <c r="I636" s="32">
        <v>2696</v>
      </c>
      <c r="J636" s="36">
        <v>578.55999999999995</v>
      </c>
      <c r="K636" s="32" t="s">
        <v>4388</v>
      </c>
      <c r="L636" s="169" t="s">
        <v>27</v>
      </c>
      <c r="M636" s="32" t="s">
        <v>224</v>
      </c>
    </row>
    <row r="637" spans="1:13" x14ac:dyDescent="0.25">
      <c r="A637" s="168">
        <v>46199</v>
      </c>
      <c r="B637" s="32">
        <v>1</v>
      </c>
      <c r="C637" s="32" t="s">
        <v>1129</v>
      </c>
      <c r="D637" s="169" t="s">
        <v>2396</v>
      </c>
      <c r="E637" s="169" t="s">
        <v>166</v>
      </c>
      <c r="F637" s="32" t="s">
        <v>164</v>
      </c>
      <c r="G637" s="32">
        <v>58</v>
      </c>
      <c r="H637" s="32" t="s">
        <v>165</v>
      </c>
      <c r="I637" s="32">
        <v>2684</v>
      </c>
      <c r="J637" s="36">
        <v>575.99</v>
      </c>
      <c r="K637" s="32" t="s">
        <v>4389</v>
      </c>
      <c r="L637" s="169" t="s">
        <v>27</v>
      </c>
      <c r="M637" s="32" t="s">
        <v>224</v>
      </c>
    </row>
    <row r="638" spans="1:13" x14ac:dyDescent="0.25">
      <c r="A638" s="168">
        <v>46199</v>
      </c>
      <c r="B638" s="32">
        <v>1</v>
      </c>
      <c r="C638" s="32" t="s">
        <v>283</v>
      </c>
      <c r="D638" s="169" t="s">
        <v>282</v>
      </c>
      <c r="E638" s="169" t="s">
        <v>166</v>
      </c>
      <c r="F638" s="32" t="s">
        <v>1178</v>
      </c>
      <c r="G638" s="32">
        <v>51</v>
      </c>
      <c r="H638" s="32" t="s">
        <v>172</v>
      </c>
      <c r="I638" s="32">
        <v>287</v>
      </c>
      <c r="J638" s="36">
        <v>541.57000000000005</v>
      </c>
      <c r="K638" s="32" t="s">
        <v>4390</v>
      </c>
      <c r="L638" s="169" t="s">
        <v>3847</v>
      </c>
      <c r="M638" s="32" t="s">
        <v>1178</v>
      </c>
    </row>
    <row r="639" spans="1:13" x14ac:dyDescent="0.25">
      <c r="A639" s="168">
        <v>46199</v>
      </c>
      <c r="B639" s="32">
        <v>1</v>
      </c>
      <c r="C639" s="32" t="s">
        <v>173</v>
      </c>
      <c r="D639" s="169" t="s">
        <v>174</v>
      </c>
      <c r="E639" s="169" t="s">
        <v>166</v>
      </c>
      <c r="F639" s="32" t="s">
        <v>164</v>
      </c>
      <c r="G639" s="32">
        <v>58</v>
      </c>
      <c r="H639" s="32" t="s">
        <v>172</v>
      </c>
      <c r="I639" s="32">
        <v>2604</v>
      </c>
      <c r="J639" s="36">
        <v>558.82000000000005</v>
      </c>
      <c r="K639" s="32" t="s">
        <v>4391</v>
      </c>
      <c r="L639" s="169" t="s">
        <v>44</v>
      </c>
      <c r="M639" s="32" t="s">
        <v>224</v>
      </c>
    </row>
    <row r="640" spans="1:13" x14ac:dyDescent="0.25">
      <c r="A640" s="168">
        <v>46199</v>
      </c>
      <c r="B640" s="32">
        <v>1</v>
      </c>
      <c r="C640" s="32" t="s">
        <v>173</v>
      </c>
      <c r="D640" s="169" t="s">
        <v>174</v>
      </c>
      <c r="E640" s="169" t="s">
        <v>166</v>
      </c>
      <c r="F640" s="32" t="s">
        <v>164</v>
      </c>
      <c r="G640" s="32">
        <v>58</v>
      </c>
      <c r="H640" s="32" t="s">
        <v>165</v>
      </c>
      <c r="I640" s="32">
        <v>252</v>
      </c>
      <c r="J640" s="36">
        <v>540.79</v>
      </c>
      <c r="K640" s="32" t="s">
        <v>4392</v>
      </c>
      <c r="L640" s="169" t="s">
        <v>27</v>
      </c>
      <c r="M640" s="32" t="s">
        <v>224</v>
      </c>
    </row>
    <row r="641" spans="1:13" x14ac:dyDescent="0.25">
      <c r="A641" s="168">
        <v>46199</v>
      </c>
      <c r="B641" s="32">
        <v>1</v>
      </c>
      <c r="C641" s="32" t="s">
        <v>192</v>
      </c>
      <c r="D641" s="169" t="s">
        <v>287</v>
      </c>
      <c r="E641" s="169" t="s">
        <v>166</v>
      </c>
      <c r="F641" s="32" t="s">
        <v>191</v>
      </c>
      <c r="G641" s="32">
        <v>243</v>
      </c>
      <c r="H641" s="32" t="s">
        <v>165</v>
      </c>
      <c r="I641" s="32">
        <v>5588</v>
      </c>
      <c r="J641" s="36">
        <v>5024.17</v>
      </c>
      <c r="K641" s="32" t="s">
        <v>4393</v>
      </c>
      <c r="L641" s="169" t="s">
        <v>36</v>
      </c>
      <c r="M641" s="32" t="s">
        <v>3780</v>
      </c>
    </row>
    <row r="642" spans="1:13" x14ac:dyDescent="0.25">
      <c r="A642" s="168">
        <v>46199</v>
      </c>
      <c r="B642" s="32">
        <v>1</v>
      </c>
      <c r="C642" s="32" t="s">
        <v>286</v>
      </c>
      <c r="D642" s="169" t="s">
        <v>506</v>
      </c>
      <c r="E642" s="169" t="s">
        <v>166</v>
      </c>
      <c r="F642" s="32" t="s">
        <v>164</v>
      </c>
      <c r="G642" s="32">
        <v>58</v>
      </c>
      <c r="H642" s="32" t="s">
        <v>165</v>
      </c>
      <c r="I642" s="32">
        <v>4496</v>
      </c>
      <c r="J642" s="36">
        <v>964.84</v>
      </c>
      <c r="K642" s="32" t="s">
        <v>4394</v>
      </c>
      <c r="L642" s="169" t="s">
        <v>27</v>
      </c>
      <c r="M642" s="32" t="s">
        <v>224</v>
      </c>
    </row>
    <row r="643" spans="1:13" x14ac:dyDescent="0.25">
      <c r="A643" s="168">
        <v>46199</v>
      </c>
      <c r="B643" s="32">
        <v>1</v>
      </c>
      <c r="C643" s="32" t="s">
        <v>286</v>
      </c>
      <c r="D643" s="169" t="s">
        <v>506</v>
      </c>
      <c r="E643" s="169" t="s">
        <v>166</v>
      </c>
      <c r="F643" s="32" t="s">
        <v>164</v>
      </c>
      <c r="G643" s="32">
        <v>58</v>
      </c>
      <c r="H643" s="32" t="s">
        <v>165</v>
      </c>
      <c r="I643" s="32">
        <v>4672</v>
      </c>
      <c r="J643" s="36">
        <v>1002.61</v>
      </c>
      <c r="K643" s="32" t="s">
        <v>4395</v>
      </c>
      <c r="L643" s="169" t="s">
        <v>27</v>
      </c>
      <c r="M643" s="32" t="s">
        <v>224</v>
      </c>
    </row>
    <row r="644" spans="1:13" x14ac:dyDescent="0.25">
      <c r="A644" s="168">
        <v>46199</v>
      </c>
      <c r="B644" s="32">
        <v>1</v>
      </c>
      <c r="C644" s="32" t="s">
        <v>213</v>
      </c>
      <c r="D644" s="169" t="s">
        <v>1153</v>
      </c>
      <c r="E644" s="169" t="s">
        <v>166</v>
      </c>
      <c r="F644" s="32" t="s">
        <v>164</v>
      </c>
      <c r="G644" s="32">
        <v>58</v>
      </c>
      <c r="H644" s="32" t="s">
        <v>165</v>
      </c>
      <c r="I644" s="32">
        <v>478</v>
      </c>
      <c r="J644" s="36">
        <v>1025.79</v>
      </c>
      <c r="K644" s="32" t="s">
        <v>4396</v>
      </c>
      <c r="L644" s="169" t="s">
        <v>27</v>
      </c>
      <c r="M644" s="32" t="s">
        <v>224</v>
      </c>
    </row>
    <row r="645" spans="1:13" x14ac:dyDescent="0.25">
      <c r="A645" s="168">
        <v>46199</v>
      </c>
      <c r="B645" s="32">
        <v>1</v>
      </c>
      <c r="C645" s="32" t="s">
        <v>179</v>
      </c>
      <c r="D645" s="169" t="s">
        <v>2863</v>
      </c>
      <c r="E645" s="169" t="s">
        <v>166</v>
      </c>
      <c r="F645" s="32" t="s">
        <v>111</v>
      </c>
      <c r="G645" s="32">
        <v>79</v>
      </c>
      <c r="H645" s="32" t="s">
        <v>169</v>
      </c>
      <c r="I645" s="32">
        <v>2666</v>
      </c>
      <c r="J645" s="36">
        <v>779.27</v>
      </c>
      <c r="K645" s="32" t="s">
        <v>4397</v>
      </c>
      <c r="L645" s="169" t="s">
        <v>116</v>
      </c>
      <c r="M645" s="32" t="s">
        <v>111</v>
      </c>
    </row>
    <row r="646" spans="1:13" x14ac:dyDescent="0.25">
      <c r="A646" s="168">
        <v>46199</v>
      </c>
      <c r="B646" s="32">
        <v>1</v>
      </c>
      <c r="C646" s="32" t="s">
        <v>193</v>
      </c>
      <c r="D646" s="169" t="s">
        <v>285</v>
      </c>
      <c r="E646" s="169" t="s">
        <v>166</v>
      </c>
      <c r="F646" s="32" t="s">
        <v>111</v>
      </c>
      <c r="G646" s="32">
        <v>79</v>
      </c>
      <c r="H646" s="32" t="s">
        <v>169</v>
      </c>
      <c r="I646" s="32">
        <v>2692</v>
      </c>
      <c r="J646" s="36">
        <v>786.87</v>
      </c>
      <c r="K646" s="32" t="s">
        <v>4398</v>
      </c>
      <c r="L646" s="169" t="s">
        <v>116</v>
      </c>
      <c r="M646" s="32" t="s">
        <v>111</v>
      </c>
    </row>
    <row r="647" spans="1:13" x14ac:dyDescent="0.25">
      <c r="A647" s="168">
        <v>46199</v>
      </c>
      <c r="B647" s="32">
        <v>1</v>
      </c>
      <c r="C647" s="32" t="s">
        <v>193</v>
      </c>
      <c r="D647" s="169" t="s">
        <v>285</v>
      </c>
      <c r="E647" s="169" t="s">
        <v>163</v>
      </c>
      <c r="F647" s="32" t="s">
        <v>458</v>
      </c>
      <c r="G647" s="32">
        <v>52</v>
      </c>
      <c r="H647" s="32" t="s">
        <v>165</v>
      </c>
      <c r="I647" s="32">
        <v>2623</v>
      </c>
      <c r="J647" s="36">
        <v>504.67</v>
      </c>
      <c r="K647" s="32" t="s">
        <v>4399</v>
      </c>
      <c r="L647" s="169" t="s">
        <v>4400</v>
      </c>
      <c r="M647" s="32" t="s">
        <v>224</v>
      </c>
    </row>
    <row r="648" spans="1:13" x14ac:dyDescent="0.25">
      <c r="A648" s="168">
        <v>46199</v>
      </c>
      <c r="B648" s="32">
        <v>1</v>
      </c>
      <c r="C648" s="32" t="s">
        <v>193</v>
      </c>
      <c r="D648" s="169" t="s">
        <v>285</v>
      </c>
      <c r="E648" s="169" t="s">
        <v>163</v>
      </c>
      <c r="F648" s="32" t="s">
        <v>458</v>
      </c>
      <c r="G648" s="32">
        <v>52</v>
      </c>
      <c r="H648" s="32" t="s">
        <v>165</v>
      </c>
      <c r="I648" s="32">
        <v>2652</v>
      </c>
      <c r="J648" s="36">
        <v>510.24</v>
      </c>
      <c r="K648" s="32" t="s">
        <v>4401</v>
      </c>
      <c r="L648" s="169" t="s">
        <v>4400</v>
      </c>
      <c r="M648" s="32" t="s">
        <v>224</v>
      </c>
    </row>
    <row r="649" spans="1:13" x14ac:dyDescent="0.25">
      <c r="A649" s="168">
        <v>46199</v>
      </c>
      <c r="B649" s="32">
        <v>1</v>
      </c>
      <c r="C649" s="32" t="s">
        <v>183</v>
      </c>
      <c r="D649" s="169" t="s">
        <v>184</v>
      </c>
      <c r="E649" s="169" t="s">
        <v>166</v>
      </c>
      <c r="F649" s="32" t="s">
        <v>111</v>
      </c>
      <c r="G649" s="32">
        <v>79</v>
      </c>
      <c r="H649" s="32" t="s">
        <v>169</v>
      </c>
      <c r="I649" s="32">
        <v>2854</v>
      </c>
      <c r="J649" s="36">
        <v>834.22</v>
      </c>
      <c r="K649" s="32" t="s">
        <v>4402</v>
      </c>
      <c r="L649" s="169" t="s">
        <v>116</v>
      </c>
      <c r="M649" s="32" t="s">
        <v>111</v>
      </c>
    </row>
    <row r="650" spans="1:13" x14ac:dyDescent="0.25">
      <c r="A650" s="168">
        <v>46199</v>
      </c>
      <c r="B650" s="32">
        <v>1</v>
      </c>
      <c r="C650" s="32" t="s">
        <v>183</v>
      </c>
      <c r="D650" s="169" t="s">
        <v>184</v>
      </c>
      <c r="E650" s="169" t="s">
        <v>166</v>
      </c>
      <c r="F650" s="32" t="s">
        <v>1178</v>
      </c>
      <c r="G650" s="32">
        <v>51</v>
      </c>
      <c r="H650" s="32" t="s">
        <v>172</v>
      </c>
      <c r="I650" s="32">
        <v>285</v>
      </c>
      <c r="J650" s="36">
        <v>537.79999999999995</v>
      </c>
      <c r="K650" s="32" t="s">
        <v>4403</v>
      </c>
      <c r="L650" s="169" t="s">
        <v>3847</v>
      </c>
      <c r="M650" s="32" t="s">
        <v>1178</v>
      </c>
    </row>
    <row r="651" spans="1:13" x14ac:dyDescent="0.25">
      <c r="A651" s="168">
        <v>46199</v>
      </c>
      <c r="B651" s="32">
        <v>1</v>
      </c>
      <c r="C651" s="32" t="s">
        <v>1948</v>
      </c>
      <c r="D651" s="169" t="s">
        <v>1949</v>
      </c>
      <c r="E651" s="169" t="s">
        <v>166</v>
      </c>
      <c r="F651" s="32" t="s">
        <v>191</v>
      </c>
      <c r="G651" s="32">
        <v>243</v>
      </c>
      <c r="H651" s="32" t="s">
        <v>165</v>
      </c>
      <c r="I651" s="32">
        <v>472</v>
      </c>
      <c r="J651" s="36">
        <v>4243.75</v>
      </c>
      <c r="K651" s="32" t="s">
        <v>4404</v>
      </c>
      <c r="L651" s="169" t="s">
        <v>36</v>
      </c>
      <c r="M651" s="32" t="s">
        <v>3780</v>
      </c>
    </row>
    <row r="652" spans="1:13" x14ac:dyDescent="0.25">
      <c r="A652" s="168">
        <v>46200</v>
      </c>
      <c r="B652" s="32">
        <v>1</v>
      </c>
      <c r="C652" s="32" t="s">
        <v>342</v>
      </c>
      <c r="D652" s="169" t="s">
        <v>171</v>
      </c>
      <c r="E652" s="169" t="s">
        <v>163</v>
      </c>
      <c r="F652" s="32" t="s">
        <v>164</v>
      </c>
      <c r="G652" s="32">
        <v>52</v>
      </c>
      <c r="H652" s="32" t="s">
        <v>185</v>
      </c>
      <c r="I652" s="32">
        <v>4555</v>
      </c>
      <c r="J652" s="36">
        <v>876.38</v>
      </c>
      <c r="K652" s="32" t="s">
        <v>4405</v>
      </c>
      <c r="L652" s="169" t="s">
        <v>20</v>
      </c>
      <c r="M652" s="32" t="s">
        <v>224</v>
      </c>
    </row>
    <row r="653" spans="1:13" x14ac:dyDescent="0.25">
      <c r="A653" s="168">
        <v>46200</v>
      </c>
      <c r="B653" s="32">
        <v>1</v>
      </c>
      <c r="C653" s="32" t="s">
        <v>205</v>
      </c>
      <c r="D653" s="169" t="s">
        <v>206</v>
      </c>
      <c r="E653" s="169" t="s">
        <v>2757</v>
      </c>
      <c r="F653" s="32" t="s">
        <v>2867</v>
      </c>
      <c r="G653" s="32">
        <v>383</v>
      </c>
      <c r="H653" s="32" t="s">
        <v>221</v>
      </c>
      <c r="I653" s="32">
        <v>6168</v>
      </c>
      <c r="J653" s="36">
        <v>7559.5</v>
      </c>
      <c r="K653" s="32" t="s">
        <v>4406</v>
      </c>
      <c r="L653" s="169" t="s">
        <v>3752</v>
      </c>
      <c r="M653" s="32" t="s">
        <v>15</v>
      </c>
    </row>
    <row r="654" spans="1:13" x14ac:dyDescent="0.25">
      <c r="A654" s="168">
        <v>46200</v>
      </c>
      <c r="B654" s="32">
        <v>1</v>
      </c>
      <c r="C654" s="32" t="s">
        <v>2866</v>
      </c>
      <c r="D654" s="169" t="s">
        <v>281</v>
      </c>
      <c r="E654" s="169" t="s">
        <v>163</v>
      </c>
      <c r="F654" s="32" t="s">
        <v>164</v>
      </c>
      <c r="G654" s="32">
        <v>52</v>
      </c>
      <c r="H654" s="32" t="s">
        <v>165</v>
      </c>
      <c r="I654" s="32">
        <v>4374</v>
      </c>
      <c r="J654" s="36">
        <v>841.56</v>
      </c>
      <c r="K654" s="32" t="s">
        <v>4407</v>
      </c>
      <c r="L654" s="169" t="s">
        <v>31</v>
      </c>
      <c r="M654" s="32" t="s">
        <v>224</v>
      </c>
    </row>
    <row r="655" spans="1:13" x14ac:dyDescent="0.25">
      <c r="A655" s="168">
        <v>46200</v>
      </c>
      <c r="B655" s="32">
        <v>1</v>
      </c>
      <c r="C655" s="32" t="s">
        <v>275</v>
      </c>
      <c r="D655" s="169" t="s">
        <v>178</v>
      </c>
      <c r="E655" s="169" t="s">
        <v>166</v>
      </c>
      <c r="F655" s="32" t="s">
        <v>164</v>
      </c>
      <c r="G655" s="32">
        <v>58</v>
      </c>
      <c r="H655" s="32" t="s">
        <v>165</v>
      </c>
      <c r="I655" s="32">
        <v>4548</v>
      </c>
      <c r="J655" s="36">
        <v>976</v>
      </c>
      <c r="K655" s="32" t="s">
        <v>4408</v>
      </c>
      <c r="L655" s="169" t="s">
        <v>27</v>
      </c>
      <c r="M655" s="32" t="s">
        <v>224</v>
      </c>
    </row>
    <row r="656" spans="1:13" x14ac:dyDescent="0.25">
      <c r="A656" s="168">
        <v>46200</v>
      </c>
      <c r="B656" s="32">
        <v>1</v>
      </c>
      <c r="C656" s="32" t="s">
        <v>208</v>
      </c>
      <c r="D656" s="169" t="s">
        <v>209</v>
      </c>
      <c r="E656" s="169" t="s">
        <v>190</v>
      </c>
      <c r="F656" s="32" t="s">
        <v>198</v>
      </c>
      <c r="G656" s="32">
        <v>70</v>
      </c>
      <c r="H656" s="32" t="s">
        <v>165</v>
      </c>
      <c r="I656" s="32">
        <v>510</v>
      </c>
      <c r="J656" s="36">
        <v>1320.9</v>
      </c>
      <c r="K656" s="32" t="s">
        <v>4409</v>
      </c>
      <c r="L656" s="169" t="s">
        <v>30</v>
      </c>
      <c r="M656" s="32" t="s">
        <v>224</v>
      </c>
    </row>
    <row r="657" spans="1:13" x14ac:dyDescent="0.25">
      <c r="A657" s="168">
        <v>46200</v>
      </c>
      <c r="B657" s="32">
        <v>1</v>
      </c>
      <c r="C657" s="32" t="s">
        <v>199</v>
      </c>
      <c r="D657" s="169" t="s">
        <v>180</v>
      </c>
      <c r="E657" s="169" t="s">
        <v>166</v>
      </c>
      <c r="F657" s="32" t="s">
        <v>164</v>
      </c>
      <c r="G657" s="32">
        <v>58</v>
      </c>
      <c r="H657" s="32" t="s">
        <v>165</v>
      </c>
      <c r="I657" s="32">
        <v>278</v>
      </c>
      <c r="J657" s="36">
        <v>596.59</v>
      </c>
      <c r="K657" s="32" t="s">
        <v>4410</v>
      </c>
      <c r="L657" s="169" t="s">
        <v>27</v>
      </c>
      <c r="M657" s="32" t="s">
        <v>224</v>
      </c>
    </row>
    <row r="658" spans="1:13" x14ac:dyDescent="0.25">
      <c r="A658" s="168">
        <v>46200</v>
      </c>
      <c r="B658" s="32">
        <v>1</v>
      </c>
      <c r="C658" s="32" t="s">
        <v>181</v>
      </c>
      <c r="D658" s="169" t="s">
        <v>182</v>
      </c>
      <c r="E658" s="169" t="s">
        <v>166</v>
      </c>
      <c r="F658" s="32" t="s">
        <v>164</v>
      </c>
      <c r="G658" s="32">
        <v>58</v>
      </c>
      <c r="H658" s="32" t="s">
        <v>165</v>
      </c>
      <c r="I658" s="32">
        <v>2678</v>
      </c>
      <c r="J658" s="36">
        <v>574.70000000000005</v>
      </c>
      <c r="K658" s="32" t="s">
        <v>4411</v>
      </c>
      <c r="L658" s="169" t="s">
        <v>27</v>
      </c>
      <c r="M658" s="32" t="s">
        <v>224</v>
      </c>
    </row>
    <row r="659" spans="1:13" x14ac:dyDescent="0.25">
      <c r="A659" s="168">
        <v>46200</v>
      </c>
      <c r="B659" s="32">
        <v>1</v>
      </c>
      <c r="C659" s="32" t="s">
        <v>202</v>
      </c>
      <c r="D659" s="169" t="s">
        <v>214</v>
      </c>
      <c r="E659" s="169" t="s">
        <v>166</v>
      </c>
      <c r="F659" s="32" t="s">
        <v>164</v>
      </c>
      <c r="G659" s="32">
        <v>58</v>
      </c>
      <c r="H659" s="32" t="s">
        <v>165</v>
      </c>
      <c r="I659" s="32">
        <v>4964</v>
      </c>
      <c r="J659" s="36">
        <v>1065.27</v>
      </c>
      <c r="K659" s="32" t="s">
        <v>4412</v>
      </c>
      <c r="L659" s="169" t="s">
        <v>27</v>
      </c>
      <c r="M659" s="32" t="s">
        <v>224</v>
      </c>
    </row>
    <row r="660" spans="1:13" x14ac:dyDescent="0.25">
      <c r="A660" s="168">
        <v>46200</v>
      </c>
      <c r="B660" s="32">
        <v>1</v>
      </c>
      <c r="C660" s="32" t="s">
        <v>173</v>
      </c>
      <c r="D660" s="169" t="s">
        <v>174</v>
      </c>
      <c r="E660" s="169" t="s">
        <v>166</v>
      </c>
      <c r="F660" s="32" t="s">
        <v>164</v>
      </c>
      <c r="G660" s="32">
        <v>58</v>
      </c>
      <c r="H660" s="32" t="s">
        <v>175</v>
      </c>
      <c r="I660" s="32">
        <v>2644</v>
      </c>
      <c r="J660" s="36">
        <v>567.4</v>
      </c>
      <c r="K660" s="32" t="s">
        <v>4413</v>
      </c>
      <c r="L660" s="169" t="s">
        <v>86</v>
      </c>
      <c r="M660" s="32" t="s">
        <v>224</v>
      </c>
    </row>
    <row r="661" spans="1:13" x14ac:dyDescent="0.25">
      <c r="A661" s="168">
        <v>46200</v>
      </c>
      <c r="B661" s="32">
        <v>1</v>
      </c>
      <c r="C661" s="32" t="s">
        <v>173</v>
      </c>
      <c r="D661" s="169" t="s">
        <v>174</v>
      </c>
      <c r="E661" s="169" t="s">
        <v>166</v>
      </c>
      <c r="F661" s="32" t="s">
        <v>164</v>
      </c>
      <c r="G661" s="32">
        <v>58</v>
      </c>
      <c r="H661" s="32" t="s">
        <v>175</v>
      </c>
      <c r="I661" s="32">
        <v>252</v>
      </c>
      <c r="J661" s="36">
        <v>540.79</v>
      </c>
      <c r="K661" s="32" t="s">
        <v>4414</v>
      </c>
      <c r="L661" s="169" t="s">
        <v>86</v>
      </c>
      <c r="M661" s="32" t="s">
        <v>224</v>
      </c>
    </row>
    <row r="662" spans="1:13" x14ac:dyDescent="0.25">
      <c r="A662" s="168">
        <v>46200</v>
      </c>
      <c r="B662" s="32">
        <v>1</v>
      </c>
      <c r="C662" s="32" t="s">
        <v>219</v>
      </c>
      <c r="D662" s="169" t="s">
        <v>220</v>
      </c>
      <c r="E662" s="169" t="s">
        <v>163</v>
      </c>
      <c r="F662" s="32" t="s">
        <v>164</v>
      </c>
      <c r="G662" s="32">
        <v>52</v>
      </c>
      <c r="H662" s="32" t="s">
        <v>175</v>
      </c>
      <c r="I662" s="32">
        <v>557</v>
      </c>
      <c r="J662" s="36">
        <v>1071.67</v>
      </c>
      <c r="K662" s="32" t="s">
        <v>4415</v>
      </c>
      <c r="L662" s="169" t="s">
        <v>21</v>
      </c>
      <c r="M662" s="32" t="s">
        <v>224</v>
      </c>
    </row>
    <row r="663" spans="1:13" x14ac:dyDescent="0.25">
      <c r="A663" s="168">
        <v>46200</v>
      </c>
      <c r="B663" s="32">
        <v>1</v>
      </c>
      <c r="C663" s="32" t="s">
        <v>167</v>
      </c>
      <c r="D663" s="169" t="s">
        <v>168</v>
      </c>
      <c r="E663" s="169" t="s">
        <v>163</v>
      </c>
      <c r="F663" s="32" t="s">
        <v>164</v>
      </c>
      <c r="G663" s="32">
        <v>52</v>
      </c>
      <c r="H663" s="32" t="s">
        <v>175</v>
      </c>
      <c r="I663" s="32">
        <v>2872</v>
      </c>
      <c r="J663" s="36">
        <v>552.57000000000005</v>
      </c>
      <c r="K663" s="32" t="s">
        <v>4416</v>
      </c>
      <c r="L663" s="169" t="s">
        <v>21</v>
      </c>
      <c r="M663" s="32" t="s">
        <v>224</v>
      </c>
    </row>
    <row r="664" spans="1:13" x14ac:dyDescent="0.25">
      <c r="A664" s="168">
        <v>46200</v>
      </c>
      <c r="B664" s="32">
        <v>1</v>
      </c>
      <c r="C664" s="32" t="s">
        <v>1129</v>
      </c>
      <c r="D664" s="169" t="s">
        <v>2396</v>
      </c>
      <c r="E664" s="169" t="s">
        <v>166</v>
      </c>
      <c r="F664" s="32" t="s">
        <v>164</v>
      </c>
      <c r="G664" s="32">
        <v>58</v>
      </c>
      <c r="H664" s="32" t="s">
        <v>165</v>
      </c>
      <c r="I664" s="32">
        <v>2904</v>
      </c>
      <c r="J664" s="36">
        <v>623.20000000000005</v>
      </c>
      <c r="K664" s="32" t="s">
        <v>4417</v>
      </c>
      <c r="L664" s="169" t="s">
        <v>27</v>
      </c>
      <c r="M664" s="32" t="s">
        <v>224</v>
      </c>
    </row>
    <row r="665" spans="1:13" x14ac:dyDescent="0.25">
      <c r="A665" s="168">
        <v>46200</v>
      </c>
      <c r="B665" s="32">
        <v>1</v>
      </c>
      <c r="C665" s="32" t="s">
        <v>1129</v>
      </c>
      <c r="D665" s="169" t="s">
        <v>2396</v>
      </c>
      <c r="E665" s="169" t="s">
        <v>166</v>
      </c>
      <c r="F665" s="32" t="s">
        <v>164</v>
      </c>
      <c r="G665" s="32">
        <v>58</v>
      </c>
      <c r="H665" s="32" t="s">
        <v>165</v>
      </c>
      <c r="I665" s="32">
        <v>2674</v>
      </c>
      <c r="J665" s="36">
        <v>573.84</v>
      </c>
      <c r="K665" s="32" t="s">
        <v>4418</v>
      </c>
      <c r="L665" s="169" t="s">
        <v>27</v>
      </c>
      <c r="M665" s="32" t="s">
        <v>224</v>
      </c>
    </row>
    <row r="666" spans="1:13" x14ac:dyDescent="0.25">
      <c r="A666" s="168">
        <v>46200</v>
      </c>
      <c r="B666" s="32">
        <v>1</v>
      </c>
      <c r="C666" s="32" t="s">
        <v>183</v>
      </c>
      <c r="D666" s="169" t="s">
        <v>184</v>
      </c>
      <c r="E666" s="169" t="s">
        <v>163</v>
      </c>
      <c r="F666" s="32" t="s">
        <v>164</v>
      </c>
      <c r="G666" s="32">
        <v>52</v>
      </c>
      <c r="H666" s="32" t="s">
        <v>175</v>
      </c>
      <c r="I666" s="32">
        <v>268</v>
      </c>
      <c r="J666" s="36">
        <v>515.63</v>
      </c>
      <c r="K666" s="32" t="s">
        <v>4419</v>
      </c>
      <c r="L666" s="169" t="s">
        <v>21</v>
      </c>
      <c r="M666" s="32" t="s">
        <v>224</v>
      </c>
    </row>
    <row r="667" spans="1:13" x14ac:dyDescent="0.25">
      <c r="A667" s="168">
        <v>46200</v>
      </c>
      <c r="B667" s="32">
        <v>1</v>
      </c>
      <c r="C667" s="32" t="s">
        <v>183</v>
      </c>
      <c r="D667" s="169" t="s">
        <v>184</v>
      </c>
      <c r="E667" s="169" t="s">
        <v>166</v>
      </c>
      <c r="F667" s="32" t="s">
        <v>1178</v>
      </c>
      <c r="G667" s="32">
        <v>51</v>
      </c>
      <c r="H667" s="32" t="s">
        <v>172</v>
      </c>
      <c r="I667" s="32">
        <v>2718</v>
      </c>
      <c r="J667" s="36">
        <v>512.89</v>
      </c>
      <c r="K667" s="32" t="s">
        <v>4420</v>
      </c>
      <c r="L667" s="169" t="s">
        <v>3847</v>
      </c>
      <c r="M667" s="32" t="s">
        <v>1178</v>
      </c>
    </row>
    <row r="668" spans="1:13" x14ac:dyDescent="0.25">
      <c r="A668" s="168">
        <v>46200</v>
      </c>
      <c r="B668" s="32">
        <v>1</v>
      </c>
      <c r="C668" s="32" t="s">
        <v>179</v>
      </c>
      <c r="D668" s="169" t="s">
        <v>2863</v>
      </c>
      <c r="E668" s="169" t="s">
        <v>166</v>
      </c>
      <c r="F668" s="32" t="s">
        <v>164</v>
      </c>
      <c r="G668" s="32">
        <v>58</v>
      </c>
      <c r="H668" s="32" t="s">
        <v>175</v>
      </c>
      <c r="I668" s="32">
        <v>2653</v>
      </c>
      <c r="J668" s="36">
        <v>569.33000000000004</v>
      </c>
      <c r="K668" s="32" t="s">
        <v>4421</v>
      </c>
      <c r="L668" s="169" t="s">
        <v>86</v>
      </c>
      <c r="M668" s="32" t="s">
        <v>224</v>
      </c>
    </row>
    <row r="669" spans="1:13" x14ac:dyDescent="0.25">
      <c r="A669" s="168">
        <v>46200</v>
      </c>
      <c r="B669" s="32">
        <v>1</v>
      </c>
      <c r="C669" s="32" t="s">
        <v>193</v>
      </c>
      <c r="D669" s="169" t="s">
        <v>285</v>
      </c>
      <c r="E669" s="169" t="s">
        <v>166</v>
      </c>
      <c r="F669" s="32" t="s">
        <v>164</v>
      </c>
      <c r="G669" s="32">
        <v>58</v>
      </c>
      <c r="H669" s="32" t="s">
        <v>165</v>
      </c>
      <c r="I669" s="32">
        <v>2554</v>
      </c>
      <c r="J669" s="36">
        <v>548.09</v>
      </c>
      <c r="K669" s="32" t="s">
        <v>4422</v>
      </c>
      <c r="L669" s="169" t="s">
        <v>27</v>
      </c>
      <c r="M669" s="32" t="s">
        <v>224</v>
      </c>
    </row>
    <row r="670" spans="1:13" x14ac:dyDescent="0.25">
      <c r="A670" s="168">
        <v>46200</v>
      </c>
      <c r="B670" s="32">
        <v>1</v>
      </c>
      <c r="C670" s="32" t="s">
        <v>286</v>
      </c>
      <c r="D670" s="169" t="s">
        <v>506</v>
      </c>
      <c r="E670" s="169" t="s">
        <v>166</v>
      </c>
      <c r="F670" s="32" t="s">
        <v>164</v>
      </c>
      <c r="G670" s="32">
        <v>58</v>
      </c>
      <c r="H670" s="32" t="s">
        <v>175</v>
      </c>
      <c r="I670" s="32">
        <v>4698</v>
      </c>
      <c r="J670" s="36">
        <v>1008.19</v>
      </c>
      <c r="K670" s="32" t="s">
        <v>4423</v>
      </c>
      <c r="L670" s="169" t="s">
        <v>86</v>
      </c>
      <c r="M670" s="32" t="s">
        <v>224</v>
      </c>
    </row>
    <row r="671" spans="1:13" x14ac:dyDescent="0.25">
      <c r="A671" s="168">
        <v>46200</v>
      </c>
      <c r="B671" s="32">
        <v>1</v>
      </c>
      <c r="C671" s="32" t="s">
        <v>270</v>
      </c>
      <c r="D671" s="169" t="s">
        <v>288</v>
      </c>
      <c r="E671" s="169" t="s">
        <v>163</v>
      </c>
      <c r="F671" s="32" t="s">
        <v>164</v>
      </c>
      <c r="G671" s="32">
        <v>52</v>
      </c>
      <c r="H671" s="32" t="s">
        <v>175</v>
      </c>
      <c r="I671" s="32">
        <v>4618</v>
      </c>
      <c r="J671" s="36">
        <v>888.5</v>
      </c>
      <c r="K671" s="32" t="s">
        <v>4424</v>
      </c>
      <c r="L671" s="169" t="s">
        <v>21</v>
      </c>
      <c r="M671" s="32" t="s">
        <v>224</v>
      </c>
    </row>
    <row r="672" spans="1:13" x14ac:dyDescent="0.25">
      <c r="A672" s="168">
        <v>46202</v>
      </c>
      <c r="B672" s="32">
        <v>1</v>
      </c>
      <c r="C672" s="32" t="s">
        <v>219</v>
      </c>
      <c r="D672" s="169" t="s">
        <v>220</v>
      </c>
      <c r="E672" s="169" t="s">
        <v>163</v>
      </c>
      <c r="F672" s="32" t="s">
        <v>164</v>
      </c>
      <c r="G672" s="32">
        <v>52</v>
      </c>
      <c r="H672" s="32" t="s">
        <v>175</v>
      </c>
      <c r="I672" s="32">
        <v>549</v>
      </c>
      <c r="J672" s="36">
        <v>1056.28</v>
      </c>
      <c r="K672" s="32" t="s">
        <v>4425</v>
      </c>
      <c r="L672" s="169" t="s">
        <v>21</v>
      </c>
      <c r="M672" s="32" t="s">
        <v>224</v>
      </c>
    </row>
    <row r="673" spans="1:13" x14ac:dyDescent="0.25">
      <c r="A673" s="168">
        <v>46202</v>
      </c>
      <c r="B673" s="32">
        <v>1</v>
      </c>
      <c r="C673" s="32" t="s">
        <v>219</v>
      </c>
      <c r="D673" s="169" t="s">
        <v>220</v>
      </c>
      <c r="E673" s="169" t="s">
        <v>163</v>
      </c>
      <c r="F673" s="32" t="s">
        <v>164</v>
      </c>
      <c r="G673" s="32">
        <v>52</v>
      </c>
      <c r="H673" s="32" t="s">
        <v>175</v>
      </c>
      <c r="I673" s="32">
        <v>550</v>
      </c>
      <c r="J673" s="36">
        <v>1058.2</v>
      </c>
      <c r="K673" s="32" t="s">
        <v>4426</v>
      </c>
      <c r="L673" s="169" t="s">
        <v>21</v>
      </c>
      <c r="M673" s="32" t="s">
        <v>224</v>
      </c>
    </row>
    <row r="674" spans="1:13" x14ac:dyDescent="0.25">
      <c r="A674" s="168">
        <v>46202</v>
      </c>
      <c r="B674" s="32">
        <v>1</v>
      </c>
      <c r="C674" s="32" t="s">
        <v>167</v>
      </c>
      <c r="D674" s="169" t="s">
        <v>168</v>
      </c>
      <c r="E674" s="169" t="s">
        <v>163</v>
      </c>
      <c r="F674" s="32" t="s">
        <v>164</v>
      </c>
      <c r="G674" s="32">
        <v>52</v>
      </c>
      <c r="H674" s="32" t="s">
        <v>175</v>
      </c>
      <c r="I674" s="32">
        <v>2742</v>
      </c>
      <c r="J674" s="36">
        <v>527.55999999999995</v>
      </c>
      <c r="K674" s="32" t="s">
        <v>4427</v>
      </c>
      <c r="L674" s="169" t="s">
        <v>21</v>
      </c>
      <c r="M674" s="32" t="s">
        <v>224</v>
      </c>
    </row>
    <row r="675" spans="1:13" x14ac:dyDescent="0.25">
      <c r="A675" s="168">
        <v>46202</v>
      </c>
      <c r="B675" s="32">
        <v>1</v>
      </c>
      <c r="C675" s="32" t="s">
        <v>286</v>
      </c>
      <c r="D675" s="169" t="s">
        <v>506</v>
      </c>
      <c r="E675" s="169" t="s">
        <v>166</v>
      </c>
      <c r="F675" s="32" t="s">
        <v>164</v>
      </c>
      <c r="G675" s="32">
        <v>58</v>
      </c>
      <c r="H675" s="32" t="s">
        <v>165</v>
      </c>
      <c r="I675" s="32">
        <v>448</v>
      </c>
      <c r="J675" s="36">
        <v>961.41</v>
      </c>
      <c r="K675" s="32" t="s">
        <v>4428</v>
      </c>
      <c r="L675" s="169" t="s">
        <v>27</v>
      </c>
      <c r="M675" s="32" t="s">
        <v>224</v>
      </c>
    </row>
    <row r="676" spans="1:13" x14ac:dyDescent="0.25">
      <c r="A676" s="168">
        <v>46202</v>
      </c>
      <c r="B676" s="32">
        <v>1</v>
      </c>
      <c r="C676" s="32" t="s">
        <v>186</v>
      </c>
      <c r="D676" s="169" t="s">
        <v>187</v>
      </c>
      <c r="E676" s="169" t="s">
        <v>2757</v>
      </c>
      <c r="F676" s="32" t="s">
        <v>2867</v>
      </c>
      <c r="G676" s="32">
        <v>383</v>
      </c>
      <c r="H676" s="32" t="s">
        <v>221</v>
      </c>
      <c r="I676" s="32">
        <v>610</v>
      </c>
      <c r="J676" s="36">
        <v>7476.16</v>
      </c>
      <c r="K676" s="32" t="s">
        <v>4429</v>
      </c>
      <c r="L676" s="169" t="s">
        <v>3752</v>
      </c>
      <c r="M676" s="32" t="s">
        <v>15</v>
      </c>
    </row>
    <row r="677" spans="1:13" x14ac:dyDescent="0.25">
      <c r="A677" s="168">
        <v>46203</v>
      </c>
      <c r="B677" s="32">
        <v>1</v>
      </c>
      <c r="C677" s="32" t="s">
        <v>219</v>
      </c>
      <c r="D677" s="169" t="s">
        <v>220</v>
      </c>
      <c r="E677" s="169" t="s">
        <v>163</v>
      </c>
      <c r="F677" s="32" t="s">
        <v>164</v>
      </c>
      <c r="G677" s="32">
        <v>52</v>
      </c>
      <c r="H677" s="32" t="s">
        <v>165</v>
      </c>
      <c r="I677" s="32">
        <v>532</v>
      </c>
      <c r="J677" s="36">
        <v>1023.57</v>
      </c>
      <c r="K677" s="32" t="s">
        <v>4430</v>
      </c>
      <c r="L677" s="169" t="s">
        <v>31</v>
      </c>
      <c r="M677" s="32" t="s">
        <v>224</v>
      </c>
    </row>
    <row r="678" spans="1:13" x14ac:dyDescent="0.25">
      <c r="A678" s="168">
        <v>46203</v>
      </c>
      <c r="B678" s="32">
        <v>1</v>
      </c>
      <c r="C678" s="32" t="s">
        <v>203</v>
      </c>
      <c r="D678" s="169" t="s">
        <v>204</v>
      </c>
      <c r="E678" s="169" t="s">
        <v>166</v>
      </c>
      <c r="F678" s="32" t="s">
        <v>164</v>
      </c>
      <c r="G678" s="32">
        <v>58</v>
      </c>
      <c r="H678" s="32" t="s">
        <v>165</v>
      </c>
      <c r="I678" s="32">
        <v>466</v>
      </c>
      <c r="J678" s="36">
        <v>1000.04</v>
      </c>
      <c r="K678" s="32" t="s">
        <v>4431</v>
      </c>
      <c r="L678" s="169" t="s">
        <v>27</v>
      </c>
      <c r="M678" s="32" t="s">
        <v>224</v>
      </c>
    </row>
    <row r="679" spans="1:13" x14ac:dyDescent="0.25">
      <c r="A679" s="168">
        <v>46203</v>
      </c>
      <c r="B679" s="32">
        <v>1</v>
      </c>
      <c r="C679" s="32" t="s">
        <v>188</v>
      </c>
      <c r="D679" s="169" t="s">
        <v>189</v>
      </c>
      <c r="E679" s="169" t="s">
        <v>163</v>
      </c>
      <c r="F679" s="32" t="s">
        <v>164</v>
      </c>
      <c r="G679" s="32">
        <v>52</v>
      </c>
      <c r="H679" s="32" t="s">
        <v>165</v>
      </c>
      <c r="I679" s="32">
        <v>6795</v>
      </c>
      <c r="J679" s="36">
        <v>1307.3599999999999</v>
      </c>
      <c r="K679" s="32" t="s">
        <v>4432</v>
      </c>
      <c r="L679" s="169" t="s">
        <v>31</v>
      </c>
      <c r="M679" s="32" t="s">
        <v>224</v>
      </c>
    </row>
    <row r="680" spans="1:13" x14ac:dyDescent="0.25">
      <c r="A680" s="168">
        <v>46203</v>
      </c>
      <c r="B680" s="32">
        <v>1</v>
      </c>
      <c r="C680" s="32" t="s">
        <v>167</v>
      </c>
      <c r="D680" s="169" t="s">
        <v>168</v>
      </c>
      <c r="E680" s="169" t="s">
        <v>163</v>
      </c>
      <c r="F680" s="32" t="s">
        <v>164</v>
      </c>
      <c r="G680" s="32">
        <v>52</v>
      </c>
      <c r="H680" s="32" t="s">
        <v>175</v>
      </c>
      <c r="I680" s="32">
        <v>2675</v>
      </c>
      <c r="J680" s="36">
        <v>514.66999999999996</v>
      </c>
      <c r="K680" s="32" t="s">
        <v>4433</v>
      </c>
      <c r="L680" s="169" t="s">
        <v>21</v>
      </c>
      <c r="M680" s="32" t="s">
        <v>224</v>
      </c>
    </row>
    <row r="681" spans="1:13" x14ac:dyDescent="0.25">
      <c r="A681" s="168">
        <v>46203</v>
      </c>
      <c r="B681" s="32">
        <v>1</v>
      </c>
      <c r="C681" s="32" t="s">
        <v>167</v>
      </c>
      <c r="D681" s="169" t="s">
        <v>168</v>
      </c>
      <c r="E681" s="169" t="s">
        <v>166</v>
      </c>
      <c r="F681" s="32" t="s">
        <v>164</v>
      </c>
      <c r="G681" s="32">
        <v>58</v>
      </c>
      <c r="H681" s="32" t="s">
        <v>175</v>
      </c>
      <c r="I681" s="32">
        <v>2444</v>
      </c>
      <c r="J681" s="36">
        <v>524.48</v>
      </c>
      <c r="K681" s="32" t="s">
        <v>4434</v>
      </c>
      <c r="L681" s="169" t="s">
        <v>86</v>
      </c>
      <c r="M681" s="32" t="s">
        <v>224</v>
      </c>
    </row>
    <row r="682" spans="1:13" x14ac:dyDescent="0.25">
      <c r="A682" s="168">
        <v>46203</v>
      </c>
      <c r="B682" s="32">
        <v>1</v>
      </c>
      <c r="C682" s="32" t="s">
        <v>210</v>
      </c>
      <c r="D682" s="169" t="s">
        <v>211</v>
      </c>
      <c r="E682" s="169" t="s">
        <v>163</v>
      </c>
      <c r="F682" s="32" t="s">
        <v>164</v>
      </c>
      <c r="G682" s="32">
        <v>52</v>
      </c>
      <c r="H682" s="32" t="s">
        <v>165</v>
      </c>
      <c r="I682" s="32">
        <v>4444</v>
      </c>
      <c r="J682" s="36">
        <v>855.03</v>
      </c>
      <c r="K682" s="32" t="s">
        <v>346</v>
      </c>
      <c r="L682" s="169" t="s">
        <v>31</v>
      </c>
      <c r="M682" s="32" t="s">
        <v>224</v>
      </c>
    </row>
    <row r="683" spans="1:13" x14ac:dyDescent="0.25">
      <c r="A683" s="168">
        <v>46203</v>
      </c>
      <c r="B683" s="32">
        <v>1</v>
      </c>
      <c r="C683" s="32" t="s">
        <v>342</v>
      </c>
      <c r="D683" s="169" t="s">
        <v>171</v>
      </c>
      <c r="E683" s="169" t="s">
        <v>166</v>
      </c>
      <c r="F683" s="32" t="s">
        <v>164</v>
      </c>
      <c r="G683" s="32">
        <v>58</v>
      </c>
      <c r="H683" s="32" t="s">
        <v>175</v>
      </c>
      <c r="I683" s="32">
        <v>4508</v>
      </c>
      <c r="J683" s="36">
        <v>967.42</v>
      </c>
      <c r="K683" s="32" t="s">
        <v>4435</v>
      </c>
      <c r="L683" s="169" t="s">
        <v>86</v>
      </c>
      <c r="M683" s="32" t="s">
        <v>224</v>
      </c>
    </row>
    <row r="684" spans="1:13" x14ac:dyDescent="0.25">
      <c r="A684" s="168">
        <v>46203</v>
      </c>
      <c r="B684" s="32">
        <v>1</v>
      </c>
      <c r="C684" s="32" t="s">
        <v>202</v>
      </c>
      <c r="D684" s="169" t="s">
        <v>214</v>
      </c>
      <c r="E684" s="169" t="s">
        <v>190</v>
      </c>
      <c r="F684" s="32" t="s">
        <v>198</v>
      </c>
      <c r="G684" s="32">
        <v>70</v>
      </c>
      <c r="H684" s="32" t="s">
        <v>165</v>
      </c>
      <c r="I684" s="32">
        <v>554</v>
      </c>
      <c r="J684" s="36">
        <v>1434.86</v>
      </c>
      <c r="K684" s="32" t="s">
        <v>4436</v>
      </c>
      <c r="L684" s="169" t="s">
        <v>30</v>
      </c>
      <c r="M684" s="32" t="s">
        <v>224</v>
      </c>
    </row>
    <row r="685" spans="1:13" x14ac:dyDescent="0.25">
      <c r="A685" s="168">
        <v>46203</v>
      </c>
      <c r="B685" s="32">
        <v>1</v>
      </c>
      <c r="C685" s="32" t="s">
        <v>167</v>
      </c>
      <c r="D685" s="169" t="s">
        <v>168</v>
      </c>
      <c r="E685" s="169" t="s">
        <v>166</v>
      </c>
      <c r="F685" s="32" t="s">
        <v>164</v>
      </c>
      <c r="G685" s="32">
        <v>58</v>
      </c>
      <c r="H685" s="32" t="s">
        <v>175</v>
      </c>
      <c r="I685" s="32">
        <v>2696</v>
      </c>
      <c r="J685" s="36">
        <v>578.55999999999995</v>
      </c>
      <c r="K685" s="32" t="s">
        <v>4437</v>
      </c>
      <c r="L685" s="169" t="s">
        <v>86</v>
      </c>
      <c r="M685" s="32" t="s">
        <v>224</v>
      </c>
    </row>
    <row r="686" spans="1:13" x14ac:dyDescent="0.25">
      <c r="A686" s="168">
        <v>46203</v>
      </c>
      <c r="B686" s="32">
        <v>1</v>
      </c>
      <c r="C686" s="32" t="s">
        <v>199</v>
      </c>
      <c r="D686" s="169" t="s">
        <v>180</v>
      </c>
      <c r="E686" s="169" t="s">
        <v>166</v>
      </c>
      <c r="F686" s="32" t="s">
        <v>164</v>
      </c>
      <c r="G686" s="32">
        <v>58</v>
      </c>
      <c r="H686" s="32" t="s">
        <v>175</v>
      </c>
      <c r="I686" s="32">
        <v>2664</v>
      </c>
      <c r="J686" s="36">
        <v>571.69000000000005</v>
      </c>
      <c r="K686" s="32" t="s">
        <v>4438</v>
      </c>
      <c r="L686" s="169" t="s">
        <v>86</v>
      </c>
      <c r="M686" s="32" t="s">
        <v>224</v>
      </c>
    </row>
    <row r="687" spans="1:13" x14ac:dyDescent="0.25">
      <c r="A687" s="168">
        <v>46203</v>
      </c>
      <c r="B687" s="32">
        <v>1</v>
      </c>
      <c r="C687" s="32" t="s">
        <v>219</v>
      </c>
      <c r="D687" s="169" t="s">
        <v>220</v>
      </c>
      <c r="E687" s="169" t="s">
        <v>163</v>
      </c>
      <c r="F687" s="32" t="s">
        <v>164</v>
      </c>
      <c r="G687" s="32">
        <v>52</v>
      </c>
      <c r="H687" s="32" t="s">
        <v>175</v>
      </c>
      <c r="I687" s="32">
        <v>584</v>
      </c>
      <c r="J687" s="36">
        <v>1123.6199999999999</v>
      </c>
      <c r="K687" s="32" t="s">
        <v>4439</v>
      </c>
      <c r="L687" s="169" t="s">
        <v>21</v>
      </c>
      <c r="M687" s="32" t="s">
        <v>224</v>
      </c>
    </row>
    <row r="688" spans="1:13" x14ac:dyDescent="0.25">
      <c r="A688" s="168">
        <v>46203</v>
      </c>
      <c r="B688" s="32">
        <v>1</v>
      </c>
      <c r="C688" s="32" t="s">
        <v>219</v>
      </c>
      <c r="D688" s="169" t="s">
        <v>220</v>
      </c>
      <c r="E688" s="169" t="s">
        <v>163</v>
      </c>
      <c r="F688" s="32" t="s">
        <v>164</v>
      </c>
      <c r="G688" s="32">
        <v>52</v>
      </c>
      <c r="H688" s="32" t="s">
        <v>165</v>
      </c>
      <c r="I688" s="32">
        <v>532</v>
      </c>
      <c r="J688" s="36">
        <v>1023.57</v>
      </c>
      <c r="K688" s="32" t="s">
        <v>4440</v>
      </c>
      <c r="L688" s="169" t="s">
        <v>31</v>
      </c>
      <c r="M688" s="32" t="s">
        <v>224</v>
      </c>
    </row>
    <row r="689" spans="1:13" x14ac:dyDescent="0.25">
      <c r="A689" s="168">
        <v>46203</v>
      </c>
      <c r="B689" s="32">
        <v>1</v>
      </c>
      <c r="C689" s="32" t="s">
        <v>196</v>
      </c>
      <c r="D689" s="169" t="s">
        <v>197</v>
      </c>
      <c r="E689" s="169" t="s">
        <v>190</v>
      </c>
      <c r="F689" s="32" t="s">
        <v>198</v>
      </c>
      <c r="G689" s="32">
        <v>70</v>
      </c>
      <c r="H689" s="32" t="s">
        <v>165</v>
      </c>
      <c r="I689" s="32">
        <v>545</v>
      </c>
      <c r="J689" s="36">
        <v>1411.55</v>
      </c>
      <c r="K689" s="32" t="s">
        <v>4441</v>
      </c>
      <c r="L689" s="169" t="s">
        <v>30</v>
      </c>
      <c r="M689" s="32" t="s">
        <v>224</v>
      </c>
    </row>
    <row r="690" spans="1:13" x14ac:dyDescent="0.25">
      <c r="A690" s="168">
        <v>46203</v>
      </c>
      <c r="B690" s="32">
        <v>1</v>
      </c>
      <c r="C690" s="32" t="s">
        <v>192</v>
      </c>
      <c r="D690" s="169" t="s">
        <v>287</v>
      </c>
      <c r="E690" s="169" t="s">
        <v>166</v>
      </c>
      <c r="F690" s="32" t="s">
        <v>164</v>
      </c>
      <c r="G690" s="32">
        <v>58</v>
      </c>
      <c r="H690" s="32" t="s">
        <v>165</v>
      </c>
      <c r="I690" s="32">
        <v>50446</v>
      </c>
      <c r="J690" s="36">
        <v>1082.57</v>
      </c>
      <c r="K690" s="32" t="s">
        <v>4442</v>
      </c>
      <c r="L690" s="169" t="s">
        <v>27</v>
      </c>
      <c r="M690" s="32" t="s">
        <v>224</v>
      </c>
    </row>
    <row r="691" spans="1:13" x14ac:dyDescent="0.25">
      <c r="A691" s="168">
        <v>46203</v>
      </c>
      <c r="B691" s="32">
        <v>1</v>
      </c>
      <c r="C691" s="32" t="s">
        <v>192</v>
      </c>
      <c r="D691" s="169" t="s">
        <v>287</v>
      </c>
      <c r="E691" s="169" t="s">
        <v>166</v>
      </c>
      <c r="F691" s="32" t="s">
        <v>164</v>
      </c>
      <c r="G691" s="32">
        <v>58</v>
      </c>
      <c r="H691" s="32" t="s">
        <v>165</v>
      </c>
      <c r="I691" s="32">
        <v>4612</v>
      </c>
      <c r="J691" s="36">
        <v>989.74</v>
      </c>
      <c r="K691" s="32" t="s">
        <v>4443</v>
      </c>
      <c r="L691" s="169" t="s">
        <v>27</v>
      </c>
      <c r="M691" s="32" t="s">
        <v>224</v>
      </c>
    </row>
    <row r="692" spans="1:13" x14ac:dyDescent="0.25">
      <c r="A692" s="168">
        <v>46203</v>
      </c>
      <c r="B692" s="32">
        <v>1</v>
      </c>
      <c r="C692" s="32" t="s">
        <v>213</v>
      </c>
      <c r="D692" s="169" t="s">
        <v>1153</v>
      </c>
      <c r="E692" s="169" t="s">
        <v>190</v>
      </c>
      <c r="F692" s="32" t="s">
        <v>198</v>
      </c>
      <c r="G692" s="32">
        <v>70</v>
      </c>
      <c r="H692" s="32" t="s">
        <v>165</v>
      </c>
      <c r="I692" s="32">
        <v>3094</v>
      </c>
      <c r="J692" s="36">
        <v>801.35</v>
      </c>
      <c r="K692" s="32" t="s">
        <v>4444</v>
      </c>
      <c r="L692" s="169" t="s">
        <v>30</v>
      </c>
      <c r="M692" s="32" t="s">
        <v>224</v>
      </c>
    </row>
    <row r="693" spans="1:13" x14ac:dyDescent="0.25">
      <c r="A693" s="168">
        <v>46203</v>
      </c>
      <c r="B693" s="32">
        <v>1</v>
      </c>
      <c r="C693" s="32" t="s">
        <v>1129</v>
      </c>
      <c r="D693" s="169" t="s">
        <v>2396</v>
      </c>
      <c r="E693" s="169" t="s">
        <v>166</v>
      </c>
      <c r="F693" s="32" t="s">
        <v>164</v>
      </c>
      <c r="G693" s="32">
        <v>58</v>
      </c>
      <c r="H693" s="32" t="s">
        <v>165</v>
      </c>
      <c r="I693" s="32">
        <v>2566</v>
      </c>
      <c r="J693" s="36">
        <v>550.66</v>
      </c>
      <c r="K693" s="32" t="s">
        <v>4445</v>
      </c>
      <c r="L693" s="169" t="s">
        <v>27</v>
      </c>
      <c r="M693" s="32" t="s">
        <v>224</v>
      </c>
    </row>
    <row r="694" spans="1:13" x14ac:dyDescent="0.25">
      <c r="A694" s="168">
        <v>46203</v>
      </c>
      <c r="B694" s="32">
        <v>1</v>
      </c>
      <c r="C694" s="32" t="s">
        <v>283</v>
      </c>
      <c r="D694" s="169" t="s">
        <v>282</v>
      </c>
      <c r="E694" s="169" t="s">
        <v>166</v>
      </c>
      <c r="F694" s="32" t="s">
        <v>1178</v>
      </c>
      <c r="G694" s="32">
        <v>51</v>
      </c>
      <c r="H694" s="32" t="s">
        <v>175</v>
      </c>
      <c r="I694" s="32">
        <v>2695</v>
      </c>
      <c r="J694" s="36">
        <v>508.55</v>
      </c>
      <c r="K694" s="32" t="s">
        <v>4446</v>
      </c>
      <c r="L694" s="169" t="s">
        <v>4447</v>
      </c>
      <c r="M694" s="32" t="s">
        <v>1178</v>
      </c>
    </row>
    <row r="695" spans="1:13" x14ac:dyDescent="0.25">
      <c r="A695" s="168">
        <v>46203</v>
      </c>
      <c r="B695" s="32">
        <v>1</v>
      </c>
      <c r="C695" s="32" t="s">
        <v>283</v>
      </c>
      <c r="D695" s="169" t="s">
        <v>282</v>
      </c>
      <c r="E695" s="169" t="s">
        <v>166</v>
      </c>
      <c r="F695" s="32" t="s">
        <v>1178</v>
      </c>
      <c r="G695" s="32">
        <v>51</v>
      </c>
      <c r="H695" s="32" t="s">
        <v>172</v>
      </c>
      <c r="I695" s="32">
        <v>2776</v>
      </c>
      <c r="J695" s="36">
        <v>523.83000000000004</v>
      </c>
      <c r="K695" s="32" t="s">
        <v>4448</v>
      </c>
      <c r="L695" s="169" t="s">
        <v>3847</v>
      </c>
      <c r="M695" s="32" t="s">
        <v>1178</v>
      </c>
    </row>
    <row r="696" spans="1:13" x14ac:dyDescent="0.25">
      <c r="A696" s="168">
        <v>46203</v>
      </c>
      <c r="B696" s="32">
        <v>1</v>
      </c>
      <c r="C696" s="32" t="s">
        <v>283</v>
      </c>
      <c r="D696" s="169" t="s">
        <v>282</v>
      </c>
      <c r="E696" s="169" t="s">
        <v>166</v>
      </c>
      <c r="F696" s="32" t="s">
        <v>164</v>
      </c>
      <c r="G696" s="32">
        <v>58</v>
      </c>
      <c r="H696" s="32" t="s">
        <v>175</v>
      </c>
      <c r="I696" s="32">
        <v>308</v>
      </c>
      <c r="J696" s="36">
        <v>660.97</v>
      </c>
      <c r="K696" s="32" t="s">
        <v>4449</v>
      </c>
      <c r="L696" s="169" t="s">
        <v>86</v>
      </c>
      <c r="M696" s="32" t="s">
        <v>224</v>
      </c>
    </row>
    <row r="697" spans="1:13" x14ac:dyDescent="0.25">
      <c r="A697" s="168">
        <v>46203</v>
      </c>
      <c r="B697" s="32">
        <v>1</v>
      </c>
      <c r="C697" s="32" t="s">
        <v>176</v>
      </c>
      <c r="D697" s="169" t="s">
        <v>177</v>
      </c>
      <c r="E697" s="169" t="s">
        <v>190</v>
      </c>
      <c r="F697" s="32" t="s">
        <v>198</v>
      </c>
      <c r="G697" s="32">
        <v>70</v>
      </c>
      <c r="H697" s="32" t="s">
        <v>165</v>
      </c>
      <c r="I697" s="32">
        <v>5096</v>
      </c>
      <c r="J697" s="36">
        <v>1319.86</v>
      </c>
      <c r="K697" s="32" t="s">
        <v>4450</v>
      </c>
      <c r="L697" s="169" t="s">
        <v>30</v>
      </c>
      <c r="M697" s="32" t="s">
        <v>224</v>
      </c>
    </row>
    <row r="698" spans="1:13" x14ac:dyDescent="0.25">
      <c r="A698" s="168">
        <v>46203</v>
      </c>
      <c r="B698" s="32">
        <v>1</v>
      </c>
      <c r="C698" s="32" t="s">
        <v>199</v>
      </c>
      <c r="D698" s="169" t="s">
        <v>180</v>
      </c>
      <c r="E698" s="169" t="s">
        <v>166</v>
      </c>
      <c r="F698" s="32" t="s">
        <v>164</v>
      </c>
      <c r="G698" s="32">
        <v>58</v>
      </c>
      <c r="H698" s="32" t="s">
        <v>175</v>
      </c>
      <c r="I698" s="32">
        <v>2522</v>
      </c>
      <c r="J698" s="36">
        <v>541.22</v>
      </c>
      <c r="K698" s="32" t="s">
        <v>4451</v>
      </c>
      <c r="L698" s="169" t="s">
        <v>86</v>
      </c>
      <c r="M698" s="32" t="s">
        <v>224</v>
      </c>
    </row>
    <row r="699" spans="1:13" x14ac:dyDescent="0.25">
      <c r="A699" s="168">
        <v>46203</v>
      </c>
      <c r="B699" s="32">
        <v>1</v>
      </c>
      <c r="C699" s="32" t="s">
        <v>203</v>
      </c>
      <c r="D699" s="169" t="s">
        <v>204</v>
      </c>
      <c r="E699" s="169" t="s">
        <v>190</v>
      </c>
      <c r="F699" s="32" t="s">
        <v>198</v>
      </c>
      <c r="G699" s="32">
        <v>70</v>
      </c>
      <c r="H699" s="32" t="s">
        <v>165</v>
      </c>
      <c r="I699" s="32">
        <v>535</v>
      </c>
      <c r="J699" s="36">
        <v>1385.65</v>
      </c>
      <c r="K699" s="32" t="s">
        <v>4452</v>
      </c>
      <c r="L699" s="169" t="s">
        <v>30</v>
      </c>
      <c r="M699" s="32" t="s">
        <v>224</v>
      </c>
    </row>
    <row r="700" spans="1:13" x14ac:dyDescent="0.25">
      <c r="A700" s="168">
        <v>46203</v>
      </c>
      <c r="B700" s="32">
        <v>1</v>
      </c>
      <c r="C700" s="32" t="s">
        <v>208</v>
      </c>
      <c r="D700" s="169" t="s">
        <v>209</v>
      </c>
      <c r="E700" s="169" t="s">
        <v>190</v>
      </c>
      <c r="F700" s="32" t="s">
        <v>198</v>
      </c>
      <c r="G700" s="32">
        <v>70</v>
      </c>
      <c r="H700" s="32" t="s">
        <v>165</v>
      </c>
      <c r="I700" s="32">
        <v>510</v>
      </c>
      <c r="J700" s="36">
        <v>1320.9</v>
      </c>
      <c r="K700" s="32" t="s">
        <v>4453</v>
      </c>
      <c r="L700" s="169" t="s">
        <v>30</v>
      </c>
      <c r="M700" s="32" t="s">
        <v>224</v>
      </c>
    </row>
    <row r="701" spans="1:13" x14ac:dyDescent="0.25">
      <c r="A701" s="168">
        <v>46203</v>
      </c>
      <c r="B701" s="32">
        <v>1</v>
      </c>
      <c r="C701" s="32" t="s">
        <v>205</v>
      </c>
      <c r="D701" s="169" t="s">
        <v>206</v>
      </c>
      <c r="E701" s="169" t="s">
        <v>2757</v>
      </c>
      <c r="F701" s="32" t="s">
        <v>2867</v>
      </c>
      <c r="G701" s="32">
        <v>383</v>
      </c>
      <c r="H701" s="32" t="s">
        <v>221</v>
      </c>
      <c r="I701" s="32">
        <v>6016</v>
      </c>
      <c r="J701" s="36">
        <v>7373.21</v>
      </c>
      <c r="K701" s="32" t="s">
        <v>4454</v>
      </c>
      <c r="L701" s="169" t="s">
        <v>3752</v>
      </c>
      <c r="M701" s="32" t="s">
        <v>15</v>
      </c>
    </row>
    <row r="702" spans="1:13" x14ac:dyDescent="0.25">
      <c r="A702" s="168">
        <v>46203</v>
      </c>
      <c r="B702" s="32">
        <v>1</v>
      </c>
      <c r="C702" s="32" t="s">
        <v>183</v>
      </c>
      <c r="D702" s="169" t="s">
        <v>184</v>
      </c>
      <c r="E702" s="169" t="s">
        <v>163</v>
      </c>
      <c r="F702" s="32" t="s">
        <v>164</v>
      </c>
      <c r="G702" s="32">
        <v>52</v>
      </c>
      <c r="H702" s="32" t="s">
        <v>195</v>
      </c>
      <c r="I702" s="32">
        <v>243</v>
      </c>
      <c r="J702" s="36">
        <v>467.53</v>
      </c>
      <c r="K702" s="32" t="s">
        <v>4455</v>
      </c>
      <c r="L702" s="169" t="s">
        <v>137</v>
      </c>
      <c r="M702" s="32" t="s">
        <v>224</v>
      </c>
    </row>
    <row r="703" spans="1:13" x14ac:dyDescent="0.25">
      <c r="A703" s="168">
        <v>46203</v>
      </c>
      <c r="B703" s="32">
        <v>1</v>
      </c>
      <c r="C703" s="32" t="s">
        <v>183</v>
      </c>
      <c r="D703" s="169" t="s">
        <v>184</v>
      </c>
      <c r="E703" s="169" t="s">
        <v>166</v>
      </c>
      <c r="F703" s="32" t="s">
        <v>1178</v>
      </c>
      <c r="G703" s="32">
        <v>51</v>
      </c>
      <c r="H703" s="32" t="s">
        <v>172</v>
      </c>
      <c r="I703" s="32">
        <v>283</v>
      </c>
      <c r="J703" s="36">
        <v>534.02</v>
      </c>
      <c r="K703" s="32" t="s">
        <v>4456</v>
      </c>
      <c r="L703" s="169" t="s">
        <v>3847</v>
      </c>
      <c r="M703" s="32" t="s">
        <v>1178</v>
      </c>
    </row>
    <row r="704" spans="1:13" x14ac:dyDescent="0.25">
      <c r="A704" s="168">
        <v>46203</v>
      </c>
      <c r="B704" s="32">
        <v>1</v>
      </c>
      <c r="C704" s="32" t="s">
        <v>183</v>
      </c>
      <c r="D704" s="169" t="s">
        <v>184</v>
      </c>
      <c r="E704" s="169" t="s">
        <v>166</v>
      </c>
      <c r="F704" s="32" t="s">
        <v>111</v>
      </c>
      <c r="G704" s="32">
        <v>79</v>
      </c>
      <c r="H704" s="32" t="s">
        <v>169</v>
      </c>
      <c r="I704" s="32">
        <v>2656</v>
      </c>
      <c r="J704" s="36">
        <v>776.35</v>
      </c>
      <c r="K704" s="32" t="s">
        <v>4457</v>
      </c>
      <c r="L704" s="169" t="s">
        <v>116</v>
      </c>
      <c r="M704" s="32" t="s">
        <v>111</v>
      </c>
    </row>
    <row r="705" spans="1:13" x14ac:dyDescent="0.25">
      <c r="A705" s="168">
        <v>46203</v>
      </c>
      <c r="B705" s="32">
        <v>1</v>
      </c>
      <c r="C705" s="32" t="s">
        <v>193</v>
      </c>
      <c r="D705" s="169" t="s">
        <v>285</v>
      </c>
      <c r="E705" s="169" t="s">
        <v>166</v>
      </c>
      <c r="F705" s="32" t="s">
        <v>1178</v>
      </c>
      <c r="G705" s="32">
        <v>51</v>
      </c>
      <c r="H705" s="32" t="s">
        <v>172</v>
      </c>
      <c r="I705" s="32">
        <v>2432</v>
      </c>
      <c r="J705" s="36">
        <v>458.92</v>
      </c>
      <c r="K705" s="32" t="s">
        <v>4458</v>
      </c>
      <c r="L705" s="169" t="s">
        <v>3847</v>
      </c>
      <c r="M705" s="32" t="s">
        <v>1178</v>
      </c>
    </row>
    <row r="706" spans="1:13" x14ac:dyDescent="0.25">
      <c r="A706" s="168">
        <v>46203</v>
      </c>
      <c r="B706" s="32">
        <v>1</v>
      </c>
      <c r="C706" s="32" t="s">
        <v>193</v>
      </c>
      <c r="D706" s="169" t="s">
        <v>285</v>
      </c>
      <c r="E706" s="169" t="s">
        <v>166</v>
      </c>
      <c r="F706" s="32" t="s">
        <v>164</v>
      </c>
      <c r="G706" s="32">
        <v>58</v>
      </c>
      <c r="H706" s="32" t="s">
        <v>165</v>
      </c>
      <c r="I706" s="32">
        <v>2554</v>
      </c>
      <c r="J706" s="36">
        <v>548.09</v>
      </c>
      <c r="K706" s="32" t="s">
        <v>4459</v>
      </c>
      <c r="L706" s="169" t="s">
        <v>27</v>
      </c>
      <c r="M706" s="32" t="s">
        <v>224</v>
      </c>
    </row>
    <row r="707" spans="1:13" x14ac:dyDescent="0.25">
      <c r="A707" s="168">
        <v>46203</v>
      </c>
      <c r="B707" s="32">
        <v>1</v>
      </c>
      <c r="C707" s="32" t="s">
        <v>181</v>
      </c>
      <c r="D707" s="169" t="s">
        <v>182</v>
      </c>
      <c r="E707" s="169" t="s">
        <v>166</v>
      </c>
      <c r="F707" s="32" t="s">
        <v>164</v>
      </c>
      <c r="G707" s="32">
        <v>58</v>
      </c>
      <c r="H707" s="32" t="s">
        <v>165</v>
      </c>
      <c r="I707" s="32">
        <v>2588</v>
      </c>
      <c r="J707" s="36">
        <v>555.38</v>
      </c>
      <c r="K707" s="32" t="s">
        <v>4460</v>
      </c>
      <c r="L707" s="169" t="s">
        <v>27</v>
      </c>
      <c r="M707" s="32" t="s">
        <v>224</v>
      </c>
    </row>
    <row r="708" spans="1:13" x14ac:dyDescent="0.25">
      <c r="A708" s="168">
        <v>46203</v>
      </c>
      <c r="B708" s="32">
        <v>1</v>
      </c>
      <c r="C708" s="32" t="s">
        <v>181</v>
      </c>
      <c r="D708" s="169" t="s">
        <v>182</v>
      </c>
      <c r="E708" s="169" t="s">
        <v>166</v>
      </c>
      <c r="F708" s="32" t="s">
        <v>164</v>
      </c>
      <c r="G708" s="32">
        <v>58</v>
      </c>
      <c r="H708" s="32" t="s">
        <v>165</v>
      </c>
      <c r="I708" s="32">
        <v>2536</v>
      </c>
      <c r="J708" s="36">
        <v>544.23</v>
      </c>
      <c r="K708" s="32" t="s">
        <v>4461</v>
      </c>
      <c r="L708" s="169" t="s">
        <v>27</v>
      </c>
      <c r="M708" s="32" t="s">
        <v>224</v>
      </c>
    </row>
    <row r="709" spans="1:13" x14ac:dyDescent="0.25">
      <c r="A709" s="168">
        <v>46203</v>
      </c>
      <c r="B709" s="32">
        <v>1</v>
      </c>
      <c r="C709" s="32" t="s">
        <v>275</v>
      </c>
      <c r="D709" s="169" t="s">
        <v>178</v>
      </c>
      <c r="E709" s="169" t="s">
        <v>163</v>
      </c>
      <c r="F709" s="32" t="s">
        <v>164</v>
      </c>
      <c r="G709" s="32">
        <v>52</v>
      </c>
      <c r="H709" s="32" t="s">
        <v>165</v>
      </c>
      <c r="I709" s="32">
        <v>4565</v>
      </c>
      <c r="J709" s="36">
        <v>878.31</v>
      </c>
      <c r="K709" s="32" t="s">
        <v>4462</v>
      </c>
      <c r="L709" s="169" t="s">
        <v>31</v>
      </c>
      <c r="M709" s="32" t="s">
        <v>224</v>
      </c>
    </row>
    <row r="710" spans="1:13" x14ac:dyDescent="0.25">
      <c r="A710" s="168">
        <v>46203</v>
      </c>
      <c r="B710" s="32">
        <v>1</v>
      </c>
      <c r="C710" s="32" t="s">
        <v>192</v>
      </c>
      <c r="D710" s="169" t="s">
        <v>287</v>
      </c>
      <c r="E710" s="169" t="s">
        <v>166</v>
      </c>
      <c r="F710" s="32" t="s">
        <v>164</v>
      </c>
      <c r="G710" s="32">
        <v>58</v>
      </c>
      <c r="H710" s="32" t="s">
        <v>165</v>
      </c>
      <c r="I710" s="32">
        <v>597</v>
      </c>
      <c r="J710" s="36">
        <v>1281.1600000000001</v>
      </c>
      <c r="K710" s="32" t="s">
        <v>4463</v>
      </c>
      <c r="L710" s="169" t="s">
        <v>27</v>
      </c>
      <c r="M710" s="32" t="s">
        <v>224</v>
      </c>
    </row>
    <row r="711" spans="1:13" x14ac:dyDescent="0.25">
      <c r="A711" s="168">
        <v>46203</v>
      </c>
      <c r="B711" s="32">
        <v>1</v>
      </c>
      <c r="C711" s="32" t="s">
        <v>1948</v>
      </c>
      <c r="D711" s="169" t="s">
        <v>1949</v>
      </c>
      <c r="E711" s="169" t="s">
        <v>163</v>
      </c>
      <c r="F711" s="32" t="s">
        <v>164</v>
      </c>
      <c r="G711" s="32">
        <v>52</v>
      </c>
      <c r="H711" s="32" t="s">
        <v>165</v>
      </c>
      <c r="I711" s="32">
        <v>469</v>
      </c>
      <c r="J711" s="36">
        <v>902.36</v>
      </c>
      <c r="K711" s="32" t="s">
        <v>4464</v>
      </c>
      <c r="L711" s="169" t="s">
        <v>31</v>
      </c>
      <c r="M711" s="32" t="s">
        <v>224</v>
      </c>
    </row>
    <row r="712" spans="1:13" x14ac:dyDescent="0.25">
      <c r="A712" s="168">
        <v>46203</v>
      </c>
      <c r="B712" s="32">
        <v>1</v>
      </c>
      <c r="C712" s="32" t="s">
        <v>1948</v>
      </c>
      <c r="D712" s="169" t="s">
        <v>1949</v>
      </c>
      <c r="E712" s="169" t="s">
        <v>166</v>
      </c>
      <c r="F712" s="32" t="s">
        <v>164</v>
      </c>
      <c r="G712" s="32">
        <v>58</v>
      </c>
      <c r="H712" s="32" t="s">
        <v>165</v>
      </c>
      <c r="I712" s="32">
        <v>501</v>
      </c>
      <c r="J712" s="36">
        <v>1075.1500000000001</v>
      </c>
      <c r="K712" s="32" t="s">
        <v>4465</v>
      </c>
      <c r="L712" s="169" t="s">
        <v>27</v>
      </c>
      <c r="M712" s="32" t="s">
        <v>224</v>
      </c>
    </row>
    <row r="713" spans="1:13" x14ac:dyDescent="0.25">
      <c r="A713" s="168">
        <v>46203</v>
      </c>
      <c r="B713" s="32">
        <v>1</v>
      </c>
      <c r="C713" s="32" t="s">
        <v>186</v>
      </c>
      <c r="D713" s="169" t="s">
        <v>187</v>
      </c>
      <c r="E713" s="169" t="s">
        <v>2757</v>
      </c>
      <c r="F713" s="32" t="s">
        <v>2867</v>
      </c>
      <c r="G713" s="32">
        <v>383</v>
      </c>
      <c r="H713" s="32" t="s">
        <v>221</v>
      </c>
      <c r="I713" s="32">
        <v>6516</v>
      </c>
      <c r="J713" s="36">
        <v>7986.01</v>
      </c>
      <c r="K713" s="32" t="s">
        <v>4466</v>
      </c>
      <c r="L713" s="169" t="s">
        <v>3752</v>
      </c>
      <c r="M713" s="32" t="s">
        <v>15</v>
      </c>
    </row>
    <row r="714" spans="1:13" x14ac:dyDescent="0.25">
      <c r="A714" s="168">
        <v>46203</v>
      </c>
      <c r="B714" s="32">
        <v>1</v>
      </c>
      <c r="C714" s="32" t="s">
        <v>173</v>
      </c>
      <c r="D714" s="169" t="s">
        <v>174</v>
      </c>
      <c r="E714" s="169" t="s">
        <v>166</v>
      </c>
      <c r="F714" s="32" t="s">
        <v>164</v>
      </c>
      <c r="G714" s="32">
        <v>58</v>
      </c>
      <c r="H714" s="32" t="s">
        <v>175</v>
      </c>
      <c r="I714" s="32">
        <v>2548</v>
      </c>
      <c r="J714" s="36">
        <v>546.79999999999995</v>
      </c>
      <c r="K714" s="32" t="s">
        <v>4467</v>
      </c>
      <c r="L714" s="169" t="s">
        <v>86</v>
      </c>
      <c r="M714" s="32" t="s">
        <v>224</v>
      </c>
    </row>
    <row r="715" spans="1:13" x14ac:dyDescent="0.25">
      <c r="A715" s="168">
        <v>46203</v>
      </c>
      <c r="B715" s="32">
        <v>1</v>
      </c>
      <c r="C715" s="32" t="s">
        <v>173</v>
      </c>
      <c r="D715" s="169" t="s">
        <v>174</v>
      </c>
      <c r="E715" s="169" t="s">
        <v>166</v>
      </c>
      <c r="F715" s="32" t="s">
        <v>164</v>
      </c>
      <c r="G715" s="32">
        <v>58</v>
      </c>
      <c r="H715" s="32" t="s">
        <v>175</v>
      </c>
      <c r="I715" s="32">
        <v>2566</v>
      </c>
      <c r="J715" s="36">
        <v>550.66</v>
      </c>
      <c r="K715" s="32" t="s">
        <v>4468</v>
      </c>
      <c r="L715" s="169" t="s">
        <v>86</v>
      </c>
      <c r="M715" s="32" t="s">
        <v>224</v>
      </c>
    </row>
    <row r="716" spans="1:13" x14ac:dyDescent="0.25">
      <c r="A716" s="168">
        <v>46174</v>
      </c>
      <c r="B716" s="32">
        <v>2</v>
      </c>
      <c r="C716" s="32" t="s">
        <v>305</v>
      </c>
      <c r="D716" s="169" t="s">
        <v>306</v>
      </c>
      <c r="E716" s="169" t="s">
        <v>2757</v>
      </c>
      <c r="F716" s="32" t="s">
        <v>2867</v>
      </c>
      <c r="G716" s="32">
        <v>383</v>
      </c>
      <c r="H716" s="32" t="s">
        <v>221</v>
      </c>
      <c r="I716" s="32">
        <v>538</v>
      </c>
      <c r="J716" s="36">
        <v>6593.73</v>
      </c>
      <c r="K716" s="32" t="s">
        <v>4469</v>
      </c>
      <c r="L716" s="169" t="s">
        <v>3752</v>
      </c>
      <c r="M716" s="32" t="s">
        <v>15</v>
      </c>
    </row>
    <row r="717" spans="1:13" x14ac:dyDescent="0.25">
      <c r="A717" s="168">
        <v>46174</v>
      </c>
      <c r="B717" s="32">
        <v>2</v>
      </c>
      <c r="C717" s="32" t="s">
        <v>2873</v>
      </c>
      <c r="D717" s="169" t="s">
        <v>290</v>
      </c>
      <c r="E717" s="169" t="s">
        <v>2757</v>
      </c>
      <c r="F717" s="32" t="s">
        <v>2867</v>
      </c>
      <c r="G717" s="32">
        <v>383</v>
      </c>
      <c r="H717" s="32" t="s">
        <v>172</v>
      </c>
      <c r="I717" s="32">
        <v>5516</v>
      </c>
      <c r="J717" s="36">
        <v>6760.41</v>
      </c>
      <c r="K717" s="32" t="s">
        <v>4470</v>
      </c>
      <c r="L717" s="169" t="s">
        <v>3865</v>
      </c>
      <c r="M717" s="32" t="s">
        <v>15</v>
      </c>
    </row>
    <row r="718" spans="1:13" x14ac:dyDescent="0.25">
      <c r="A718" s="168">
        <v>46174</v>
      </c>
      <c r="B718" s="32">
        <v>2</v>
      </c>
      <c r="C718" s="32" t="s">
        <v>302</v>
      </c>
      <c r="D718" s="169" t="s">
        <v>303</v>
      </c>
      <c r="E718" s="169" t="s">
        <v>2748</v>
      </c>
      <c r="F718" s="32" t="s">
        <v>2749</v>
      </c>
      <c r="G718" s="32">
        <v>168</v>
      </c>
      <c r="H718" s="32" t="s">
        <v>165</v>
      </c>
      <c r="I718" s="32">
        <v>5913</v>
      </c>
      <c r="J718" s="36">
        <v>3178.83</v>
      </c>
      <c r="K718" s="32" t="s">
        <v>4471</v>
      </c>
      <c r="L718" s="169" t="s">
        <v>4472</v>
      </c>
      <c r="M718" s="32" t="s">
        <v>4473</v>
      </c>
    </row>
    <row r="719" spans="1:13" x14ac:dyDescent="0.25">
      <c r="A719" s="168">
        <v>46174</v>
      </c>
      <c r="B719" s="32">
        <v>2</v>
      </c>
      <c r="C719" s="32" t="s">
        <v>310</v>
      </c>
      <c r="D719" s="169" t="s">
        <v>311</v>
      </c>
      <c r="E719" s="169" t="s">
        <v>276</v>
      </c>
      <c r="F719" s="32" t="s">
        <v>277</v>
      </c>
      <c r="G719" s="32">
        <v>118</v>
      </c>
      <c r="H719" s="32" t="s">
        <v>165</v>
      </c>
      <c r="I719" s="32">
        <v>3876</v>
      </c>
      <c r="J719" s="36">
        <v>1463.58</v>
      </c>
      <c r="K719" s="32" t="s">
        <v>4474</v>
      </c>
      <c r="L719" s="169" t="s">
        <v>24</v>
      </c>
      <c r="M719" s="32" t="s">
        <v>15</v>
      </c>
    </row>
    <row r="720" spans="1:13" x14ac:dyDescent="0.25">
      <c r="A720" s="168">
        <v>46174</v>
      </c>
      <c r="B720" s="32">
        <v>2</v>
      </c>
      <c r="C720" s="32" t="s">
        <v>308</v>
      </c>
      <c r="D720" s="169" t="s">
        <v>309</v>
      </c>
      <c r="E720" s="169" t="s">
        <v>276</v>
      </c>
      <c r="F720" s="32" t="s">
        <v>2033</v>
      </c>
      <c r="G720" s="32">
        <v>323</v>
      </c>
      <c r="H720" s="32" t="s">
        <v>207</v>
      </c>
      <c r="I720" s="32">
        <v>681</v>
      </c>
      <c r="J720" s="36">
        <v>7038.82</v>
      </c>
      <c r="K720" s="32" t="s">
        <v>4475</v>
      </c>
      <c r="L720" s="169" t="s">
        <v>3766</v>
      </c>
      <c r="M720" s="32" t="s">
        <v>15</v>
      </c>
    </row>
    <row r="721" spans="1:13" x14ac:dyDescent="0.25">
      <c r="A721" s="168">
        <v>46175</v>
      </c>
      <c r="B721" s="32">
        <v>2</v>
      </c>
      <c r="C721" s="32" t="s">
        <v>289</v>
      </c>
      <c r="D721" s="169" t="s">
        <v>295</v>
      </c>
      <c r="E721" s="169" t="s">
        <v>276</v>
      </c>
      <c r="F721" s="32" t="s">
        <v>3506</v>
      </c>
      <c r="G721" s="32">
        <v>118</v>
      </c>
      <c r="H721" s="32" t="s">
        <v>207</v>
      </c>
      <c r="I721" s="32">
        <v>3826</v>
      </c>
      <c r="J721" s="36">
        <v>1444.7</v>
      </c>
      <c r="K721" s="32" t="s">
        <v>4476</v>
      </c>
      <c r="L721" s="169" t="s">
        <v>95</v>
      </c>
      <c r="M721" s="32" t="s">
        <v>15</v>
      </c>
    </row>
    <row r="722" spans="1:13" x14ac:dyDescent="0.25">
      <c r="A722" s="168">
        <v>46175</v>
      </c>
      <c r="B722" s="32">
        <v>2</v>
      </c>
      <c r="C722" s="32" t="s">
        <v>302</v>
      </c>
      <c r="D722" s="169" t="s">
        <v>303</v>
      </c>
      <c r="E722" s="169" t="s">
        <v>2748</v>
      </c>
      <c r="F722" s="32" t="s">
        <v>2749</v>
      </c>
      <c r="G722" s="32">
        <v>168</v>
      </c>
      <c r="H722" s="32" t="s">
        <v>165</v>
      </c>
      <c r="I722" s="32">
        <v>6072</v>
      </c>
      <c r="J722" s="36">
        <v>3264.31</v>
      </c>
      <c r="K722" s="32" t="s">
        <v>4477</v>
      </c>
      <c r="L722" s="169" t="s">
        <v>4472</v>
      </c>
      <c r="M722" s="32" t="s">
        <v>4473</v>
      </c>
    </row>
    <row r="723" spans="1:13" x14ac:dyDescent="0.25">
      <c r="A723" s="168">
        <v>46175</v>
      </c>
      <c r="B723" s="32">
        <v>2</v>
      </c>
      <c r="C723" s="32" t="s">
        <v>310</v>
      </c>
      <c r="D723" s="169" t="s">
        <v>311</v>
      </c>
      <c r="E723" s="169" t="s">
        <v>276</v>
      </c>
      <c r="F723" s="32" t="s">
        <v>3506</v>
      </c>
      <c r="G723" s="32">
        <v>118</v>
      </c>
      <c r="H723" s="32" t="s">
        <v>207</v>
      </c>
      <c r="I723" s="32">
        <v>4206</v>
      </c>
      <c r="J723" s="36">
        <v>1588.19</v>
      </c>
      <c r="K723" s="32" t="s">
        <v>4478</v>
      </c>
      <c r="L723" s="169" t="s">
        <v>95</v>
      </c>
      <c r="M723" s="32" t="s">
        <v>15</v>
      </c>
    </row>
    <row r="724" spans="1:13" x14ac:dyDescent="0.25">
      <c r="A724" s="168">
        <v>46176</v>
      </c>
      <c r="B724" s="32">
        <v>2</v>
      </c>
      <c r="C724" s="32" t="s">
        <v>308</v>
      </c>
      <c r="D724" s="169" t="s">
        <v>309</v>
      </c>
      <c r="E724" s="169" t="s">
        <v>276</v>
      </c>
      <c r="F724" s="32" t="s">
        <v>2865</v>
      </c>
      <c r="G724" s="32">
        <v>37</v>
      </c>
      <c r="H724" s="32" t="s">
        <v>175</v>
      </c>
      <c r="I724" s="32">
        <v>4452</v>
      </c>
      <c r="J724" s="36">
        <v>609.48</v>
      </c>
      <c r="K724" s="32" t="s">
        <v>4479</v>
      </c>
      <c r="L724" s="169" t="s">
        <v>119</v>
      </c>
      <c r="M724" s="32" t="s">
        <v>15</v>
      </c>
    </row>
    <row r="725" spans="1:13" x14ac:dyDescent="0.25">
      <c r="A725" s="168">
        <v>46176</v>
      </c>
      <c r="B725" s="32">
        <v>2</v>
      </c>
      <c r="C725" s="32" t="s">
        <v>308</v>
      </c>
      <c r="D725" s="169" t="s">
        <v>309</v>
      </c>
      <c r="E725" s="169" t="s">
        <v>276</v>
      </c>
      <c r="F725" s="32" t="s">
        <v>2865</v>
      </c>
      <c r="G725" s="32">
        <v>37</v>
      </c>
      <c r="H725" s="32" t="s">
        <v>165</v>
      </c>
      <c r="I725" s="32">
        <v>5728</v>
      </c>
      <c r="J725" s="36">
        <v>784.16</v>
      </c>
      <c r="K725" s="32" t="s">
        <v>4480</v>
      </c>
      <c r="L725" s="169" t="s">
        <v>118</v>
      </c>
      <c r="M725" s="32" t="s">
        <v>15</v>
      </c>
    </row>
    <row r="726" spans="1:13" x14ac:dyDescent="0.25">
      <c r="A726" s="168">
        <v>46176</v>
      </c>
      <c r="B726" s="32">
        <v>2</v>
      </c>
      <c r="C726" s="32" t="s">
        <v>308</v>
      </c>
      <c r="D726" s="169" t="s">
        <v>309</v>
      </c>
      <c r="E726" s="169" t="s">
        <v>276</v>
      </c>
      <c r="F726" s="32" t="s">
        <v>4481</v>
      </c>
      <c r="G726" s="32">
        <v>49</v>
      </c>
      <c r="H726" s="32" t="s">
        <v>165</v>
      </c>
      <c r="I726" s="32">
        <v>6972</v>
      </c>
      <c r="J726" s="36">
        <v>1264.02</v>
      </c>
      <c r="K726" s="32" t="s">
        <v>4482</v>
      </c>
      <c r="L726" s="169" t="s">
        <v>4483</v>
      </c>
      <c r="M726" s="32" t="s">
        <v>15</v>
      </c>
    </row>
    <row r="727" spans="1:13" x14ac:dyDescent="0.25">
      <c r="A727" s="168">
        <v>46176</v>
      </c>
      <c r="B727" s="32">
        <v>2</v>
      </c>
      <c r="C727" s="32" t="s">
        <v>308</v>
      </c>
      <c r="D727" s="169" t="s">
        <v>309</v>
      </c>
      <c r="E727" s="169" t="s">
        <v>276</v>
      </c>
      <c r="F727" s="32" t="s">
        <v>2865</v>
      </c>
      <c r="G727" s="32">
        <v>37</v>
      </c>
      <c r="H727" s="32" t="s">
        <v>165</v>
      </c>
      <c r="I727" s="32">
        <v>622</v>
      </c>
      <c r="J727" s="36">
        <v>851.52</v>
      </c>
      <c r="K727" s="32" t="s">
        <v>4484</v>
      </c>
      <c r="L727" s="169" t="s">
        <v>118</v>
      </c>
      <c r="M727" s="32" t="s">
        <v>15</v>
      </c>
    </row>
    <row r="728" spans="1:13" x14ac:dyDescent="0.25">
      <c r="A728" s="168">
        <v>46176</v>
      </c>
      <c r="B728" s="32">
        <v>2</v>
      </c>
      <c r="C728" s="32" t="s">
        <v>305</v>
      </c>
      <c r="D728" s="169" t="s">
        <v>306</v>
      </c>
      <c r="E728" s="169" t="s">
        <v>276</v>
      </c>
      <c r="F728" s="32" t="s">
        <v>2033</v>
      </c>
      <c r="G728" s="32">
        <v>323</v>
      </c>
      <c r="H728" s="32" t="s">
        <v>207</v>
      </c>
      <c r="I728" s="32">
        <v>670</v>
      </c>
      <c r="J728" s="36">
        <v>6925.12</v>
      </c>
      <c r="K728" s="32" t="s">
        <v>4485</v>
      </c>
      <c r="L728" s="169" t="s">
        <v>3766</v>
      </c>
      <c r="M728" s="32" t="s">
        <v>15</v>
      </c>
    </row>
    <row r="729" spans="1:13" x14ac:dyDescent="0.25">
      <c r="A729" s="168">
        <v>46176</v>
      </c>
      <c r="B729" s="32">
        <v>2</v>
      </c>
      <c r="C729" s="32" t="s">
        <v>302</v>
      </c>
      <c r="D729" s="169" t="s">
        <v>303</v>
      </c>
      <c r="E729" s="169" t="s">
        <v>2748</v>
      </c>
      <c r="F729" s="32" t="s">
        <v>2749</v>
      </c>
      <c r="G729" s="32">
        <v>168</v>
      </c>
      <c r="H729" s="32" t="s">
        <v>165</v>
      </c>
      <c r="I729" s="32">
        <v>6031</v>
      </c>
      <c r="J729" s="36">
        <v>3242.27</v>
      </c>
      <c r="K729" s="32" t="s">
        <v>4486</v>
      </c>
      <c r="L729" s="169" t="s">
        <v>4472</v>
      </c>
      <c r="M729" s="32" t="s">
        <v>4473</v>
      </c>
    </row>
    <row r="730" spans="1:13" x14ac:dyDescent="0.25">
      <c r="A730" s="168">
        <v>46178</v>
      </c>
      <c r="B730" s="32">
        <v>2</v>
      </c>
      <c r="C730" s="32" t="s">
        <v>302</v>
      </c>
      <c r="D730" s="169" t="s">
        <v>303</v>
      </c>
      <c r="E730" s="169" t="s">
        <v>2748</v>
      </c>
      <c r="F730" s="32" t="s">
        <v>2749</v>
      </c>
      <c r="G730" s="32">
        <v>168</v>
      </c>
      <c r="H730" s="32" t="s">
        <v>165</v>
      </c>
      <c r="I730" s="32">
        <v>6055</v>
      </c>
      <c r="J730" s="36">
        <v>3255.17</v>
      </c>
      <c r="K730" s="32" t="s">
        <v>4487</v>
      </c>
      <c r="L730" s="169" t="s">
        <v>4472</v>
      </c>
      <c r="M730" s="32" t="s">
        <v>4473</v>
      </c>
    </row>
    <row r="731" spans="1:13" x14ac:dyDescent="0.25">
      <c r="A731" s="168">
        <v>46178</v>
      </c>
      <c r="B731" s="32">
        <v>2</v>
      </c>
      <c r="C731" s="32" t="s">
        <v>302</v>
      </c>
      <c r="D731" s="169" t="s">
        <v>303</v>
      </c>
      <c r="E731" s="169" t="s">
        <v>3701</v>
      </c>
      <c r="F731" s="32" t="s">
        <v>1066</v>
      </c>
      <c r="G731" s="32">
        <v>47</v>
      </c>
      <c r="H731" s="32" t="s">
        <v>165</v>
      </c>
      <c r="I731" s="32">
        <v>5514</v>
      </c>
      <c r="J731" s="36">
        <v>958.88</v>
      </c>
      <c r="K731" s="32" t="s">
        <v>4488</v>
      </c>
      <c r="L731" s="169" t="s">
        <v>112</v>
      </c>
      <c r="M731" s="32" t="s">
        <v>1066</v>
      </c>
    </row>
    <row r="732" spans="1:13" x14ac:dyDescent="0.25">
      <c r="A732" s="168">
        <v>46181</v>
      </c>
      <c r="B732" s="32">
        <v>2</v>
      </c>
      <c r="C732" s="32" t="s">
        <v>310</v>
      </c>
      <c r="D732" s="169" t="s">
        <v>311</v>
      </c>
      <c r="E732" s="169" t="s">
        <v>276</v>
      </c>
      <c r="F732" s="32" t="s">
        <v>2865</v>
      </c>
      <c r="G732" s="32">
        <v>37</v>
      </c>
      <c r="H732" s="32" t="s">
        <v>175</v>
      </c>
      <c r="I732" s="32">
        <v>421</v>
      </c>
      <c r="J732" s="36">
        <v>576.35</v>
      </c>
      <c r="K732" s="32" t="s">
        <v>4489</v>
      </c>
      <c r="L732" s="169" t="s">
        <v>119</v>
      </c>
      <c r="M732" s="32" t="s">
        <v>15</v>
      </c>
    </row>
    <row r="733" spans="1:13" x14ac:dyDescent="0.25">
      <c r="A733" s="168">
        <v>46181</v>
      </c>
      <c r="B733" s="32">
        <v>2</v>
      </c>
      <c r="C733" s="32" t="s">
        <v>310</v>
      </c>
      <c r="D733" s="169" t="s">
        <v>311</v>
      </c>
      <c r="E733" s="169" t="s">
        <v>276</v>
      </c>
      <c r="F733" s="32" t="s">
        <v>2865</v>
      </c>
      <c r="G733" s="32">
        <v>37</v>
      </c>
      <c r="H733" s="32" t="s">
        <v>165</v>
      </c>
      <c r="I733" s="32">
        <v>4862</v>
      </c>
      <c r="J733" s="36">
        <v>665.61</v>
      </c>
      <c r="K733" s="32" t="s">
        <v>4490</v>
      </c>
      <c r="L733" s="169" t="s">
        <v>118</v>
      </c>
      <c r="M733" s="32" t="s">
        <v>15</v>
      </c>
    </row>
    <row r="734" spans="1:13" x14ac:dyDescent="0.25">
      <c r="A734" s="168">
        <v>46181</v>
      </c>
      <c r="B734" s="32">
        <v>2</v>
      </c>
      <c r="C734" s="32" t="s">
        <v>310</v>
      </c>
      <c r="D734" s="169" t="s">
        <v>311</v>
      </c>
      <c r="E734" s="169" t="s">
        <v>276</v>
      </c>
      <c r="F734" s="32" t="s">
        <v>2865</v>
      </c>
      <c r="G734" s="32">
        <v>37</v>
      </c>
      <c r="H734" s="32" t="s">
        <v>165</v>
      </c>
      <c r="I734" s="32">
        <v>4048</v>
      </c>
      <c r="J734" s="36">
        <v>554.16999999999996</v>
      </c>
      <c r="K734" s="32" t="s">
        <v>4491</v>
      </c>
      <c r="L734" s="169" t="s">
        <v>118</v>
      </c>
      <c r="M734" s="32" t="s">
        <v>15</v>
      </c>
    </row>
    <row r="735" spans="1:13" x14ac:dyDescent="0.25">
      <c r="A735" s="168">
        <v>46181</v>
      </c>
      <c r="B735" s="32">
        <v>2</v>
      </c>
      <c r="C735" s="32" t="s">
        <v>300</v>
      </c>
      <c r="D735" s="169" t="s">
        <v>301</v>
      </c>
      <c r="E735" s="169" t="s">
        <v>276</v>
      </c>
      <c r="F735" s="32" t="s">
        <v>2033</v>
      </c>
      <c r="G735" s="32">
        <v>323</v>
      </c>
      <c r="H735" s="32" t="s">
        <v>207</v>
      </c>
      <c r="I735" s="32">
        <v>7514</v>
      </c>
      <c r="J735" s="36">
        <v>7766.47</v>
      </c>
      <c r="K735" s="32" t="s">
        <v>4492</v>
      </c>
      <c r="L735" s="169" t="s">
        <v>3766</v>
      </c>
      <c r="M735" s="32" t="s">
        <v>15</v>
      </c>
    </row>
    <row r="736" spans="1:13" x14ac:dyDescent="0.25">
      <c r="A736" s="168">
        <v>46181</v>
      </c>
      <c r="B736" s="32">
        <v>2</v>
      </c>
      <c r="C736" s="32" t="s">
        <v>302</v>
      </c>
      <c r="D736" s="169" t="s">
        <v>303</v>
      </c>
      <c r="E736" s="169" t="s">
        <v>996</v>
      </c>
      <c r="F736" s="32" t="s">
        <v>997</v>
      </c>
      <c r="G736" s="32">
        <v>292</v>
      </c>
      <c r="H736" s="32" t="s">
        <v>7</v>
      </c>
      <c r="I736" s="32">
        <v>6058</v>
      </c>
      <c r="J736" s="36">
        <v>6545.06</v>
      </c>
      <c r="K736" s="32" t="s">
        <v>4493</v>
      </c>
      <c r="L736" s="169" t="s">
        <v>4494</v>
      </c>
      <c r="M736" s="32" t="s">
        <v>997</v>
      </c>
    </row>
    <row r="737" spans="1:13" x14ac:dyDescent="0.25">
      <c r="A737" s="168">
        <v>46182</v>
      </c>
      <c r="B737" s="32">
        <v>2</v>
      </c>
      <c r="C737" s="32" t="s">
        <v>305</v>
      </c>
      <c r="D737" s="169" t="s">
        <v>306</v>
      </c>
      <c r="E737" s="169" t="s">
        <v>2757</v>
      </c>
      <c r="F737" s="32" t="s">
        <v>2867</v>
      </c>
      <c r="G737" s="32">
        <v>383</v>
      </c>
      <c r="H737" s="32" t="s">
        <v>221</v>
      </c>
      <c r="I737" s="32">
        <v>479</v>
      </c>
      <c r="J737" s="36">
        <v>5870.62</v>
      </c>
      <c r="K737" s="32" t="s">
        <v>4495</v>
      </c>
      <c r="L737" s="169" t="s">
        <v>3752</v>
      </c>
      <c r="M737" s="32" t="s">
        <v>15</v>
      </c>
    </row>
    <row r="738" spans="1:13" x14ac:dyDescent="0.25">
      <c r="A738" s="168">
        <v>46182</v>
      </c>
      <c r="B738" s="32">
        <v>2</v>
      </c>
      <c r="C738" s="32" t="s">
        <v>308</v>
      </c>
      <c r="D738" s="169" t="s">
        <v>309</v>
      </c>
      <c r="E738" s="169" t="s">
        <v>2757</v>
      </c>
      <c r="F738" s="32" t="s">
        <v>2867</v>
      </c>
      <c r="G738" s="32">
        <v>383</v>
      </c>
      <c r="H738" s="32" t="s">
        <v>221</v>
      </c>
      <c r="I738" s="32">
        <v>5614</v>
      </c>
      <c r="J738" s="36">
        <v>6880.52</v>
      </c>
      <c r="K738" s="32" t="s">
        <v>4496</v>
      </c>
      <c r="L738" s="169" t="s">
        <v>3752</v>
      </c>
      <c r="M738" s="32" t="s">
        <v>15</v>
      </c>
    </row>
    <row r="739" spans="1:13" x14ac:dyDescent="0.25">
      <c r="A739" s="168">
        <v>46182</v>
      </c>
      <c r="B739" s="32">
        <v>2</v>
      </c>
      <c r="C739" s="32" t="s">
        <v>298</v>
      </c>
      <c r="D739" s="169" t="s">
        <v>299</v>
      </c>
      <c r="E739" s="169" t="s">
        <v>276</v>
      </c>
      <c r="F739" s="32" t="s">
        <v>1415</v>
      </c>
      <c r="G739" s="32">
        <v>150</v>
      </c>
      <c r="H739" s="32" t="s">
        <v>207</v>
      </c>
      <c r="I739" s="32">
        <v>5986</v>
      </c>
      <c r="J739" s="36">
        <v>2873.28</v>
      </c>
      <c r="K739" s="32" t="s">
        <v>4497</v>
      </c>
      <c r="L739" s="169" t="s">
        <v>40</v>
      </c>
      <c r="M739" s="32" t="s">
        <v>15</v>
      </c>
    </row>
    <row r="740" spans="1:13" x14ac:dyDescent="0.25">
      <c r="A740" s="168">
        <v>46182</v>
      </c>
      <c r="B740" s="32">
        <v>2</v>
      </c>
      <c r="C740" s="32" t="s">
        <v>310</v>
      </c>
      <c r="D740" s="169" t="s">
        <v>311</v>
      </c>
      <c r="E740" s="169" t="s">
        <v>276</v>
      </c>
      <c r="F740" s="32" t="s">
        <v>277</v>
      </c>
      <c r="G740" s="32">
        <v>118</v>
      </c>
      <c r="H740" s="32" t="s">
        <v>165</v>
      </c>
      <c r="I740" s="32">
        <v>3736</v>
      </c>
      <c r="J740" s="36">
        <v>1410.71</v>
      </c>
      <c r="K740" s="32" t="s">
        <v>4498</v>
      </c>
      <c r="L740" s="169" t="s">
        <v>24</v>
      </c>
      <c r="M740" s="32" t="s">
        <v>15</v>
      </c>
    </row>
    <row r="741" spans="1:13" x14ac:dyDescent="0.25">
      <c r="A741" s="168">
        <v>46182</v>
      </c>
      <c r="B741" s="32">
        <v>2</v>
      </c>
      <c r="C741" s="32" t="s">
        <v>302</v>
      </c>
      <c r="D741" s="169" t="s">
        <v>303</v>
      </c>
      <c r="E741" s="169" t="s">
        <v>996</v>
      </c>
      <c r="F741" s="32" t="s">
        <v>997</v>
      </c>
      <c r="G741" s="32">
        <v>292</v>
      </c>
      <c r="H741" s="32" t="s">
        <v>7</v>
      </c>
      <c r="I741" s="32">
        <v>605</v>
      </c>
      <c r="J741" s="36">
        <v>6536.42</v>
      </c>
      <c r="K741" s="32" t="s">
        <v>4499</v>
      </c>
      <c r="L741" s="169" t="s">
        <v>4494</v>
      </c>
      <c r="M741" s="32" t="s">
        <v>997</v>
      </c>
    </row>
    <row r="742" spans="1:13" x14ac:dyDescent="0.25">
      <c r="A742" s="168">
        <v>46182</v>
      </c>
      <c r="B742" s="32">
        <v>2</v>
      </c>
      <c r="C742" s="32" t="s">
        <v>308</v>
      </c>
      <c r="D742" s="169" t="s">
        <v>309</v>
      </c>
      <c r="E742" s="169" t="s">
        <v>276</v>
      </c>
      <c r="F742" s="32" t="s">
        <v>2865</v>
      </c>
      <c r="G742" s="32">
        <v>37</v>
      </c>
      <c r="H742" s="32" t="s">
        <v>175</v>
      </c>
      <c r="I742" s="32">
        <v>6298</v>
      </c>
      <c r="J742" s="36">
        <v>862.2</v>
      </c>
      <c r="K742" s="32" t="s">
        <v>4500</v>
      </c>
      <c r="L742" s="169" t="s">
        <v>119</v>
      </c>
      <c r="M742" s="32" t="s">
        <v>15</v>
      </c>
    </row>
    <row r="743" spans="1:13" x14ac:dyDescent="0.25">
      <c r="A743" s="168">
        <v>46183</v>
      </c>
      <c r="B743" s="32">
        <v>2</v>
      </c>
      <c r="C743" s="32" t="s">
        <v>300</v>
      </c>
      <c r="D743" s="169" t="s">
        <v>301</v>
      </c>
      <c r="E743" s="169" t="s">
        <v>291</v>
      </c>
      <c r="F743" s="32" t="s">
        <v>747</v>
      </c>
      <c r="G743" s="32">
        <v>145</v>
      </c>
      <c r="H743" s="32" t="s">
        <v>195</v>
      </c>
      <c r="I743" s="32">
        <v>6462</v>
      </c>
      <c r="J743" s="36">
        <v>3466.86</v>
      </c>
      <c r="K743" s="32" t="s">
        <v>4501</v>
      </c>
      <c r="L743" s="169" t="s">
        <v>4502</v>
      </c>
      <c r="M743" s="32" t="s">
        <v>15</v>
      </c>
    </row>
    <row r="744" spans="1:13" x14ac:dyDescent="0.25">
      <c r="A744" s="168">
        <v>46183</v>
      </c>
      <c r="B744" s="32">
        <v>2</v>
      </c>
      <c r="C744" s="32" t="s">
        <v>302</v>
      </c>
      <c r="D744" s="169" t="s">
        <v>303</v>
      </c>
      <c r="E744" s="169" t="s">
        <v>996</v>
      </c>
      <c r="F744" s="32" t="s">
        <v>997</v>
      </c>
      <c r="G744" s="32">
        <v>292</v>
      </c>
      <c r="H744" s="32" t="s">
        <v>7</v>
      </c>
      <c r="I744" s="32">
        <v>6053</v>
      </c>
      <c r="J744" s="36">
        <v>6539.66</v>
      </c>
      <c r="K744" s="32" t="s">
        <v>4503</v>
      </c>
      <c r="L744" s="169" t="s">
        <v>4494</v>
      </c>
      <c r="M744" s="32" t="s">
        <v>997</v>
      </c>
    </row>
    <row r="745" spans="1:13" x14ac:dyDescent="0.25">
      <c r="A745" s="168">
        <v>46183</v>
      </c>
      <c r="B745" s="32">
        <v>2</v>
      </c>
      <c r="C745" s="32" t="s">
        <v>305</v>
      </c>
      <c r="D745" s="169" t="s">
        <v>306</v>
      </c>
      <c r="E745" s="169" t="s">
        <v>276</v>
      </c>
      <c r="F745" s="32" t="s">
        <v>2033</v>
      </c>
      <c r="G745" s="32">
        <v>323</v>
      </c>
      <c r="H745" s="32" t="s">
        <v>207</v>
      </c>
      <c r="I745" s="32">
        <v>7456</v>
      </c>
      <c r="J745" s="36">
        <v>7706.52</v>
      </c>
      <c r="K745" s="32" t="s">
        <v>4504</v>
      </c>
      <c r="L745" s="169" t="s">
        <v>3766</v>
      </c>
      <c r="M745" s="32" t="s">
        <v>15</v>
      </c>
    </row>
    <row r="746" spans="1:13" x14ac:dyDescent="0.25">
      <c r="A746" s="168">
        <v>46183</v>
      </c>
      <c r="B746" s="32">
        <v>2</v>
      </c>
      <c r="C746" s="32" t="s">
        <v>298</v>
      </c>
      <c r="D746" s="169" t="s">
        <v>299</v>
      </c>
      <c r="E746" s="169" t="s">
        <v>276</v>
      </c>
      <c r="F746" s="32" t="s">
        <v>2033</v>
      </c>
      <c r="G746" s="32">
        <v>323</v>
      </c>
      <c r="H746" s="32" t="s">
        <v>207</v>
      </c>
      <c r="I746" s="32">
        <v>7024</v>
      </c>
      <c r="J746" s="36">
        <v>7260.01</v>
      </c>
      <c r="K746" s="32" t="s">
        <v>4505</v>
      </c>
      <c r="L746" s="169" t="s">
        <v>3766</v>
      </c>
      <c r="M746" s="32" t="s">
        <v>15</v>
      </c>
    </row>
    <row r="747" spans="1:13" x14ac:dyDescent="0.25">
      <c r="A747" s="168">
        <v>46183</v>
      </c>
      <c r="B747" s="32">
        <v>2</v>
      </c>
      <c r="C747" s="32" t="s">
        <v>310</v>
      </c>
      <c r="D747" s="169" t="s">
        <v>311</v>
      </c>
      <c r="E747" s="169" t="s">
        <v>276</v>
      </c>
      <c r="F747" s="32" t="s">
        <v>2865</v>
      </c>
      <c r="G747" s="32">
        <v>37</v>
      </c>
      <c r="H747" s="32" t="s">
        <v>175</v>
      </c>
      <c r="I747" s="32">
        <v>3848</v>
      </c>
      <c r="J747" s="36">
        <v>526.79</v>
      </c>
      <c r="K747" s="32" t="s">
        <v>4506</v>
      </c>
      <c r="L747" s="169" t="s">
        <v>119</v>
      </c>
      <c r="M747" s="32" t="s">
        <v>15</v>
      </c>
    </row>
    <row r="748" spans="1:13" x14ac:dyDescent="0.25">
      <c r="A748" s="168">
        <v>46183</v>
      </c>
      <c r="B748" s="32">
        <v>2</v>
      </c>
      <c r="C748" s="32" t="s">
        <v>310</v>
      </c>
      <c r="D748" s="169" t="s">
        <v>311</v>
      </c>
      <c r="E748" s="169" t="s">
        <v>276</v>
      </c>
      <c r="F748" s="32" t="s">
        <v>2865</v>
      </c>
      <c r="G748" s="32">
        <v>37</v>
      </c>
      <c r="H748" s="32" t="s">
        <v>175</v>
      </c>
      <c r="I748" s="32">
        <v>4478</v>
      </c>
      <c r="J748" s="36">
        <v>613.04</v>
      </c>
      <c r="K748" s="32" t="s">
        <v>4507</v>
      </c>
      <c r="L748" s="169" t="s">
        <v>119</v>
      </c>
      <c r="M748" s="32" t="s">
        <v>15</v>
      </c>
    </row>
    <row r="749" spans="1:13" x14ac:dyDescent="0.25">
      <c r="A749" s="168">
        <v>46183</v>
      </c>
      <c r="B749" s="32">
        <v>2</v>
      </c>
      <c r="C749" s="32" t="s">
        <v>310</v>
      </c>
      <c r="D749" s="169" t="s">
        <v>311</v>
      </c>
      <c r="E749" s="169" t="s">
        <v>276</v>
      </c>
      <c r="F749" s="32" t="s">
        <v>2865</v>
      </c>
      <c r="G749" s="32">
        <v>37</v>
      </c>
      <c r="H749" s="32" t="s">
        <v>175</v>
      </c>
      <c r="I749" s="32">
        <v>384</v>
      </c>
      <c r="J749" s="36">
        <v>525.70000000000005</v>
      </c>
      <c r="K749" s="32" t="s">
        <v>4508</v>
      </c>
      <c r="L749" s="169" t="s">
        <v>119</v>
      </c>
      <c r="M749" s="32" t="s">
        <v>15</v>
      </c>
    </row>
    <row r="750" spans="1:13" x14ac:dyDescent="0.25">
      <c r="A750" s="168">
        <v>46184</v>
      </c>
      <c r="B750" s="32">
        <v>2</v>
      </c>
      <c r="C750" s="32" t="s">
        <v>300</v>
      </c>
      <c r="D750" s="169" t="s">
        <v>301</v>
      </c>
      <c r="E750" s="169" t="s">
        <v>276</v>
      </c>
      <c r="F750" s="32" t="s">
        <v>307</v>
      </c>
      <c r="G750" s="32">
        <v>175</v>
      </c>
      <c r="H750" s="32" t="s">
        <v>175</v>
      </c>
      <c r="I750" s="32">
        <v>685</v>
      </c>
      <c r="J750" s="36">
        <v>3836</v>
      </c>
      <c r="K750" s="32" t="s">
        <v>4509</v>
      </c>
      <c r="L750" s="169" t="s">
        <v>4510</v>
      </c>
      <c r="M750" s="32" t="s">
        <v>307</v>
      </c>
    </row>
    <row r="751" spans="1:13" x14ac:dyDescent="0.25">
      <c r="A751" s="168">
        <v>46184</v>
      </c>
      <c r="B751" s="32">
        <v>2</v>
      </c>
      <c r="C751" s="32" t="s">
        <v>308</v>
      </c>
      <c r="D751" s="169" t="s">
        <v>309</v>
      </c>
      <c r="E751" s="169" t="s">
        <v>276</v>
      </c>
      <c r="F751" s="32" t="s">
        <v>2033</v>
      </c>
      <c r="G751" s="32">
        <v>323</v>
      </c>
      <c r="H751" s="32" t="s">
        <v>207</v>
      </c>
      <c r="I751" s="32">
        <v>6672</v>
      </c>
      <c r="J751" s="36">
        <v>6896.18</v>
      </c>
      <c r="K751" s="32" t="s">
        <v>4511</v>
      </c>
      <c r="L751" s="169" t="s">
        <v>3766</v>
      </c>
      <c r="M751" s="32" t="s">
        <v>15</v>
      </c>
    </row>
    <row r="752" spans="1:13" x14ac:dyDescent="0.25">
      <c r="A752" s="168">
        <v>46184</v>
      </c>
      <c r="B752" s="32">
        <v>2</v>
      </c>
      <c r="C752" s="32" t="s">
        <v>302</v>
      </c>
      <c r="D752" s="169" t="s">
        <v>303</v>
      </c>
      <c r="E752" s="169" t="s">
        <v>304</v>
      </c>
      <c r="F752" s="32" t="s">
        <v>278</v>
      </c>
      <c r="G752" s="32">
        <v>88</v>
      </c>
      <c r="H752" s="32" t="s">
        <v>7</v>
      </c>
      <c r="I752" s="32">
        <v>601</v>
      </c>
      <c r="J752" s="36">
        <v>1956.86</v>
      </c>
      <c r="K752" s="32" t="s">
        <v>4488</v>
      </c>
      <c r="L752" s="169" t="s">
        <v>4512</v>
      </c>
      <c r="M752" s="32" t="s">
        <v>1066</v>
      </c>
    </row>
    <row r="753" spans="1:13" x14ac:dyDescent="0.25">
      <c r="A753" s="168">
        <v>46184</v>
      </c>
      <c r="B753" s="32">
        <v>2</v>
      </c>
      <c r="C753" s="32" t="s">
        <v>310</v>
      </c>
      <c r="D753" s="169" t="s">
        <v>311</v>
      </c>
      <c r="E753" s="169" t="s">
        <v>276</v>
      </c>
      <c r="F753" s="32" t="s">
        <v>1415</v>
      </c>
      <c r="G753" s="32">
        <v>150</v>
      </c>
      <c r="H753" s="32" t="s">
        <v>207</v>
      </c>
      <c r="I753" s="32">
        <v>3952</v>
      </c>
      <c r="J753" s="36">
        <v>1896.96</v>
      </c>
      <c r="K753" s="32" t="s">
        <v>4513</v>
      </c>
      <c r="L753" s="169" t="s">
        <v>40</v>
      </c>
      <c r="M753" s="32" t="s">
        <v>15</v>
      </c>
    </row>
    <row r="754" spans="1:13" x14ac:dyDescent="0.25">
      <c r="A754" s="168">
        <v>46185</v>
      </c>
      <c r="B754" s="32">
        <v>2</v>
      </c>
      <c r="C754" s="32" t="s">
        <v>305</v>
      </c>
      <c r="D754" s="169" t="s">
        <v>306</v>
      </c>
      <c r="E754" s="169" t="s">
        <v>276</v>
      </c>
      <c r="F754" s="32" t="s">
        <v>919</v>
      </c>
      <c r="G754" s="32">
        <v>358</v>
      </c>
      <c r="H754" s="32" t="s">
        <v>221</v>
      </c>
      <c r="I754" s="32">
        <v>7308</v>
      </c>
      <c r="J754" s="36">
        <v>8372.0400000000009</v>
      </c>
      <c r="K754" s="32" t="s">
        <v>4514</v>
      </c>
      <c r="L754" s="169" t="s">
        <v>4118</v>
      </c>
      <c r="M754" s="32" t="s">
        <v>15</v>
      </c>
    </row>
    <row r="755" spans="1:13" x14ac:dyDescent="0.25">
      <c r="A755" s="168">
        <v>46185</v>
      </c>
      <c r="B755" s="32">
        <v>2</v>
      </c>
      <c r="C755" s="32" t="s">
        <v>300</v>
      </c>
      <c r="D755" s="169" t="s">
        <v>301</v>
      </c>
      <c r="E755" s="169" t="s">
        <v>276</v>
      </c>
      <c r="F755" s="32" t="s">
        <v>307</v>
      </c>
      <c r="G755" s="32">
        <v>175</v>
      </c>
      <c r="H755" s="32" t="s">
        <v>175</v>
      </c>
      <c r="I755" s="32">
        <v>6688</v>
      </c>
      <c r="J755" s="36">
        <v>3745.28</v>
      </c>
      <c r="K755" s="32" t="s">
        <v>4515</v>
      </c>
      <c r="L755" s="169" t="s">
        <v>4510</v>
      </c>
      <c r="M755" s="32" t="s">
        <v>307</v>
      </c>
    </row>
    <row r="756" spans="1:13" x14ac:dyDescent="0.25">
      <c r="A756" s="168">
        <v>46185</v>
      </c>
      <c r="B756" s="32">
        <v>2</v>
      </c>
      <c r="C756" s="32" t="s">
        <v>298</v>
      </c>
      <c r="D756" s="169" t="s">
        <v>299</v>
      </c>
      <c r="E756" s="169" t="s">
        <v>276</v>
      </c>
      <c r="F756" s="32" t="s">
        <v>2033</v>
      </c>
      <c r="G756" s="32">
        <v>323</v>
      </c>
      <c r="H756" s="32" t="s">
        <v>207</v>
      </c>
      <c r="I756" s="32">
        <v>6948</v>
      </c>
      <c r="J756" s="36">
        <v>7181.45</v>
      </c>
      <c r="K756" s="32" t="s">
        <v>4516</v>
      </c>
      <c r="L756" s="169" t="s">
        <v>3766</v>
      </c>
      <c r="M756" s="32" t="s">
        <v>15</v>
      </c>
    </row>
    <row r="757" spans="1:13" x14ac:dyDescent="0.25">
      <c r="A757" s="168">
        <v>46185</v>
      </c>
      <c r="B757" s="32">
        <v>2</v>
      </c>
      <c r="C757" s="32" t="s">
        <v>300</v>
      </c>
      <c r="D757" s="169" t="s">
        <v>301</v>
      </c>
      <c r="E757" s="169" t="s">
        <v>276</v>
      </c>
      <c r="F757" s="32" t="s">
        <v>2865</v>
      </c>
      <c r="G757" s="32">
        <v>37</v>
      </c>
      <c r="H757" s="32" t="s">
        <v>175</v>
      </c>
      <c r="I757" s="32">
        <v>7338</v>
      </c>
      <c r="J757" s="36">
        <v>1004.57</v>
      </c>
      <c r="K757" s="32" t="s">
        <v>4517</v>
      </c>
      <c r="L757" s="169" t="s">
        <v>119</v>
      </c>
      <c r="M757" s="32" t="s">
        <v>15</v>
      </c>
    </row>
    <row r="758" spans="1:13" x14ac:dyDescent="0.25">
      <c r="A758" s="168">
        <v>46185</v>
      </c>
      <c r="B758" s="32">
        <v>2</v>
      </c>
      <c r="C758" s="32" t="s">
        <v>310</v>
      </c>
      <c r="D758" s="169" t="s">
        <v>311</v>
      </c>
      <c r="E758" s="169" t="s">
        <v>276</v>
      </c>
      <c r="F758" s="32" t="s">
        <v>277</v>
      </c>
      <c r="G758" s="32">
        <v>118</v>
      </c>
      <c r="H758" s="32" t="s">
        <v>165</v>
      </c>
      <c r="I758" s="32">
        <v>4034</v>
      </c>
      <c r="J758" s="36">
        <v>1523.24</v>
      </c>
      <c r="K758" s="32" t="s">
        <v>4518</v>
      </c>
      <c r="L758" s="169" t="s">
        <v>24</v>
      </c>
      <c r="M758" s="32" t="s">
        <v>15</v>
      </c>
    </row>
    <row r="759" spans="1:13" x14ac:dyDescent="0.25">
      <c r="A759" s="168">
        <v>46186</v>
      </c>
      <c r="B759" s="32">
        <v>2</v>
      </c>
      <c r="C759" s="32" t="s">
        <v>308</v>
      </c>
      <c r="D759" s="169" t="s">
        <v>309</v>
      </c>
      <c r="E759" s="169" t="s">
        <v>276</v>
      </c>
      <c r="F759" s="32" t="s">
        <v>2033</v>
      </c>
      <c r="G759" s="32">
        <v>323</v>
      </c>
      <c r="H759" s="32" t="s">
        <v>221</v>
      </c>
      <c r="I759" s="32">
        <v>675</v>
      </c>
      <c r="J759" s="36">
        <v>6976.8</v>
      </c>
      <c r="K759" s="32" t="s">
        <v>4519</v>
      </c>
      <c r="L759" s="169" t="s">
        <v>4520</v>
      </c>
      <c r="M759" s="32" t="s">
        <v>15</v>
      </c>
    </row>
    <row r="760" spans="1:13" x14ac:dyDescent="0.25">
      <c r="A760" s="168">
        <v>46186</v>
      </c>
      <c r="B760" s="32">
        <v>2</v>
      </c>
      <c r="C760" s="32" t="s">
        <v>302</v>
      </c>
      <c r="D760" s="169" t="s">
        <v>303</v>
      </c>
      <c r="E760" s="169" t="s">
        <v>996</v>
      </c>
      <c r="F760" s="32" t="s">
        <v>997</v>
      </c>
      <c r="G760" s="32">
        <v>292</v>
      </c>
      <c r="H760" s="32" t="s">
        <v>7</v>
      </c>
      <c r="I760" s="32">
        <v>6001</v>
      </c>
      <c r="J760" s="36">
        <v>6483.48</v>
      </c>
      <c r="K760" s="32" t="s">
        <v>4521</v>
      </c>
      <c r="L760" s="169" t="s">
        <v>4494</v>
      </c>
      <c r="M760" s="32" t="s">
        <v>997</v>
      </c>
    </row>
    <row r="761" spans="1:13" x14ac:dyDescent="0.25">
      <c r="A761" s="168">
        <v>46186</v>
      </c>
      <c r="B761" s="32">
        <v>2</v>
      </c>
      <c r="C761" s="32" t="s">
        <v>310</v>
      </c>
      <c r="D761" s="169" t="s">
        <v>311</v>
      </c>
      <c r="E761" s="169" t="s">
        <v>276</v>
      </c>
      <c r="F761" s="32" t="s">
        <v>1415</v>
      </c>
      <c r="G761" s="32">
        <v>150</v>
      </c>
      <c r="H761" s="32" t="s">
        <v>207</v>
      </c>
      <c r="I761" s="32">
        <v>4378</v>
      </c>
      <c r="J761" s="36">
        <v>2101.44</v>
      </c>
      <c r="K761" s="32" t="s">
        <v>4522</v>
      </c>
      <c r="L761" s="169" t="s">
        <v>40</v>
      </c>
      <c r="M761" s="32" t="s">
        <v>15</v>
      </c>
    </row>
    <row r="762" spans="1:13" x14ac:dyDescent="0.25">
      <c r="A762" s="168">
        <v>46187</v>
      </c>
      <c r="B762" s="32">
        <v>2</v>
      </c>
      <c r="C762" s="32" t="s">
        <v>302</v>
      </c>
      <c r="D762" s="169" t="s">
        <v>303</v>
      </c>
      <c r="E762" s="169" t="s">
        <v>996</v>
      </c>
      <c r="F762" s="32" t="s">
        <v>997</v>
      </c>
      <c r="G762" s="32">
        <v>292</v>
      </c>
      <c r="H762" s="32" t="s">
        <v>7</v>
      </c>
      <c r="I762" s="32">
        <v>6102</v>
      </c>
      <c r="J762" s="36">
        <v>6592.6</v>
      </c>
      <c r="K762" s="32" t="s">
        <v>4523</v>
      </c>
      <c r="L762" s="169" t="s">
        <v>4494</v>
      </c>
      <c r="M762" s="32" t="s">
        <v>997</v>
      </c>
    </row>
    <row r="763" spans="1:13" x14ac:dyDescent="0.25">
      <c r="A763" s="168">
        <v>46188</v>
      </c>
      <c r="B763" s="32">
        <v>2</v>
      </c>
      <c r="C763" s="32" t="s">
        <v>302</v>
      </c>
      <c r="D763" s="169" t="s">
        <v>303</v>
      </c>
      <c r="E763" s="169" t="s">
        <v>304</v>
      </c>
      <c r="F763" s="32" t="s">
        <v>278</v>
      </c>
      <c r="G763" s="32">
        <v>88</v>
      </c>
      <c r="H763" s="32" t="s">
        <v>7</v>
      </c>
      <c r="I763" s="32">
        <v>5925</v>
      </c>
      <c r="J763" s="36">
        <v>1929.18</v>
      </c>
      <c r="K763" s="32" t="s">
        <v>4524</v>
      </c>
      <c r="L763" s="169" t="s">
        <v>4512</v>
      </c>
      <c r="M763" s="32" t="s">
        <v>1066</v>
      </c>
    </row>
    <row r="764" spans="1:13" x14ac:dyDescent="0.25">
      <c r="A764" s="168">
        <v>46188</v>
      </c>
      <c r="B764" s="32">
        <v>2</v>
      </c>
      <c r="C764" s="32" t="s">
        <v>302</v>
      </c>
      <c r="D764" s="169" t="s">
        <v>303</v>
      </c>
      <c r="E764" s="169" t="s">
        <v>304</v>
      </c>
      <c r="F764" s="32" t="s">
        <v>278</v>
      </c>
      <c r="G764" s="32">
        <v>88</v>
      </c>
      <c r="H764" s="32" t="s">
        <v>7</v>
      </c>
      <c r="I764" s="32">
        <v>6025</v>
      </c>
      <c r="J764" s="36">
        <v>1961.74</v>
      </c>
      <c r="K764" s="32" t="s">
        <v>4525</v>
      </c>
      <c r="L764" s="169" t="s">
        <v>4512</v>
      </c>
      <c r="M764" s="32" t="s">
        <v>1066</v>
      </c>
    </row>
    <row r="765" spans="1:13" x14ac:dyDescent="0.25">
      <c r="A765" s="168">
        <v>46188</v>
      </c>
      <c r="B765" s="32">
        <v>2</v>
      </c>
      <c r="C765" s="32" t="s">
        <v>305</v>
      </c>
      <c r="D765" s="169" t="s">
        <v>306</v>
      </c>
      <c r="E765" s="169" t="s">
        <v>276</v>
      </c>
      <c r="F765" s="32" t="s">
        <v>919</v>
      </c>
      <c r="G765" s="32">
        <v>358</v>
      </c>
      <c r="H765" s="32" t="s">
        <v>279</v>
      </c>
      <c r="I765" s="32">
        <v>5864</v>
      </c>
      <c r="J765" s="36">
        <v>6717.8</v>
      </c>
      <c r="K765" s="32" t="s">
        <v>4526</v>
      </c>
      <c r="L765" s="169" t="s">
        <v>4527</v>
      </c>
      <c r="M765" s="32" t="s">
        <v>15</v>
      </c>
    </row>
    <row r="766" spans="1:13" x14ac:dyDescent="0.25">
      <c r="A766" s="168">
        <v>46188</v>
      </c>
      <c r="B766" s="32">
        <v>2</v>
      </c>
      <c r="C766" s="32" t="s">
        <v>298</v>
      </c>
      <c r="D766" s="169" t="s">
        <v>299</v>
      </c>
      <c r="E766" s="169" t="s">
        <v>276</v>
      </c>
      <c r="F766" s="32" t="s">
        <v>919</v>
      </c>
      <c r="G766" s="32">
        <v>358</v>
      </c>
      <c r="H766" s="32" t="s">
        <v>185</v>
      </c>
      <c r="I766" s="32">
        <v>6876</v>
      </c>
      <c r="J766" s="36">
        <v>7877.15</v>
      </c>
      <c r="K766" s="32" t="s">
        <v>4528</v>
      </c>
      <c r="L766" s="169" t="s">
        <v>4077</v>
      </c>
      <c r="M766" s="32" t="s">
        <v>15</v>
      </c>
    </row>
    <row r="767" spans="1:13" x14ac:dyDescent="0.25">
      <c r="A767" s="168">
        <v>46188</v>
      </c>
      <c r="B767" s="32">
        <v>2</v>
      </c>
      <c r="C767" s="32" t="s">
        <v>310</v>
      </c>
      <c r="D767" s="169" t="s">
        <v>311</v>
      </c>
      <c r="E767" s="169" t="s">
        <v>276</v>
      </c>
      <c r="F767" s="32" t="s">
        <v>277</v>
      </c>
      <c r="G767" s="32">
        <v>118</v>
      </c>
      <c r="H767" s="32" t="s">
        <v>165</v>
      </c>
      <c r="I767" s="32">
        <v>4258</v>
      </c>
      <c r="J767" s="36">
        <v>1607.82</v>
      </c>
      <c r="K767" s="32" t="s">
        <v>4529</v>
      </c>
      <c r="L767" s="169" t="s">
        <v>24</v>
      </c>
      <c r="M767" s="32" t="s">
        <v>15</v>
      </c>
    </row>
    <row r="768" spans="1:13" x14ac:dyDescent="0.25">
      <c r="A768" s="168">
        <v>46189</v>
      </c>
      <c r="B768" s="32">
        <v>2</v>
      </c>
      <c r="C768" s="32" t="s">
        <v>308</v>
      </c>
      <c r="D768" s="169" t="s">
        <v>309</v>
      </c>
      <c r="E768" s="169" t="s">
        <v>276</v>
      </c>
      <c r="F768" s="32" t="s">
        <v>919</v>
      </c>
      <c r="G768" s="32">
        <v>358</v>
      </c>
      <c r="H768" s="32" t="s">
        <v>279</v>
      </c>
      <c r="I768" s="32">
        <v>5778</v>
      </c>
      <c r="J768" s="36">
        <v>6619.28</v>
      </c>
      <c r="K768" s="32" t="s">
        <v>4530</v>
      </c>
      <c r="L768" s="169" t="s">
        <v>4527</v>
      </c>
      <c r="M768" s="32" t="s">
        <v>15</v>
      </c>
    </row>
    <row r="769" spans="1:13" x14ac:dyDescent="0.25">
      <c r="A769" s="168">
        <v>46189</v>
      </c>
      <c r="B769" s="32">
        <v>2</v>
      </c>
      <c r="C769" s="32" t="s">
        <v>300</v>
      </c>
      <c r="D769" s="169" t="s">
        <v>301</v>
      </c>
      <c r="E769" s="169" t="s">
        <v>276</v>
      </c>
      <c r="F769" s="32" t="s">
        <v>919</v>
      </c>
      <c r="G769" s="32">
        <v>358</v>
      </c>
      <c r="H769" s="32" t="s">
        <v>185</v>
      </c>
      <c r="I769" s="32">
        <v>6764</v>
      </c>
      <c r="J769" s="36">
        <v>7748.84</v>
      </c>
      <c r="K769" s="32" t="s">
        <v>4531</v>
      </c>
      <c r="L769" s="169" t="s">
        <v>4077</v>
      </c>
      <c r="M769" s="32" t="s">
        <v>15</v>
      </c>
    </row>
    <row r="770" spans="1:13" x14ac:dyDescent="0.25">
      <c r="A770" s="168">
        <v>46189</v>
      </c>
      <c r="B770" s="32">
        <v>2</v>
      </c>
      <c r="C770" s="32" t="s">
        <v>300</v>
      </c>
      <c r="D770" s="169" t="s">
        <v>301</v>
      </c>
      <c r="E770" s="169" t="s">
        <v>276</v>
      </c>
      <c r="F770" s="32" t="s">
        <v>307</v>
      </c>
      <c r="G770" s="32">
        <v>175</v>
      </c>
      <c r="H770" s="32" t="s">
        <v>195</v>
      </c>
      <c r="I770" s="32">
        <v>6784</v>
      </c>
      <c r="J770" s="36">
        <v>3799.04</v>
      </c>
      <c r="K770" s="32" t="s">
        <v>4532</v>
      </c>
      <c r="L770" s="169" t="s">
        <v>4029</v>
      </c>
      <c r="M770" s="32" t="s">
        <v>307</v>
      </c>
    </row>
    <row r="771" spans="1:13" x14ac:dyDescent="0.25">
      <c r="A771" s="168">
        <v>46189</v>
      </c>
      <c r="B771" s="32">
        <v>2</v>
      </c>
      <c r="C771" s="32" t="s">
        <v>310</v>
      </c>
      <c r="D771" s="169" t="s">
        <v>311</v>
      </c>
      <c r="E771" s="169" t="s">
        <v>276</v>
      </c>
      <c r="F771" s="32" t="s">
        <v>1415</v>
      </c>
      <c r="G771" s="32">
        <v>150</v>
      </c>
      <c r="H771" s="32" t="s">
        <v>207</v>
      </c>
      <c r="I771" s="32">
        <v>3958</v>
      </c>
      <c r="J771" s="36">
        <v>1899.84</v>
      </c>
      <c r="K771" s="32" t="s">
        <v>4533</v>
      </c>
      <c r="L771" s="169" t="s">
        <v>40</v>
      </c>
      <c r="M771" s="32" t="s">
        <v>15</v>
      </c>
    </row>
    <row r="772" spans="1:13" x14ac:dyDescent="0.25">
      <c r="A772" s="168">
        <v>46190</v>
      </c>
      <c r="B772" s="32">
        <v>2</v>
      </c>
      <c r="C772" s="32" t="s">
        <v>305</v>
      </c>
      <c r="D772" s="169" t="s">
        <v>306</v>
      </c>
      <c r="E772" s="169" t="s">
        <v>276</v>
      </c>
      <c r="F772" s="32" t="s">
        <v>307</v>
      </c>
      <c r="G772" s="32">
        <v>175</v>
      </c>
      <c r="H772" s="32" t="s">
        <v>195</v>
      </c>
      <c r="I772" s="32">
        <v>6462</v>
      </c>
      <c r="J772" s="36">
        <v>3618.72</v>
      </c>
      <c r="K772" s="32" t="s">
        <v>4534</v>
      </c>
      <c r="L772" s="169" t="s">
        <v>4029</v>
      </c>
      <c r="M772" s="32" t="s">
        <v>307</v>
      </c>
    </row>
    <row r="773" spans="1:13" x14ac:dyDescent="0.25">
      <c r="A773" s="168">
        <v>46190</v>
      </c>
      <c r="B773" s="32">
        <v>2</v>
      </c>
      <c r="C773" s="32" t="s">
        <v>308</v>
      </c>
      <c r="D773" s="169" t="s">
        <v>309</v>
      </c>
      <c r="E773" s="169" t="s">
        <v>276</v>
      </c>
      <c r="F773" s="32" t="s">
        <v>307</v>
      </c>
      <c r="G773" s="32">
        <v>175</v>
      </c>
      <c r="H773" s="32" t="s">
        <v>195</v>
      </c>
      <c r="I773" s="32">
        <v>6564</v>
      </c>
      <c r="J773" s="36">
        <v>3675.84</v>
      </c>
      <c r="K773" s="32" t="s">
        <v>4535</v>
      </c>
      <c r="L773" s="169" t="s">
        <v>4029</v>
      </c>
      <c r="M773" s="32" t="s">
        <v>307</v>
      </c>
    </row>
    <row r="774" spans="1:13" x14ac:dyDescent="0.25">
      <c r="A774" s="168">
        <v>46190</v>
      </c>
      <c r="B774" s="32">
        <v>2</v>
      </c>
      <c r="C774" s="32" t="s">
        <v>308</v>
      </c>
      <c r="D774" s="169" t="s">
        <v>309</v>
      </c>
      <c r="E774" s="169" t="s">
        <v>276</v>
      </c>
      <c r="F774" s="32" t="s">
        <v>2865</v>
      </c>
      <c r="G774" s="32">
        <v>37</v>
      </c>
      <c r="H774" s="32" t="s">
        <v>165</v>
      </c>
      <c r="I774" s="32">
        <v>6656</v>
      </c>
      <c r="J774" s="36">
        <v>911.21</v>
      </c>
      <c r="K774" s="32" t="s">
        <v>4536</v>
      </c>
      <c r="L774" s="169" t="s">
        <v>118</v>
      </c>
      <c r="M774" s="32" t="s">
        <v>15</v>
      </c>
    </row>
    <row r="775" spans="1:13" x14ac:dyDescent="0.25">
      <c r="A775" s="168">
        <v>46190</v>
      </c>
      <c r="B775" s="32">
        <v>2</v>
      </c>
      <c r="C775" s="32" t="s">
        <v>298</v>
      </c>
      <c r="D775" s="169" t="s">
        <v>299</v>
      </c>
      <c r="E775" s="169" t="s">
        <v>276</v>
      </c>
      <c r="F775" s="32" t="s">
        <v>2033</v>
      </c>
      <c r="G775" s="32">
        <v>323</v>
      </c>
      <c r="H775" s="32" t="s">
        <v>172</v>
      </c>
      <c r="I775" s="32">
        <v>8372</v>
      </c>
      <c r="J775" s="36">
        <v>8653.2999999999993</v>
      </c>
      <c r="K775" s="32" t="s">
        <v>4537</v>
      </c>
      <c r="L775" s="169" t="s">
        <v>3735</v>
      </c>
      <c r="M775" s="32" t="s">
        <v>15</v>
      </c>
    </row>
    <row r="776" spans="1:13" x14ac:dyDescent="0.25">
      <c r="A776" s="168">
        <v>46190</v>
      </c>
      <c r="B776" s="32">
        <v>2</v>
      </c>
      <c r="C776" s="32" t="s">
        <v>310</v>
      </c>
      <c r="D776" s="169" t="s">
        <v>311</v>
      </c>
      <c r="E776" s="169" t="s">
        <v>276</v>
      </c>
      <c r="F776" s="32" t="s">
        <v>2865</v>
      </c>
      <c r="G776" s="32">
        <v>37</v>
      </c>
      <c r="H776" s="32" t="s">
        <v>175</v>
      </c>
      <c r="I776" s="32">
        <v>3968</v>
      </c>
      <c r="J776" s="36">
        <v>543.22</v>
      </c>
      <c r="K776" s="32" t="s">
        <v>4538</v>
      </c>
      <c r="L776" s="169" t="s">
        <v>119</v>
      </c>
      <c r="M776" s="32" t="s">
        <v>15</v>
      </c>
    </row>
    <row r="777" spans="1:13" x14ac:dyDescent="0.25">
      <c r="A777" s="168">
        <v>46190</v>
      </c>
      <c r="B777" s="32">
        <v>2</v>
      </c>
      <c r="C777" s="32" t="s">
        <v>305</v>
      </c>
      <c r="D777" s="169" t="s">
        <v>306</v>
      </c>
      <c r="E777" s="169" t="s">
        <v>276</v>
      </c>
      <c r="F777" s="32" t="s">
        <v>919</v>
      </c>
      <c r="G777" s="32">
        <v>358</v>
      </c>
      <c r="H777" s="32" t="s">
        <v>221</v>
      </c>
      <c r="I777" s="32">
        <v>6756</v>
      </c>
      <c r="J777" s="36">
        <v>7739.67</v>
      </c>
      <c r="K777" s="32" t="s">
        <v>4539</v>
      </c>
      <c r="L777" s="169" t="s">
        <v>4118</v>
      </c>
      <c r="M777" s="32" t="s">
        <v>15</v>
      </c>
    </row>
    <row r="778" spans="1:13" x14ac:dyDescent="0.25">
      <c r="A778" s="168">
        <v>46190</v>
      </c>
      <c r="B778" s="32">
        <v>2</v>
      </c>
      <c r="C778" s="32" t="s">
        <v>310</v>
      </c>
      <c r="D778" s="169" t="s">
        <v>311</v>
      </c>
      <c r="E778" s="169" t="s">
        <v>276</v>
      </c>
      <c r="F778" s="32" t="s">
        <v>2865</v>
      </c>
      <c r="G778" s="32">
        <v>37</v>
      </c>
      <c r="H778" s="32" t="s">
        <v>195</v>
      </c>
      <c r="I778" s="32">
        <v>4018</v>
      </c>
      <c r="J778" s="36">
        <v>550.05999999999995</v>
      </c>
      <c r="K778" s="32" t="s">
        <v>4540</v>
      </c>
      <c r="L778" s="169" t="s">
        <v>104</v>
      </c>
      <c r="M778" s="32" t="s">
        <v>15</v>
      </c>
    </row>
    <row r="779" spans="1:13" x14ac:dyDescent="0.25">
      <c r="A779" s="168">
        <v>46190</v>
      </c>
      <c r="B779" s="32">
        <v>2</v>
      </c>
      <c r="C779" s="32" t="s">
        <v>302</v>
      </c>
      <c r="D779" s="169" t="s">
        <v>303</v>
      </c>
      <c r="E779" s="169" t="s">
        <v>996</v>
      </c>
      <c r="F779" s="32" t="s">
        <v>997</v>
      </c>
      <c r="G779" s="32">
        <v>292</v>
      </c>
      <c r="H779" s="32" t="s">
        <v>7</v>
      </c>
      <c r="I779" s="32">
        <v>600</v>
      </c>
      <c r="J779" s="36">
        <v>6482.4</v>
      </c>
      <c r="K779" s="32" t="s">
        <v>4541</v>
      </c>
      <c r="L779" s="169" t="s">
        <v>4494</v>
      </c>
      <c r="M779" s="32" t="s">
        <v>997</v>
      </c>
    </row>
    <row r="780" spans="1:13" x14ac:dyDescent="0.25">
      <c r="A780" s="168">
        <v>46190</v>
      </c>
      <c r="B780" s="32">
        <v>2</v>
      </c>
      <c r="C780" s="32" t="s">
        <v>302</v>
      </c>
      <c r="D780" s="169" t="s">
        <v>303</v>
      </c>
      <c r="E780" s="169" t="s">
        <v>996</v>
      </c>
      <c r="F780" s="32" t="s">
        <v>997</v>
      </c>
      <c r="G780" s="32">
        <v>292</v>
      </c>
      <c r="H780" s="32" t="s">
        <v>7</v>
      </c>
      <c r="I780" s="32">
        <v>6107</v>
      </c>
      <c r="J780" s="36">
        <v>6598</v>
      </c>
      <c r="K780" s="32" t="s">
        <v>4542</v>
      </c>
      <c r="L780" s="169" t="s">
        <v>4494</v>
      </c>
      <c r="M780" s="32" t="s">
        <v>997</v>
      </c>
    </row>
    <row r="781" spans="1:13" x14ac:dyDescent="0.25">
      <c r="A781" s="168">
        <v>46191</v>
      </c>
      <c r="B781" s="32">
        <v>2</v>
      </c>
      <c r="C781" s="32" t="s">
        <v>302</v>
      </c>
      <c r="D781" s="169" t="s">
        <v>303</v>
      </c>
      <c r="E781" s="169" t="s">
        <v>996</v>
      </c>
      <c r="F781" s="32" t="s">
        <v>997</v>
      </c>
      <c r="G781" s="32">
        <v>292</v>
      </c>
      <c r="H781" s="32" t="s">
        <v>7</v>
      </c>
      <c r="I781" s="32">
        <v>610</v>
      </c>
      <c r="J781" s="36">
        <v>6590.44</v>
      </c>
      <c r="K781" s="32" t="s">
        <v>4543</v>
      </c>
      <c r="L781" s="169" t="s">
        <v>4494</v>
      </c>
      <c r="M781" s="32" t="s">
        <v>997</v>
      </c>
    </row>
    <row r="782" spans="1:13" x14ac:dyDescent="0.25">
      <c r="A782" s="168">
        <v>46191</v>
      </c>
      <c r="B782" s="32">
        <v>2</v>
      </c>
      <c r="C782" s="32" t="s">
        <v>302</v>
      </c>
      <c r="D782" s="169" t="s">
        <v>303</v>
      </c>
      <c r="E782" s="169" t="s">
        <v>304</v>
      </c>
      <c r="F782" s="32" t="s">
        <v>278</v>
      </c>
      <c r="G782" s="32">
        <v>88</v>
      </c>
      <c r="H782" s="32" t="s">
        <v>7</v>
      </c>
      <c r="I782" s="32">
        <v>610</v>
      </c>
      <c r="J782" s="36">
        <v>1986.16</v>
      </c>
      <c r="K782" s="32" t="s">
        <v>4544</v>
      </c>
      <c r="L782" s="169" t="s">
        <v>4512</v>
      </c>
      <c r="M782" s="32" t="s">
        <v>1066</v>
      </c>
    </row>
    <row r="783" spans="1:13" x14ac:dyDescent="0.25">
      <c r="A783" s="168">
        <v>46191</v>
      </c>
      <c r="B783" s="32">
        <v>2</v>
      </c>
      <c r="C783" s="32" t="s">
        <v>298</v>
      </c>
      <c r="D783" s="169" t="s">
        <v>299</v>
      </c>
      <c r="E783" s="169" t="s">
        <v>276</v>
      </c>
      <c r="F783" s="32" t="s">
        <v>919</v>
      </c>
      <c r="G783" s="32">
        <v>358</v>
      </c>
      <c r="H783" s="32" t="s">
        <v>185</v>
      </c>
      <c r="I783" s="32">
        <v>6248</v>
      </c>
      <c r="J783" s="36">
        <v>7157.71</v>
      </c>
      <c r="K783" s="32" t="s">
        <v>4545</v>
      </c>
      <c r="L783" s="169" t="s">
        <v>4077</v>
      </c>
      <c r="M783" s="32" t="s">
        <v>15</v>
      </c>
    </row>
    <row r="784" spans="1:13" x14ac:dyDescent="0.25">
      <c r="A784" s="168">
        <v>46191</v>
      </c>
      <c r="B784" s="32">
        <v>2</v>
      </c>
      <c r="C784" s="32" t="s">
        <v>308</v>
      </c>
      <c r="D784" s="169" t="s">
        <v>309</v>
      </c>
      <c r="E784" s="169" t="s">
        <v>276</v>
      </c>
      <c r="F784" s="32" t="s">
        <v>919</v>
      </c>
      <c r="G784" s="32">
        <v>358</v>
      </c>
      <c r="H784" s="32" t="s">
        <v>279</v>
      </c>
      <c r="I784" s="32">
        <v>5676</v>
      </c>
      <c r="J784" s="36">
        <v>6502.43</v>
      </c>
      <c r="K784" s="32" t="s">
        <v>4546</v>
      </c>
      <c r="L784" s="169" t="s">
        <v>4527</v>
      </c>
      <c r="M784" s="32" t="s">
        <v>15</v>
      </c>
    </row>
    <row r="785" spans="1:13" x14ac:dyDescent="0.25">
      <c r="A785" s="168">
        <v>46192</v>
      </c>
      <c r="B785" s="32">
        <v>2</v>
      </c>
      <c r="C785" s="32" t="s">
        <v>305</v>
      </c>
      <c r="D785" s="169" t="s">
        <v>306</v>
      </c>
      <c r="E785" s="169" t="s">
        <v>291</v>
      </c>
      <c r="F785" s="32" t="s">
        <v>2087</v>
      </c>
      <c r="G785" s="32">
        <v>200</v>
      </c>
      <c r="H785" s="32" t="s">
        <v>207</v>
      </c>
      <c r="I785" s="32">
        <v>6172</v>
      </c>
      <c r="J785" s="36">
        <v>4567.28</v>
      </c>
      <c r="K785" s="32" t="s">
        <v>4547</v>
      </c>
      <c r="L785" s="169" t="s">
        <v>4186</v>
      </c>
      <c r="M785" s="32" t="s">
        <v>15</v>
      </c>
    </row>
    <row r="786" spans="1:13" x14ac:dyDescent="0.25">
      <c r="A786" s="168">
        <v>46192</v>
      </c>
      <c r="B786" s="32">
        <v>2</v>
      </c>
      <c r="C786" s="32" t="s">
        <v>308</v>
      </c>
      <c r="D786" s="169" t="s">
        <v>309</v>
      </c>
      <c r="E786" s="169" t="s">
        <v>291</v>
      </c>
      <c r="F786" s="32" t="s">
        <v>2864</v>
      </c>
      <c r="G786" s="32">
        <v>277</v>
      </c>
      <c r="H786" s="32" t="s">
        <v>207</v>
      </c>
      <c r="I786" s="32">
        <v>5626</v>
      </c>
      <c r="J786" s="36">
        <v>5766.09</v>
      </c>
      <c r="K786" s="32" t="s">
        <v>4548</v>
      </c>
      <c r="L786" s="169" t="s">
        <v>4549</v>
      </c>
      <c r="M786" s="32" t="s">
        <v>15</v>
      </c>
    </row>
    <row r="787" spans="1:13" x14ac:dyDescent="0.25">
      <c r="A787" s="168">
        <v>46192</v>
      </c>
      <c r="B787" s="32">
        <v>2</v>
      </c>
      <c r="C787" s="32" t="s">
        <v>298</v>
      </c>
      <c r="D787" s="169" t="s">
        <v>299</v>
      </c>
      <c r="E787" s="169" t="s">
        <v>291</v>
      </c>
      <c r="F787" s="32" t="s">
        <v>2864</v>
      </c>
      <c r="G787" s="32">
        <v>277</v>
      </c>
      <c r="H787" s="32" t="s">
        <v>207</v>
      </c>
      <c r="I787" s="32">
        <v>5574</v>
      </c>
      <c r="J787" s="36">
        <v>5712.79</v>
      </c>
      <c r="K787" s="32" t="s">
        <v>4550</v>
      </c>
      <c r="L787" s="169" t="s">
        <v>4549</v>
      </c>
      <c r="M787" s="32" t="s">
        <v>15</v>
      </c>
    </row>
    <row r="788" spans="1:13" x14ac:dyDescent="0.25">
      <c r="A788" s="168">
        <v>46193</v>
      </c>
      <c r="B788" s="32">
        <v>2</v>
      </c>
      <c r="C788" s="32" t="s">
        <v>289</v>
      </c>
      <c r="D788" s="169" t="s">
        <v>295</v>
      </c>
      <c r="E788" s="169" t="s">
        <v>276</v>
      </c>
      <c r="F788" s="32" t="s">
        <v>1415</v>
      </c>
      <c r="G788" s="32">
        <v>150</v>
      </c>
      <c r="H788" s="32" t="s">
        <v>207</v>
      </c>
      <c r="I788" s="32">
        <v>3988</v>
      </c>
      <c r="J788" s="36">
        <v>1914.24</v>
      </c>
      <c r="K788" s="32" t="s">
        <v>4551</v>
      </c>
      <c r="L788" s="169" t="s">
        <v>40</v>
      </c>
      <c r="M788" s="32" t="s">
        <v>15</v>
      </c>
    </row>
    <row r="789" spans="1:13" x14ac:dyDescent="0.25">
      <c r="A789" s="168">
        <v>46193</v>
      </c>
      <c r="B789" s="32">
        <v>2</v>
      </c>
      <c r="C789" s="32" t="s">
        <v>310</v>
      </c>
      <c r="D789" s="169" t="s">
        <v>311</v>
      </c>
      <c r="E789" s="169" t="s">
        <v>276</v>
      </c>
      <c r="F789" s="32" t="s">
        <v>1415</v>
      </c>
      <c r="G789" s="32">
        <v>150</v>
      </c>
      <c r="H789" s="32" t="s">
        <v>207</v>
      </c>
      <c r="I789" s="32">
        <v>3914</v>
      </c>
      <c r="J789" s="36">
        <v>1878.72</v>
      </c>
      <c r="K789" s="32" t="s">
        <v>4552</v>
      </c>
      <c r="L789" s="169" t="s">
        <v>40</v>
      </c>
      <c r="M789" s="32" t="s">
        <v>15</v>
      </c>
    </row>
    <row r="790" spans="1:13" x14ac:dyDescent="0.25">
      <c r="A790" s="168">
        <v>46195</v>
      </c>
      <c r="B790" s="32">
        <v>2</v>
      </c>
      <c r="C790" s="32" t="s">
        <v>289</v>
      </c>
      <c r="D790" s="169" t="s">
        <v>295</v>
      </c>
      <c r="E790" s="169" t="s">
        <v>291</v>
      </c>
      <c r="F790" s="32" t="s">
        <v>2087</v>
      </c>
      <c r="G790" s="32">
        <v>200</v>
      </c>
      <c r="H790" s="32" t="s">
        <v>207</v>
      </c>
      <c r="I790" s="32">
        <v>3064</v>
      </c>
      <c r="J790" s="36">
        <v>2267.36</v>
      </c>
      <c r="K790" s="32" t="s">
        <v>4553</v>
      </c>
      <c r="L790" s="169" t="s">
        <v>4186</v>
      </c>
      <c r="M790" s="32" t="s">
        <v>15</v>
      </c>
    </row>
    <row r="791" spans="1:13" x14ac:dyDescent="0.25">
      <c r="A791" s="168">
        <v>46195</v>
      </c>
      <c r="B791" s="32">
        <v>2</v>
      </c>
      <c r="C791" s="32" t="s">
        <v>289</v>
      </c>
      <c r="D791" s="169" t="s">
        <v>295</v>
      </c>
      <c r="E791" s="169" t="s">
        <v>1940</v>
      </c>
      <c r="F791" s="32" t="s">
        <v>1941</v>
      </c>
      <c r="G791" s="32">
        <v>110</v>
      </c>
      <c r="H791" s="32" t="s">
        <v>175</v>
      </c>
      <c r="I791" s="32">
        <v>2926</v>
      </c>
      <c r="J791" s="36">
        <v>1029.95</v>
      </c>
      <c r="K791" s="32" t="s">
        <v>4554</v>
      </c>
      <c r="L791" s="169" t="s">
        <v>4555</v>
      </c>
      <c r="M791" s="32" t="s">
        <v>15</v>
      </c>
    </row>
    <row r="792" spans="1:13" x14ac:dyDescent="0.25">
      <c r="A792" s="168">
        <v>46195</v>
      </c>
      <c r="B792" s="32">
        <v>2</v>
      </c>
      <c r="C792" s="32" t="s">
        <v>312</v>
      </c>
      <c r="D792" s="169" t="s">
        <v>313</v>
      </c>
      <c r="E792" s="169" t="s">
        <v>276</v>
      </c>
      <c r="F792" s="32" t="s">
        <v>277</v>
      </c>
      <c r="G792" s="32">
        <v>118</v>
      </c>
      <c r="H792" s="32" t="s">
        <v>165</v>
      </c>
      <c r="I792" s="32">
        <v>4036</v>
      </c>
      <c r="J792" s="36">
        <v>1523.99</v>
      </c>
      <c r="K792" s="32" t="s">
        <v>4556</v>
      </c>
      <c r="L792" s="169" t="s">
        <v>24</v>
      </c>
      <c r="M792" s="32" t="s">
        <v>15</v>
      </c>
    </row>
    <row r="793" spans="1:13" x14ac:dyDescent="0.25">
      <c r="A793" s="168">
        <v>46195</v>
      </c>
      <c r="B793" s="32">
        <v>2</v>
      </c>
      <c r="C793" s="32" t="s">
        <v>310</v>
      </c>
      <c r="D793" s="169" t="s">
        <v>311</v>
      </c>
      <c r="E793" s="169" t="s">
        <v>276</v>
      </c>
      <c r="F793" s="32" t="s">
        <v>1415</v>
      </c>
      <c r="G793" s="32">
        <v>150</v>
      </c>
      <c r="H793" s="32" t="s">
        <v>207</v>
      </c>
      <c r="I793" s="32">
        <v>406</v>
      </c>
      <c r="J793" s="36">
        <v>1948.8</v>
      </c>
      <c r="K793" s="32" t="s">
        <v>4557</v>
      </c>
      <c r="L793" s="169" t="s">
        <v>40</v>
      </c>
      <c r="M793" s="32" t="s">
        <v>15</v>
      </c>
    </row>
    <row r="794" spans="1:13" x14ac:dyDescent="0.25">
      <c r="A794" s="168">
        <v>46196</v>
      </c>
      <c r="B794" s="32">
        <v>2</v>
      </c>
      <c r="C794" s="32" t="s">
        <v>305</v>
      </c>
      <c r="D794" s="169" t="s">
        <v>306</v>
      </c>
      <c r="E794" s="169" t="s">
        <v>2757</v>
      </c>
      <c r="F794" s="32" t="s">
        <v>2867</v>
      </c>
      <c r="G794" s="32">
        <v>383</v>
      </c>
      <c r="H794" s="32" t="s">
        <v>221</v>
      </c>
      <c r="I794" s="32">
        <v>691</v>
      </c>
      <c r="J794" s="36">
        <v>8468.9</v>
      </c>
      <c r="K794" s="32" t="s">
        <v>4558</v>
      </c>
      <c r="L794" s="169" t="s">
        <v>3752</v>
      </c>
      <c r="M794" s="32" t="s">
        <v>15</v>
      </c>
    </row>
    <row r="795" spans="1:13" x14ac:dyDescent="0.25">
      <c r="A795" s="168">
        <v>46196</v>
      </c>
      <c r="B795" s="32">
        <v>2</v>
      </c>
      <c r="C795" s="32" t="s">
        <v>289</v>
      </c>
      <c r="D795" s="169" t="s">
        <v>295</v>
      </c>
      <c r="E795" s="169" t="s">
        <v>276</v>
      </c>
      <c r="F795" s="32" t="s">
        <v>919</v>
      </c>
      <c r="G795" s="32">
        <v>358</v>
      </c>
      <c r="H795" s="32" t="s">
        <v>207</v>
      </c>
      <c r="I795" s="32">
        <v>4016</v>
      </c>
      <c r="J795" s="36">
        <v>4600.7299999999996</v>
      </c>
      <c r="K795" s="32" t="s">
        <v>4559</v>
      </c>
      <c r="L795" s="169" t="s">
        <v>4277</v>
      </c>
      <c r="M795" s="32" t="s">
        <v>15</v>
      </c>
    </row>
    <row r="796" spans="1:13" x14ac:dyDescent="0.25">
      <c r="A796" s="168">
        <v>46196</v>
      </c>
      <c r="B796" s="32">
        <v>2</v>
      </c>
      <c r="C796" s="32" t="s">
        <v>302</v>
      </c>
      <c r="D796" s="169" t="s">
        <v>303</v>
      </c>
      <c r="E796" s="169" t="s">
        <v>996</v>
      </c>
      <c r="F796" s="32" t="s">
        <v>997</v>
      </c>
      <c r="G796" s="32">
        <v>292</v>
      </c>
      <c r="H796" s="32" t="s">
        <v>7</v>
      </c>
      <c r="I796" s="32">
        <v>600</v>
      </c>
      <c r="J796" s="36">
        <v>6482.4</v>
      </c>
      <c r="K796" s="32" t="s">
        <v>4560</v>
      </c>
      <c r="L796" s="169" t="s">
        <v>4494</v>
      </c>
      <c r="M796" s="32" t="s">
        <v>997</v>
      </c>
    </row>
    <row r="797" spans="1:13" x14ac:dyDescent="0.25">
      <c r="A797" s="168">
        <v>46196</v>
      </c>
      <c r="B797" s="32">
        <v>2</v>
      </c>
      <c r="C797" s="32" t="s">
        <v>310</v>
      </c>
      <c r="D797" s="169" t="s">
        <v>311</v>
      </c>
      <c r="E797" s="169" t="s">
        <v>276</v>
      </c>
      <c r="F797" s="32" t="s">
        <v>919</v>
      </c>
      <c r="G797" s="32">
        <v>358</v>
      </c>
      <c r="H797" s="32" t="s">
        <v>207</v>
      </c>
      <c r="I797" s="32">
        <v>3974</v>
      </c>
      <c r="J797" s="36">
        <v>4552.6099999999997</v>
      </c>
      <c r="K797" s="32" t="s">
        <v>4561</v>
      </c>
      <c r="L797" s="169" t="s">
        <v>4277</v>
      </c>
      <c r="M797" s="32" t="s">
        <v>15</v>
      </c>
    </row>
    <row r="798" spans="1:13" x14ac:dyDescent="0.25">
      <c r="A798" s="168">
        <v>46197</v>
      </c>
      <c r="B798" s="32">
        <v>2</v>
      </c>
      <c r="C798" s="32" t="s">
        <v>302</v>
      </c>
      <c r="D798" s="169" t="s">
        <v>303</v>
      </c>
      <c r="E798" s="169" t="s">
        <v>996</v>
      </c>
      <c r="F798" s="32" t="s">
        <v>997</v>
      </c>
      <c r="G798" s="32">
        <v>292</v>
      </c>
      <c r="H798" s="32" t="s">
        <v>7</v>
      </c>
      <c r="I798" s="32">
        <v>6001</v>
      </c>
      <c r="J798" s="36">
        <v>6483.48</v>
      </c>
      <c r="K798" s="32" t="s">
        <v>4562</v>
      </c>
      <c r="L798" s="169" t="s">
        <v>4494</v>
      </c>
      <c r="M798" s="32" t="s">
        <v>997</v>
      </c>
    </row>
    <row r="799" spans="1:13" x14ac:dyDescent="0.25">
      <c r="A799" s="168">
        <v>46197</v>
      </c>
      <c r="B799" s="32">
        <v>2</v>
      </c>
      <c r="C799" s="32" t="s">
        <v>302</v>
      </c>
      <c r="D799" s="169" t="s">
        <v>303</v>
      </c>
      <c r="E799" s="169" t="s">
        <v>304</v>
      </c>
      <c r="F799" s="32" t="s">
        <v>278</v>
      </c>
      <c r="G799" s="32">
        <v>88</v>
      </c>
      <c r="H799" s="32" t="s">
        <v>7</v>
      </c>
      <c r="I799" s="32">
        <v>5502</v>
      </c>
      <c r="J799" s="36">
        <v>1791.45</v>
      </c>
      <c r="K799" s="32" t="s">
        <v>4521</v>
      </c>
      <c r="L799" s="169" t="s">
        <v>4512</v>
      </c>
      <c r="M799" s="32" t="s">
        <v>1066</v>
      </c>
    </row>
    <row r="800" spans="1:13" x14ac:dyDescent="0.25">
      <c r="A800" s="168">
        <v>46198</v>
      </c>
      <c r="B800" s="32">
        <v>2</v>
      </c>
      <c r="C800" s="32" t="s">
        <v>298</v>
      </c>
      <c r="D800" s="169" t="s">
        <v>299</v>
      </c>
      <c r="E800" s="169" t="s">
        <v>2757</v>
      </c>
      <c r="F800" s="32" t="s">
        <v>2867</v>
      </c>
      <c r="G800" s="32">
        <v>383</v>
      </c>
      <c r="H800" s="32" t="s">
        <v>172</v>
      </c>
      <c r="I800" s="32">
        <v>6324</v>
      </c>
      <c r="J800" s="36">
        <v>7750.69</v>
      </c>
      <c r="K800" s="32" t="s">
        <v>4563</v>
      </c>
      <c r="L800" s="169" t="s">
        <v>3865</v>
      </c>
      <c r="M800" s="32" t="s">
        <v>15</v>
      </c>
    </row>
    <row r="801" spans="1:13" x14ac:dyDescent="0.25">
      <c r="A801" s="168">
        <v>46198</v>
      </c>
      <c r="B801" s="32">
        <v>2</v>
      </c>
      <c r="C801" s="32" t="s">
        <v>2873</v>
      </c>
      <c r="D801" s="169" t="s">
        <v>290</v>
      </c>
      <c r="E801" s="169" t="s">
        <v>2757</v>
      </c>
      <c r="F801" s="32" t="s">
        <v>2867</v>
      </c>
      <c r="G801" s="32">
        <v>383</v>
      </c>
      <c r="H801" s="32" t="s">
        <v>172</v>
      </c>
      <c r="I801" s="32">
        <v>5904</v>
      </c>
      <c r="J801" s="36">
        <v>7235.94</v>
      </c>
      <c r="K801" s="32" t="s">
        <v>4564</v>
      </c>
      <c r="L801" s="169" t="s">
        <v>3865</v>
      </c>
      <c r="M801" s="32" t="s">
        <v>15</v>
      </c>
    </row>
    <row r="802" spans="1:13" x14ac:dyDescent="0.25">
      <c r="A802" s="168">
        <v>46198</v>
      </c>
      <c r="B802" s="32">
        <v>2</v>
      </c>
      <c r="C802" s="32" t="s">
        <v>289</v>
      </c>
      <c r="D802" s="169" t="s">
        <v>295</v>
      </c>
      <c r="E802" s="169" t="s">
        <v>276</v>
      </c>
      <c r="F802" s="32" t="s">
        <v>919</v>
      </c>
      <c r="G802" s="32">
        <v>358</v>
      </c>
      <c r="H802" s="32" t="s">
        <v>207</v>
      </c>
      <c r="I802" s="32">
        <v>3924</v>
      </c>
      <c r="J802" s="36">
        <v>4495.33</v>
      </c>
      <c r="K802" s="32" t="s">
        <v>4565</v>
      </c>
      <c r="L802" s="169" t="s">
        <v>4277</v>
      </c>
      <c r="M802" s="32" t="s">
        <v>15</v>
      </c>
    </row>
    <row r="803" spans="1:13" x14ac:dyDescent="0.25">
      <c r="A803" s="168">
        <v>46198</v>
      </c>
      <c r="B803" s="32">
        <v>2</v>
      </c>
      <c r="C803" s="32" t="s">
        <v>312</v>
      </c>
      <c r="D803" s="169" t="s">
        <v>313</v>
      </c>
      <c r="E803" s="169" t="s">
        <v>276</v>
      </c>
      <c r="F803" s="32" t="s">
        <v>919</v>
      </c>
      <c r="G803" s="32">
        <v>358</v>
      </c>
      <c r="H803" s="32" t="s">
        <v>207</v>
      </c>
      <c r="I803" s="32">
        <v>4122</v>
      </c>
      <c r="J803" s="36">
        <v>4722.16</v>
      </c>
      <c r="K803" s="32" t="s">
        <v>4566</v>
      </c>
      <c r="L803" s="169" t="s">
        <v>4277</v>
      </c>
      <c r="M803" s="32" t="s">
        <v>15</v>
      </c>
    </row>
    <row r="804" spans="1:13" x14ac:dyDescent="0.25">
      <c r="A804" s="168">
        <v>46198</v>
      </c>
      <c r="B804" s="32">
        <v>2</v>
      </c>
      <c r="C804" s="32" t="s">
        <v>302</v>
      </c>
      <c r="D804" s="169" t="s">
        <v>303</v>
      </c>
      <c r="E804" s="169" t="s">
        <v>3701</v>
      </c>
      <c r="F804" s="32" t="s">
        <v>1066</v>
      </c>
      <c r="G804" s="32">
        <v>47</v>
      </c>
      <c r="H804" s="32" t="s">
        <v>7</v>
      </c>
      <c r="I804" s="32">
        <v>610</v>
      </c>
      <c r="J804" s="36">
        <v>1060.79</v>
      </c>
      <c r="K804" s="32" t="s">
        <v>4567</v>
      </c>
      <c r="L804" s="169" t="s">
        <v>4568</v>
      </c>
      <c r="M804" s="32" t="s">
        <v>1066</v>
      </c>
    </row>
    <row r="805" spans="1:13" x14ac:dyDescent="0.25">
      <c r="A805" s="168">
        <v>46199</v>
      </c>
      <c r="B805" s="32">
        <v>2</v>
      </c>
      <c r="C805" s="32" t="s">
        <v>305</v>
      </c>
      <c r="D805" s="169" t="s">
        <v>306</v>
      </c>
      <c r="E805" s="169" t="s">
        <v>2757</v>
      </c>
      <c r="F805" s="32" t="s">
        <v>2867</v>
      </c>
      <c r="G805" s="32">
        <v>383</v>
      </c>
      <c r="H805" s="32" t="s">
        <v>221</v>
      </c>
      <c r="I805" s="32">
        <v>6202</v>
      </c>
      <c r="J805" s="36">
        <v>7601.17</v>
      </c>
      <c r="K805" s="32" t="s">
        <v>4569</v>
      </c>
      <c r="L805" s="169" t="s">
        <v>3752</v>
      </c>
      <c r="M805" s="32" t="s">
        <v>15</v>
      </c>
    </row>
    <row r="806" spans="1:13" x14ac:dyDescent="0.25">
      <c r="A806" s="168">
        <v>46199</v>
      </c>
      <c r="B806" s="32">
        <v>2</v>
      </c>
      <c r="C806" s="32" t="s">
        <v>302</v>
      </c>
      <c r="D806" s="169" t="s">
        <v>303</v>
      </c>
      <c r="E806" s="169" t="s">
        <v>304</v>
      </c>
      <c r="F806" s="32" t="s">
        <v>278</v>
      </c>
      <c r="G806" s="32">
        <v>88</v>
      </c>
      <c r="H806" s="32" t="s">
        <v>7</v>
      </c>
      <c r="I806" s="32">
        <v>590</v>
      </c>
      <c r="J806" s="36">
        <v>1921.04</v>
      </c>
      <c r="K806" s="32" t="s">
        <v>4570</v>
      </c>
      <c r="L806" s="169" t="s">
        <v>4512</v>
      </c>
      <c r="M806" s="32" t="s">
        <v>1066</v>
      </c>
    </row>
    <row r="807" spans="1:13" x14ac:dyDescent="0.25">
      <c r="A807" s="168">
        <v>46200</v>
      </c>
      <c r="B807" s="32">
        <v>2</v>
      </c>
      <c r="C807" s="32" t="s">
        <v>302</v>
      </c>
      <c r="D807" s="169" t="s">
        <v>303</v>
      </c>
      <c r="E807" s="169" t="s">
        <v>3701</v>
      </c>
      <c r="F807" s="32" t="s">
        <v>1066</v>
      </c>
      <c r="G807" s="32">
        <v>47</v>
      </c>
      <c r="H807" s="32" t="s">
        <v>7</v>
      </c>
      <c r="I807" s="32">
        <v>650</v>
      </c>
      <c r="J807" s="36">
        <v>1130.3499999999999</v>
      </c>
      <c r="K807" s="32" t="s">
        <v>4571</v>
      </c>
      <c r="L807" s="169" t="s">
        <v>4568</v>
      </c>
      <c r="M807" s="32" t="s">
        <v>1066</v>
      </c>
    </row>
    <row r="808" spans="1:13" x14ac:dyDescent="0.25">
      <c r="A808" s="168">
        <v>46203</v>
      </c>
      <c r="B808" s="32">
        <v>2</v>
      </c>
      <c r="C808" s="32" t="s">
        <v>302</v>
      </c>
      <c r="D808" s="169" t="s">
        <v>303</v>
      </c>
      <c r="E808" s="169" t="s">
        <v>2748</v>
      </c>
      <c r="F808" s="32" t="s">
        <v>2749</v>
      </c>
      <c r="G808" s="32">
        <v>168</v>
      </c>
      <c r="H808" s="32" t="s">
        <v>175</v>
      </c>
      <c r="I808" s="32">
        <v>6007</v>
      </c>
      <c r="J808" s="36">
        <v>3229.36</v>
      </c>
      <c r="K808" s="32" t="s">
        <v>4572</v>
      </c>
      <c r="L808" s="169" t="s">
        <v>4573</v>
      </c>
      <c r="M808" s="32" t="s">
        <v>4473</v>
      </c>
    </row>
    <row r="809" spans="1:13" x14ac:dyDescent="0.25">
      <c r="A809" s="168">
        <v>46203</v>
      </c>
      <c r="B809" s="32">
        <v>2</v>
      </c>
      <c r="C809" s="32" t="s">
        <v>298</v>
      </c>
      <c r="D809" s="169" t="s">
        <v>299</v>
      </c>
      <c r="E809" s="169" t="s">
        <v>2757</v>
      </c>
      <c r="F809" s="32" t="s">
        <v>2867</v>
      </c>
      <c r="G809" s="32">
        <v>383</v>
      </c>
      <c r="H809" s="32" t="s">
        <v>172</v>
      </c>
      <c r="I809" s="32">
        <v>604</v>
      </c>
      <c r="J809" s="36">
        <v>7402.62</v>
      </c>
      <c r="K809" s="32" t="s">
        <v>4574</v>
      </c>
      <c r="L809" s="169" t="s">
        <v>3865</v>
      </c>
      <c r="M809" s="32" t="s">
        <v>15</v>
      </c>
    </row>
    <row r="810" spans="1:13" x14ac:dyDescent="0.25">
      <c r="J810" s="150">
        <v>1604128.6100000013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ACC8-53AC-4EC1-AE58-DD81686B69C7}">
  <dimension ref="C3:P19"/>
  <sheetViews>
    <sheetView showGridLines="0" workbookViewId="0">
      <selection activeCell="A17" sqref="A17"/>
    </sheetView>
  </sheetViews>
  <sheetFormatPr defaultRowHeight="15" x14ac:dyDescent="0.25"/>
  <cols>
    <col min="4" max="4" width="25.5703125" bestFit="1" customWidth="1"/>
    <col min="5" max="5" width="16" bestFit="1" customWidth="1"/>
    <col min="6" max="6" width="9.42578125" bestFit="1" customWidth="1"/>
    <col min="16" max="16" width="2" customWidth="1"/>
  </cols>
  <sheetData>
    <row r="3" spans="3:16" ht="21" x14ac:dyDescent="0.25">
      <c r="C3" s="189" t="s">
        <v>4575</v>
      </c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90"/>
    </row>
    <row r="4" spans="3:16" ht="3.75" customHeight="1" x14ac:dyDescent="0.25"/>
    <row r="5" spans="3:16" ht="15" customHeight="1" x14ac:dyDescent="0.25">
      <c r="C5" s="191" t="s">
        <v>13</v>
      </c>
      <c r="D5" s="192"/>
      <c r="E5" s="155" t="s">
        <v>4576</v>
      </c>
      <c r="F5" s="163" t="s">
        <v>4577</v>
      </c>
      <c r="G5" s="156"/>
      <c r="H5" s="156"/>
      <c r="I5" s="156"/>
      <c r="J5" s="156"/>
      <c r="K5" s="156"/>
      <c r="L5" s="156"/>
      <c r="M5" s="156"/>
      <c r="N5" s="156"/>
      <c r="O5" s="156"/>
      <c r="P5" s="157"/>
    </row>
    <row r="6" spans="3:16" ht="15" customHeight="1" x14ac:dyDescent="0.25">
      <c r="C6" s="146" t="b">
        <v>1</v>
      </c>
      <c r="D6" s="166" t="s">
        <v>154</v>
      </c>
      <c r="E6" s="145">
        <v>467209.3</v>
      </c>
      <c r="F6" s="164">
        <v>0.2913</v>
      </c>
      <c r="G6" s="158"/>
      <c r="P6" s="159"/>
    </row>
    <row r="7" spans="3:16" ht="15" customHeight="1" x14ac:dyDescent="0.25">
      <c r="C7" s="146" t="b">
        <v>1</v>
      </c>
      <c r="D7" s="166" t="s">
        <v>223</v>
      </c>
      <c r="E7" s="145">
        <v>375254.76</v>
      </c>
      <c r="F7" s="164">
        <v>0.2339</v>
      </c>
      <c r="P7" s="159"/>
    </row>
    <row r="8" spans="3:16" ht="15" customHeight="1" x14ac:dyDescent="0.25">
      <c r="C8" s="146" t="b">
        <v>1</v>
      </c>
      <c r="D8" s="166" t="s">
        <v>1063</v>
      </c>
      <c r="E8" s="145">
        <v>261011.49</v>
      </c>
      <c r="F8" s="164">
        <v>0.16270000000000001</v>
      </c>
      <c r="P8" s="159"/>
    </row>
    <row r="9" spans="3:16" ht="15" customHeight="1" x14ac:dyDescent="0.25">
      <c r="C9" s="146" t="b">
        <v>1</v>
      </c>
      <c r="D9" s="166" t="s">
        <v>111</v>
      </c>
      <c r="E9" s="145">
        <v>162271.6</v>
      </c>
      <c r="F9" s="164">
        <v>0.1012</v>
      </c>
      <c r="P9" s="159"/>
    </row>
    <row r="10" spans="3:16" ht="15" customHeight="1" x14ac:dyDescent="0.25">
      <c r="C10" s="146" t="b">
        <v>1</v>
      </c>
      <c r="D10" s="166" t="s">
        <v>2874</v>
      </c>
      <c r="E10" s="145">
        <v>138214.29999999999</v>
      </c>
      <c r="F10" s="164">
        <v>8.6199999999999999E-2</v>
      </c>
      <c r="P10" s="159"/>
    </row>
    <row r="11" spans="3:16" ht="15" customHeight="1" x14ac:dyDescent="0.25">
      <c r="C11" s="146" t="b">
        <v>1</v>
      </c>
      <c r="D11" s="166" t="s">
        <v>997</v>
      </c>
      <c r="E11" s="145">
        <v>65333.94</v>
      </c>
      <c r="F11" s="164">
        <v>4.07E-2</v>
      </c>
      <c r="P11" s="159"/>
    </row>
    <row r="12" spans="3:16" ht="15" customHeight="1" x14ac:dyDescent="0.25">
      <c r="C12" s="146" t="b">
        <v>1</v>
      </c>
      <c r="D12" s="166" t="s">
        <v>307</v>
      </c>
      <c r="E12" s="145">
        <v>58726.080000000002</v>
      </c>
      <c r="F12" s="164">
        <v>3.6600000000000001E-2</v>
      </c>
      <c r="P12" s="159"/>
    </row>
    <row r="13" spans="3:16" ht="15" customHeight="1" x14ac:dyDescent="0.25">
      <c r="C13" s="146" t="b">
        <v>1</v>
      </c>
      <c r="D13" s="166" t="s">
        <v>157</v>
      </c>
      <c r="E13" s="145">
        <v>21391.91</v>
      </c>
      <c r="F13" s="164">
        <v>1.3299999999999999E-2</v>
      </c>
      <c r="P13" s="159"/>
    </row>
    <row r="14" spans="3:16" ht="15" customHeight="1" x14ac:dyDescent="0.25">
      <c r="C14" s="146" t="b">
        <v>1</v>
      </c>
      <c r="D14" s="166" t="s">
        <v>1178</v>
      </c>
      <c r="E14" s="145">
        <v>18558.46</v>
      </c>
      <c r="F14" s="164">
        <v>1.1599999999999999E-2</v>
      </c>
      <c r="P14" s="159"/>
    </row>
    <row r="15" spans="3:16" ht="15" customHeight="1" x14ac:dyDescent="0.25">
      <c r="C15" s="146" t="b">
        <v>1</v>
      </c>
      <c r="D15" s="166" t="s">
        <v>4578</v>
      </c>
      <c r="E15" s="145">
        <v>16169.94</v>
      </c>
      <c r="F15" s="164">
        <v>1.01E-2</v>
      </c>
      <c r="P15" s="159"/>
    </row>
    <row r="16" spans="3:16" ht="15" customHeight="1" x14ac:dyDescent="0.25">
      <c r="C16" s="146" t="b">
        <v>1</v>
      </c>
      <c r="D16" s="166" t="s">
        <v>1066</v>
      </c>
      <c r="E16" s="145">
        <v>14696.45</v>
      </c>
      <c r="F16" s="164">
        <v>9.1999999999999998E-3</v>
      </c>
      <c r="P16" s="159"/>
    </row>
    <row r="17" spans="3:16" ht="15" customHeight="1" x14ac:dyDescent="0.25">
      <c r="C17" s="146" t="b">
        <v>1</v>
      </c>
      <c r="D17" s="166" t="s">
        <v>11</v>
      </c>
      <c r="E17" s="145">
        <v>4700.49</v>
      </c>
      <c r="F17" s="164">
        <v>2.8999999999999998E-3</v>
      </c>
      <c r="P17" s="159"/>
    </row>
    <row r="18" spans="3:16" ht="15" customHeight="1" x14ac:dyDescent="0.25">
      <c r="C18" s="149" t="b">
        <v>1</v>
      </c>
      <c r="D18" s="167" t="s">
        <v>280</v>
      </c>
      <c r="E18" s="148">
        <v>589.89</v>
      </c>
      <c r="F18" s="165">
        <v>4.0000000000000002E-4</v>
      </c>
      <c r="P18" s="159"/>
    </row>
    <row r="19" spans="3:16" ht="15" customHeight="1" x14ac:dyDescent="0.25">
      <c r="C19" s="97"/>
      <c r="D19" s="144" t="s">
        <v>1068</v>
      </c>
      <c r="E19" s="147">
        <v>1604128.61</v>
      </c>
      <c r="F19" s="160">
        <v>1</v>
      </c>
      <c r="G19" s="161"/>
      <c r="H19" s="161"/>
      <c r="I19" s="161"/>
      <c r="J19" s="161"/>
      <c r="K19" s="161"/>
      <c r="L19" s="161"/>
      <c r="M19" s="161"/>
      <c r="N19" s="161"/>
      <c r="O19" s="161"/>
      <c r="P19" s="162"/>
    </row>
  </sheetData>
  <mergeCells count="2">
    <mergeCell ref="C3:P3"/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B067769-86F3-4232-9DD1-4C1B4283F77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5733-9A0A-4B11-A99A-5AC081E616CF}">
  <dimension ref="A1"/>
  <sheetViews>
    <sheetView tabSelected="1" workbookViewId="0">
      <selection activeCell="M16" sqref="M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6699-1A8C-4501-9DBD-7D4828A3796F}">
  <dimension ref="A1"/>
  <sheetViews>
    <sheetView workbookViewId="0">
      <selection activeCell="O6" sqref="O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F6F51-E6EA-43E1-88F4-224BBACA4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Dicionário</vt:lpstr>
      <vt:lpstr>Dicionario</vt:lpstr>
      <vt:lpstr>FRETE CARRADAS JAN-26</vt:lpstr>
      <vt:lpstr>UA DISTRITO</vt:lpstr>
      <vt:lpstr>PINHEIRO SET-25</vt:lpstr>
      <vt:lpstr>UA DISTRITO SET-25</vt:lpstr>
      <vt:lpstr>RESUMO JAN-26</vt:lpstr>
      <vt:lpstr>FRETE CARRADAS FEV-26</vt:lpstr>
      <vt:lpstr>RESUMO FEV-26</vt:lpstr>
      <vt:lpstr>FRETE CARRADAS MAR-26</vt:lpstr>
      <vt:lpstr>RESUMO MAR-26</vt:lpstr>
      <vt:lpstr>FRETE CARRADAS ABR-26 </vt:lpstr>
      <vt:lpstr>RESUMO ABR-26</vt:lpstr>
      <vt:lpstr>FRETE CARRADAS JUN-26</vt:lpstr>
      <vt:lpstr>FRETE CARRADAS JUL-26 </vt:lpstr>
      <vt:lpstr>RESUMO JUN-26</vt:lpstr>
      <vt:lpstr>FRETE CARRADAS JUL-26</vt:lpstr>
      <vt:lpstr>RESUMO JUL-26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Thercyo Saldanha</dc:creator>
  <cp:lastModifiedBy>Log EDC</cp:lastModifiedBy>
  <dcterms:created xsi:type="dcterms:W3CDTF">2025-09-05T12:06:17Z</dcterms:created>
  <dcterms:modified xsi:type="dcterms:W3CDTF">2026-08-04T18:01:49Z</dcterms:modified>
</cp:coreProperties>
</file>